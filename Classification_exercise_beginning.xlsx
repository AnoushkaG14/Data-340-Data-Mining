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hidePivotFieldList="1"/>
  <mc:AlternateContent xmlns:mc="http://schemas.openxmlformats.org/markup-compatibility/2006">
    <mc:Choice Requires="x15">
      <x15ac:absPath xmlns:x15ac="http://schemas.microsoft.com/office/spreadsheetml/2010/11/ac" url="/Users/anoushkagurung/Desktop/DATA 340/"/>
    </mc:Choice>
  </mc:AlternateContent>
  <xr:revisionPtr revIDLastSave="0" documentId="13_ncr:1_{15E12198-6085-CA4F-8E50-B85C9620319F}" xr6:coauthVersionLast="47" xr6:coauthVersionMax="47" xr10:uidLastSave="{00000000-0000-0000-0000-000000000000}"/>
  <bookViews>
    <workbookView xWindow="15480" yWindow="500" windowWidth="13320" windowHeight="17500" xr2:uid="{00000000-000D-0000-FFFF-FFFF00000000}"/>
  </bookViews>
  <sheets>
    <sheet name="Data Dictionary" sheetId="5" r:id="rId1"/>
    <sheet name="Pivot Summary of Data " sheetId="6" r:id="rId2"/>
    <sheet name="Starting data" sheetId="1" r:id="rId3"/>
    <sheet name="Data for Classification" sheetId="3" r:id="rId4"/>
    <sheet name="Classification - Analysis Notes" sheetId="4" r:id="rId5"/>
  </sheets>
  <calcPr calcId="191028"/>
  <pivotCaches>
    <pivotCache cacheId="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E2" i="3"/>
  <c r="C2" i="3"/>
  <c r="J2" i="3"/>
  <c r="N2" i="1"/>
</calcChain>
</file>

<file path=xl/sharedStrings.xml><?xml version="1.0" encoding="utf-8"?>
<sst xmlns="http://schemas.openxmlformats.org/spreadsheetml/2006/main" count="20680" uniqueCount="4107">
  <si>
    <t>Field</t>
  </si>
  <si>
    <t>Description</t>
  </si>
  <si>
    <t>Data Type</t>
  </si>
  <si>
    <t>Order Date</t>
  </si>
  <si>
    <t>Date of single Order</t>
  </si>
  <si>
    <t>Order Number</t>
  </si>
  <si>
    <t>Order Identifier</t>
  </si>
  <si>
    <t>Product</t>
  </si>
  <si>
    <t>Product ID Ordered</t>
  </si>
  <si>
    <t>Quantity</t>
  </si>
  <si>
    <t>Quantity of Product ordered</t>
  </si>
  <si>
    <t>Price Per Unit</t>
  </si>
  <si>
    <t>Price of Product</t>
  </si>
  <si>
    <t>Cost per Unit</t>
  </si>
  <si>
    <t>Cost of Product</t>
  </si>
  <si>
    <t>Revenue</t>
  </si>
  <si>
    <t>Revenue from Order</t>
  </si>
  <si>
    <t>Costs</t>
  </si>
  <si>
    <t>Costs of Order</t>
  </si>
  <si>
    <t>Profit</t>
  </si>
  <si>
    <t>Profit from Order</t>
  </si>
  <si>
    <t>Customer ID</t>
  </si>
  <si>
    <t>Customer Identifier</t>
  </si>
  <si>
    <t>Customer Category</t>
  </si>
  <si>
    <t>Customer Market Category</t>
  </si>
  <si>
    <t>Customer Tenure</t>
  </si>
  <si>
    <t>Time since First Order</t>
  </si>
  <si>
    <t>Order Survey Response</t>
  </si>
  <si>
    <t>Satisaction Rating of Order</t>
  </si>
  <si>
    <t>Discretized Survey Score</t>
  </si>
  <si>
    <t>24-3624</t>
  </si>
  <si>
    <t>P026</t>
  </si>
  <si>
    <t>CP-2167</t>
  </si>
  <si>
    <t>Corporate &amp; Professional</t>
  </si>
  <si>
    <t>Dissatisfied</t>
  </si>
  <si>
    <t>18-3596</t>
  </si>
  <si>
    <t>P089</t>
  </si>
  <si>
    <t>CP-2216</t>
  </si>
  <si>
    <t>Neither</t>
  </si>
  <si>
    <t>18-1394</t>
  </si>
  <si>
    <t>P100</t>
  </si>
  <si>
    <t>FE-6557</t>
  </si>
  <si>
    <t>Facilities &amp; Services</t>
  </si>
  <si>
    <t>21-2559</t>
  </si>
  <si>
    <t>P034</t>
  </si>
  <si>
    <t>FE-6685</t>
  </si>
  <si>
    <t>22-4827</t>
  </si>
  <si>
    <t>P064</t>
  </si>
  <si>
    <t>EE-4169</t>
  </si>
  <si>
    <t>Education</t>
  </si>
  <si>
    <t>20-3867</t>
  </si>
  <si>
    <t>P040</t>
  </si>
  <si>
    <t>HS-7790</t>
  </si>
  <si>
    <t>Healthcare &amp; Safety</t>
  </si>
  <si>
    <t>Satisfied</t>
  </si>
  <si>
    <t>18-1317</t>
  </si>
  <si>
    <t>P006</t>
  </si>
  <si>
    <t>CT-3882</t>
  </si>
  <si>
    <t>Creative &amp; Technology</t>
  </si>
  <si>
    <t>20-3505</t>
  </si>
  <si>
    <t>HS-7242</t>
  </si>
  <si>
    <t>21-4413</t>
  </si>
  <si>
    <t>P094</t>
  </si>
  <si>
    <t>SR-9557</t>
  </si>
  <si>
    <t>Sports &amp; Recreation</t>
  </si>
  <si>
    <t>21-3023</t>
  </si>
  <si>
    <t>P054</t>
  </si>
  <si>
    <t>SR-9989</t>
  </si>
  <si>
    <t>20-4356</t>
  </si>
  <si>
    <t>P043</t>
  </si>
  <si>
    <t>EE-4770</t>
  </si>
  <si>
    <t>20-3883</t>
  </si>
  <si>
    <t>P052</t>
  </si>
  <si>
    <t>CT-3754</t>
  </si>
  <si>
    <t>19-3629</t>
  </si>
  <si>
    <t>P005</t>
  </si>
  <si>
    <t>CT-3949</t>
  </si>
  <si>
    <t>20-2783</t>
  </si>
  <si>
    <t>P076</t>
  </si>
  <si>
    <t>SR-9729</t>
  </si>
  <si>
    <t>21-3864</t>
  </si>
  <si>
    <t>P014</t>
  </si>
  <si>
    <t>CT-3881</t>
  </si>
  <si>
    <t>20-1968</t>
  </si>
  <si>
    <t>P023</t>
  </si>
  <si>
    <t>CG-1547</t>
  </si>
  <si>
    <t>Community &amp; Government</t>
  </si>
  <si>
    <t>20-1980</t>
  </si>
  <si>
    <t>P071</t>
  </si>
  <si>
    <t>SR-9132</t>
  </si>
  <si>
    <t>21-4557</t>
  </si>
  <si>
    <t>P060</t>
  </si>
  <si>
    <t>18-4105</t>
  </si>
  <si>
    <t>P091</t>
  </si>
  <si>
    <t>EE-46</t>
  </si>
  <si>
    <t>19-4897</t>
  </si>
  <si>
    <t>SR-955</t>
  </si>
  <si>
    <t>20-4960</t>
  </si>
  <si>
    <t>P028</t>
  </si>
  <si>
    <t>CG-151</t>
  </si>
  <si>
    <t>21-2115</t>
  </si>
  <si>
    <t>P065</t>
  </si>
  <si>
    <t>EE-4774</t>
  </si>
  <si>
    <t>22-4758</t>
  </si>
  <si>
    <t>17-1449</t>
  </si>
  <si>
    <t>P098</t>
  </si>
  <si>
    <t>FE-6410</t>
  </si>
  <si>
    <t>20-2961</t>
  </si>
  <si>
    <t>SR-9880</t>
  </si>
  <si>
    <t>19-3898</t>
  </si>
  <si>
    <t>P002</t>
  </si>
  <si>
    <t>HS-7440</t>
  </si>
  <si>
    <t>19-4584</t>
  </si>
  <si>
    <t>P024</t>
  </si>
  <si>
    <t>20-4784</t>
  </si>
  <si>
    <t>P030</t>
  </si>
  <si>
    <t>SR-9497</t>
  </si>
  <si>
    <t>21-2025</t>
  </si>
  <si>
    <t>SR-9668</t>
  </si>
  <si>
    <t>19-3656</t>
  </si>
  <si>
    <t>P048</t>
  </si>
  <si>
    <t>SR-9563</t>
  </si>
  <si>
    <t>18-1412</t>
  </si>
  <si>
    <t>HS-7291</t>
  </si>
  <si>
    <t>18-3342</t>
  </si>
  <si>
    <t>P087</t>
  </si>
  <si>
    <t>SR-9632</t>
  </si>
  <si>
    <t>21-2874</t>
  </si>
  <si>
    <t>FE-6617</t>
  </si>
  <si>
    <t>20-1831</t>
  </si>
  <si>
    <t>P096</t>
  </si>
  <si>
    <t>CP-295</t>
  </si>
  <si>
    <t>19-2562</t>
  </si>
  <si>
    <t>P003</t>
  </si>
  <si>
    <t>CP-2330</t>
  </si>
  <si>
    <t>21-4466</t>
  </si>
  <si>
    <t>P084</t>
  </si>
  <si>
    <t>FE-621</t>
  </si>
  <si>
    <t>21-3075</t>
  </si>
  <si>
    <t>P085</t>
  </si>
  <si>
    <t>HS-7220</t>
  </si>
  <si>
    <t>21-3988</t>
  </si>
  <si>
    <t>P025</t>
  </si>
  <si>
    <t>SR-9797</t>
  </si>
  <si>
    <t>18-2953</t>
  </si>
  <si>
    <t>P021</t>
  </si>
  <si>
    <t>SR-9639</t>
  </si>
  <si>
    <t>19-4687</t>
  </si>
  <si>
    <t>P067</t>
  </si>
  <si>
    <t>CT-3363</t>
  </si>
  <si>
    <t>19-2414</t>
  </si>
  <si>
    <t>P022</t>
  </si>
  <si>
    <t>CP-2962</t>
  </si>
  <si>
    <t>20-3269</t>
  </si>
  <si>
    <t>P019</t>
  </si>
  <si>
    <t>FE-6919</t>
  </si>
  <si>
    <t>21-2837</t>
  </si>
  <si>
    <t>P053</t>
  </si>
  <si>
    <t>CT-3600</t>
  </si>
  <si>
    <t>21-3029</t>
  </si>
  <si>
    <t>P099</t>
  </si>
  <si>
    <t>CP-2862</t>
  </si>
  <si>
    <t>20-4975</t>
  </si>
  <si>
    <t>P001</t>
  </si>
  <si>
    <t>CG-1606</t>
  </si>
  <si>
    <t>17-2409</t>
  </si>
  <si>
    <t>21-4384</t>
  </si>
  <si>
    <t>CG-1762</t>
  </si>
  <si>
    <t>20-2456</t>
  </si>
  <si>
    <t>CP-2204</t>
  </si>
  <si>
    <t>21-2798</t>
  </si>
  <si>
    <t>P008</t>
  </si>
  <si>
    <t>CP-2101</t>
  </si>
  <si>
    <t>19-4348</t>
  </si>
  <si>
    <t>22-1555</t>
  </si>
  <si>
    <t>P046</t>
  </si>
  <si>
    <t>SR-9320</t>
  </si>
  <si>
    <t>20-4454</t>
  </si>
  <si>
    <t>P004</t>
  </si>
  <si>
    <t>HS-7751</t>
  </si>
  <si>
    <t>21-3857</t>
  </si>
  <si>
    <t>HS-7865</t>
  </si>
  <si>
    <t>22-3797</t>
  </si>
  <si>
    <t>CT-3518</t>
  </si>
  <si>
    <t>19-2441</t>
  </si>
  <si>
    <t>P031</t>
  </si>
  <si>
    <t>CT-3443</t>
  </si>
  <si>
    <t>19-4589</t>
  </si>
  <si>
    <t>P044</t>
  </si>
  <si>
    <t>CT-317</t>
  </si>
  <si>
    <t>22-1984</t>
  </si>
  <si>
    <t>FE-6323</t>
  </si>
  <si>
    <t>20-3458</t>
  </si>
  <si>
    <t>P062</t>
  </si>
  <si>
    <t>FE-6562</t>
  </si>
  <si>
    <t>19-3647</t>
  </si>
  <si>
    <t>P088</t>
  </si>
  <si>
    <t>EE-4990</t>
  </si>
  <si>
    <t>20-2780</t>
  </si>
  <si>
    <t>CG-168</t>
  </si>
  <si>
    <t>20-3980</t>
  </si>
  <si>
    <t>P012</t>
  </si>
  <si>
    <t>CT-3608</t>
  </si>
  <si>
    <t>19-3215</t>
  </si>
  <si>
    <t>P033</t>
  </si>
  <si>
    <t>CP-2647</t>
  </si>
  <si>
    <t>22-4552</t>
  </si>
  <si>
    <t>FE-6639</t>
  </si>
  <si>
    <t>19-3308</t>
  </si>
  <si>
    <t>P069</t>
  </si>
  <si>
    <t>CT-3618</t>
  </si>
  <si>
    <t>20-3048</t>
  </si>
  <si>
    <t>P029</t>
  </si>
  <si>
    <t>CT-3779</t>
  </si>
  <si>
    <t>21-4381</t>
  </si>
  <si>
    <t>P015</t>
  </si>
  <si>
    <t>CT-3891</t>
  </si>
  <si>
    <t>18-2659</t>
  </si>
  <si>
    <t>P061</t>
  </si>
  <si>
    <t>EE-4565</t>
  </si>
  <si>
    <t>18-3836</t>
  </si>
  <si>
    <t>EE-40</t>
  </si>
  <si>
    <t>20-2983</t>
  </si>
  <si>
    <t>SR-9536</t>
  </si>
  <si>
    <t>19-3463</t>
  </si>
  <si>
    <t>CP-258</t>
  </si>
  <si>
    <t>21-4937</t>
  </si>
  <si>
    <t>P035</t>
  </si>
  <si>
    <t>HS-7652</t>
  </si>
  <si>
    <t>18-4366</t>
  </si>
  <si>
    <t>FE-6999</t>
  </si>
  <si>
    <t>18-1699</t>
  </si>
  <si>
    <t>CG-1369</t>
  </si>
  <si>
    <t>21-4584</t>
  </si>
  <si>
    <t>SR-9872</t>
  </si>
  <si>
    <t>18-3352</t>
  </si>
  <si>
    <t>HS-7827</t>
  </si>
  <si>
    <t>22-4831</t>
  </si>
  <si>
    <t>CG-1446</t>
  </si>
  <si>
    <t>19-4143</t>
  </si>
  <si>
    <t>P018</t>
  </si>
  <si>
    <t>CP-2430</t>
  </si>
  <si>
    <t>19-3106</t>
  </si>
  <si>
    <t>P083</t>
  </si>
  <si>
    <t>CG-1316</t>
  </si>
  <si>
    <t>20-2673</t>
  </si>
  <si>
    <t>CT-3321</t>
  </si>
  <si>
    <t>19-1622</t>
  </si>
  <si>
    <t>P072</t>
  </si>
  <si>
    <t>EE-4569</t>
  </si>
  <si>
    <t>21-2880</t>
  </si>
  <si>
    <t>21-3439</t>
  </si>
  <si>
    <t>P057</t>
  </si>
  <si>
    <t>HS-7838</t>
  </si>
  <si>
    <t>22-4693</t>
  </si>
  <si>
    <t>P027</t>
  </si>
  <si>
    <t>20-3308</t>
  </si>
  <si>
    <t>P037</t>
  </si>
  <si>
    <t>20-1527</t>
  </si>
  <si>
    <t>P039</t>
  </si>
  <si>
    <t>21-2318</t>
  </si>
  <si>
    <t>P032</t>
  </si>
  <si>
    <t>CG-137</t>
  </si>
  <si>
    <t>18-2068</t>
  </si>
  <si>
    <t>FE-6898</t>
  </si>
  <si>
    <t>20-4090</t>
  </si>
  <si>
    <t>P081</t>
  </si>
  <si>
    <t>20-4835</t>
  </si>
  <si>
    <t>EE-4917</t>
  </si>
  <si>
    <t>20-4525</t>
  </si>
  <si>
    <t>FE-6669</t>
  </si>
  <si>
    <t>19-1106</t>
  </si>
  <si>
    <t>EE-423</t>
  </si>
  <si>
    <t>22-3861</t>
  </si>
  <si>
    <t>CG-1992</t>
  </si>
  <si>
    <t>22-3095</t>
  </si>
  <si>
    <t>P090</t>
  </si>
  <si>
    <t>CT-3235</t>
  </si>
  <si>
    <t>19-1753</t>
  </si>
  <si>
    <t>SR-9883</t>
  </si>
  <si>
    <t>21-4842</t>
  </si>
  <si>
    <t>CP-2582</t>
  </si>
  <si>
    <t>22-4766</t>
  </si>
  <si>
    <t>P041</t>
  </si>
  <si>
    <t>CT-3971</t>
  </si>
  <si>
    <t>18-3191</t>
  </si>
  <si>
    <t>P066</t>
  </si>
  <si>
    <t>20-4379</t>
  </si>
  <si>
    <t>P073</t>
  </si>
  <si>
    <t>21-3280</t>
  </si>
  <si>
    <t>CG-1908</t>
  </si>
  <si>
    <t>22-4458</t>
  </si>
  <si>
    <t>EE-4140</t>
  </si>
  <si>
    <t>21-3234</t>
  </si>
  <si>
    <t>20-2285</t>
  </si>
  <si>
    <t>FE-6350</t>
  </si>
  <si>
    <t>22-2292</t>
  </si>
  <si>
    <t>P050</t>
  </si>
  <si>
    <t>21-4122</t>
  </si>
  <si>
    <t>P078</t>
  </si>
  <si>
    <t>20-3708</t>
  </si>
  <si>
    <t>P079</t>
  </si>
  <si>
    <t>22-1244</t>
  </si>
  <si>
    <t>22-4955</t>
  </si>
  <si>
    <t>P095</t>
  </si>
  <si>
    <t>CG-1923</t>
  </si>
  <si>
    <t>21-4751</t>
  </si>
  <si>
    <t>HS-7533</t>
  </si>
  <si>
    <t>19-1829</t>
  </si>
  <si>
    <t>19-3014</t>
  </si>
  <si>
    <t>CT-3721</t>
  </si>
  <si>
    <t>20-3101</t>
  </si>
  <si>
    <t>P038</t>
  </si>
  <si>
    <t>EE-4648</t>
  </si>
  <si>
    <t>22-4697</t>
  </si>
  <si>
    <t>FE-6752</t>
  </si>
  <si>
    <t>21-3306</t>
  </si>
  <si>
    <t>P086</t>
  </si>
  <si>
    <t>CP-2671</t>
  </si>
  <si>
    <t>21-2003</t>
  </si>
  <si>
    <t>P036</t>
  </si>
  <si>
    <t>FE-6765</t>
  </si>
  <si>
    <t>19-1748</t>
  </si>
  <si>
    <t>HS-7526</t>
  </si>
  <si>
    <t>19-2305</t>
  </si>
  <si>
    <t>18-2707</t>
  </si>
  <si>
    <t>19-2607</t>
  </si>
  <si>
    <t>19-4713</t>
  </si>
  <si>
    <t>P092</t>
  </si>
  <si>
    <t>CP-261</t>
  </si>
  <si>
    <t>20-3799</t>
  </si>
  <si>
    <t>CT-3174</t>
  </si>
  <si>
    <t>19-3152</t>
  </si>
  <si>
    <t>19-3636</t>
  </si>
  <si>
    <t>22-2082</t>
  </si>
  <si>
    <t>HS-770</t>
  </si>
  <si>
    <t>18-1444</t>
  </si>
  <si>
    <t>P051</t>
  </si>
  <si>
    <t>SR-9666</t>
  </si>
  <si>
    <t>19-4549</t>
  </si>
  <si>
    <t>P020</t>
  </si>
  <si>
    <t>SR-9808</t>
  </si>
  <si>
    <t>21-4714</t>
  </si>
  <si>
    <t>FE-6190</t>
  </si>
  <si>
    <t>18-2308</t>
  </si>
  <si>
    <t>EE-4869</t>
  </si>
  <si>
    <t>21-4999</t>
  </si>
  <si>
    <t>21-3057</t>
  </si>
  <si>
    <t>FE-6482</t>
  </si>
  <si>
    <t>19-2646</t>
  </si>
  <si>
    <t>18-2035</t>
  </si>
  <si>
    <t>CP-2613</t>
  </si>
  <si>
    <t>20-2151</t>
  </si>
  <si>
    <t>19-3155</t>
  </si>
  <si>
    <t>FE-6944</t>
  </si>
  <si>
    <t>20-4885</t>
  </si>
  <si>
    <t>P049</t>
  </si>
  <si>
    <t>CG-1828</t>
  </si>
  <si>
    <t>19-3600</t>
  </si>
  <si>
    <t>SR-9757</t>
  </si>
  <si>
    <t>20-2180</t>
  </si>
  <si>
    <t>SR-9846</t>
  </si>
  <si>
    <t>19-3117</t>
  </si>
  <si>
    <t>SR-930</t>
  </si>
  <si>
    <t>20-4317</t>
  </si>
  <si>
    <t>P009</t>
  </si>
  <si>
    <t>SR-9400</t>
  </si>
  <si>
    <t>19-3042</t>
  </si>
  <si>
    <t>20-3661</t>
  </si>
  <si>
    <t>23-1793</t>
  </si>
  <si>
    <t>P010</t>
  </si>
  <si>
    <t>CT-3371</t>
  </si>
  <si>
    <t>19-4497</t>
  </si>
  <si>
    <t>20-3267</t>
  </si>
  <si>
    <t>20-4268</t>
  </si>
  <si>
    <t>P055</t>
  </si>
  <si>
    <t>CG-1672</t>
  </si>
  <si>
    <t>17-2848</t>
  </si>
  <si>
    <t>HS-7862</t>
  </si>
  <si>
    <t>20-3024</t>
  </si>
  <si>
    <t>SR-9312</t>
  </si>
  <si>
    <t>19-2337</t>
  </si>
  <si>
    <t>EE-434</t>
  </si>
  <si>
    <t>19-1157</t>
  </si>
  <si>
    <t>CP-2702</t>
  </si>
  <si>
    <t>18-3334</t>
  </si>
  <si>
    <t>P016</t>
  </si>
  <si>
    <t>CG-1367</t>
  </si>
  <si>
    <t>18-2724</t>
  </si>
  <si>
    <t>18-3939</t>
  </si>
  <si>
    <t>17-3471</t>
  </si>
  <si>
    <t>P047</t>
  </si>
  <si>
    <t>EE-4858</t>
  </si>
  <si>
    <t>17-1392</t>
  </si>
  <si>
    <t>P013</t>
  </si>
  <si>
    <t>22-2366</t>
  </si>
  <si>
    <t>21-4989</t>
  </si>
  <si>
    <t>EE-4400</t>
  </si>
  <si>
    <t>19-2707</t>
  </si>
  <si>
    <t>P075</t>
  </si>
  <si>
    <t>20-2206</t>
  </si>
  <si>
    <t>CT-3342</t>
  </si>
  <si>
    <t>20-1071</t>
  </si>
  <si>
    <t>19-3835</t>
  </si>
  <si>
    <t>20-2984</t>
  </si>
  <si>
    <t>19-3790</t>
  </si>
  <si>
    <t>CT-3242</t>
  </si>
  <si>
    <t>21-2621</t>
  </si>
  <si>
    <t>FE-6249</t>
  </si>
  <si>
    <t>20-4827</t>
  </si>
  <si>
    <t>P070</t>
  </si>
  <si>
    <t>SR-9393</t>
  </si>
  <si>
    <t>19-1064</t>
  </si>
  <si>
    <t>SR-9315</t>
  </si>
  <si>
    <t>19-2869</t>
  </si>
  <si>
    <t>18-1888</t>
  </si>
  <si>
    <t>CT-3590</t>
  </si>
  <si>
    <t>20-2056</t>
  </si>
  <si>
    <t>FE-6753</t>
  </si>
  <si>
    <t>18-3514</t>
  </si>
  <si>
    <t>P077</t>
  </si>
  <si>
    <t>HS-7741</t>
  </si>
  <si>
    <t>20-2427</t>
  </si>
  <si>
    <t>CG-1269</t>
  </si>
  <si>
    <t>19-3810</t>
  </si>
  <si>
    <t>P074</t>
  </si>
  <si>
    <t>HS-7227</t>
  </si>
  <si>
    <t>19-1464</t>
  </si>
  <si>
    <t>20-1847</t>
  </si>
  <si>
    <t>CP-2325</t>
  </si>
  <si>
    <t>21-2812</t>
  </si>
  <si>
    <t>P058</t>
  </si>
  <si>
    <t>EE-4438</t>
  </si>
  <si>
    <t>20-1826</t>
  </si>
  <si>
    <t>20-2642</t>
  </si>
  <si>
    <t>CP-2549</t>
  </si>
  <si>
    <t>22-4653</t>
  </si>
  <si>
    <t>20-3327</t>
  </si>
  <si>
    <t>SR-9695</t>
  </si>
  <si>
    <t>20-4208</t>
  </si>
  <si>
    <t>CP-2690</t>
  </si>
  <si>
    <t>21-1637</t>
  </si>
  <si>
    <t>CT-39</t>
  </si>
  <si>
    <t>21-1449</t>
  </si>
  <si>
    <t>FE-6615</t>
  </si>
  <si>
    <t>21-3455</t>
  </si>
  <si>
    <t>HS-7461</t>
  </si>
  <si>
    <t>18-2461</t>
  </si>
  <si>
    <t>CT-3229</t>
  </si>
  <si>
    <t>22-3574</t>
  </si>
  <si>
    <t>EE-4752</t>
  </si>
  <si>
    <t>21-1997</t>
  </si>
  <si>
    <t>19-2601</t>
  </si>
  <si>
    <t>FE-6341</t>
  </si>
  <si>
    <t>20-2078</t>
  </si>
  <si>
    <t>HS-7863</t>
  </si>
  <si>
    <t>20-2413</t>
  </si>
  <si>
    <t>20-3779</t>
  </si>
  <si>
    <t>22-2767</t>
  </si>
  <si>
    <t>21-4095</t>
  </si>
  <si>
    <t>20-4148</t>
  </si>
  <si>
    <t>21-2616</t>
  </si>
  <si>
    <t>CG-1729</t>
  </si>
  <si>
    <t>20-1008</t>
  </si>
  <si>
    <t>20-3702</t>
  </si>
  <si>
    <t>20-4236</t>
  </si>
  <si>
    <t>EE-4646</t>
  </si>
  <si>
    <t>19-4805</t>
  </si>
  <si>
    <t>20-3610</t>
  </si>
  <si>
    <t>SR-9853</t>
  </si>
  <si>
    <t>17-2067</t>
  </si>
  <si>
    <t>CT-3648</t>
  </si>
  <si>
    <t>22-1438</t>
  </si>
  <si>
    <t>P056</t>
  </si>
  <si>
    <t>CP-2279</t>
  </si>
  <si>
    <t>20-4984</t>
  </si>
  <si>
    <t>23-1444</t>
  </si>
  <si>
    <t>HS-7694</t>
  </si>
  <si>
    <t>21-2375</t>
  </si>
  <si>
    <t>19-4448</t>
  </si>
  <si>
    <t>20-4014</t>
  </si>
  <si>
    <t>21-2042</t>
  </si>
  <si>
    <t>FE-629</t>
  </si>
  <si>
    <t>20-1197</t>
  </si>
  <si>
    <t>20-3480</t>
  </si>
  <si>
    <t>EE-4293</t>
  </si>
  <si>
    <t>21-2211</t>
  </si>
  <si>
    <t>P011</t>
  </si>
  <si>
    <t>SR-9223</t>
  </si>
  <si>
    <t>21-3344</t>
  </si>
  <si>
    <t>SR-9307</t>
  </si>
  <si>
    <t>20-3706</t>
  </si>
  <si>
    <t>CP-2795</t>
  </si>
  <si>
    <t>17-3732</t>
  </si>
  <si>
    <t>21-4145</t>
  </si>
  <si>
    <t>SR-9904</t>
  </si>
  <si>
    <t>23-2687</t>
  </si>
  <si>
    <t>19-3887</t>
  </si>
  <si>
    <t>CT-3737</t>
  </si>
  <si>
    <t>21-2164</t>
  </si>
  <si>
    <t>21-3205</t>
  </si>
  <si>
    <t>20-1484</t>
  </si>
  <si>
    <t>18-2868</t>
  </si>
  <si>
    <t>P042</t>
  </si>
  <si>
    <t>HS-7802</t>
  </si>
  <si>
    <t>21-4082</t>
  </si>
  <si>
    <t>CP-2753</t>
  </si>
  <si>
    <t>18-2368</t>
  </si>
  <si>
    <t>19-3355</t>
  </si>
  <si>
    <t>22-1219</t>
  </si>
  <si>
    <t>20-4084</t>
  </si>
  <si>
    <t>21-1499</t>
  </si>
  <si>
    <t>21-3828</t>
  </si>
  <si>
    <t>CT-3796</t>
  </si>
  <si>
    <t>21-1855</t>
  </si>
  <si>
    <t>16-1896</t>
  </si>
  <si>
    <t>20-4662</t>
  </si>
  <si>
    <t>CG-1565</t>
  </si>
  <si>
    <t>21-2733</t>
  </si>
  <si>
    <t>20-3535</t>
  </si>
  <si>
    <t>21-4645</t>
  </si>
  <si>
    <t>CT-3169</t>
  </si>
  <si>
    <t>20-3703</t>
  </si>
  <si>
    <t>P097</t>
  </si>
  <si>
    <t>21-2629</t>
  </si>
  <si>
    <t>21-4282</t>
  </si>
  <si>
    <t>21-2192</t>
  </si>
  <si>
    <t>21-1654</t>
  </si>
  <si>
    <t>CP-2251</t>
  </si>
  <si>
    <t>21-1584</t>
  </si>
  <si>
    <t>19-3780</t>
  </si>
  <si>
    <t>CT-3613</t>
  </si>
  <si>
    <t>20-1621</t>
  </si>
  <si>
    <t>20-2951</t>
  </si>
  <si>
    <t>22-3899</t>
  </si>
  <si>
    <t>CP-2543</t>
  </si>
  <si>
    <t>21-1633</t>
  </si>
  <si>
    <t>20-2538</t>
  </si>
  <si>
    <t>P063</t>
  </si>
  <si>
    <t>EE-4655</t>
  </si>
  <si>
    <t>20-3996</t>
  </si>
  <si>
    <t>21-3431</t>
  </si>
  <si>
    <t>CT-3932</t>
  </si>
  <si>
    <t>20-4752</t>
  </si>
  <si>
    <t>P059</t>
  </si>
  <si>
    <t>HS-7129</t>
  </si>
  <si>
    <t>19-1545</t>
  </si>
  <si>
    <t>P068</t>
  </si>
  <si>
    <t>HS-7746</t>
  </si>
  <si>
    <t>19-4025</t>
  </si>
  <si>
    <t>21-1825</t>
  </si>
  <si>
    <t>20-2208</t>
  </si>
  <si>
    <t>HS-7586</t>
  </si>
  <si>
    <t>20-1495</t>
  </si>
  <si>
    <t>21-2686</t>
  </si>
  <si>
    <t>HS-7273</t>
  </si>
  <si>
    <t>22-1736</t>
  </si>
  <si>
    <t>SR-9981</t>
  </si>
  <si>
    <t>20-1322</t>
  </si>
  <si>
    <t>21-4296</t>
  </si>
  <si>
    <t>18-2592</t>
  </si>
  <si>
    <t>P093</t>
  </si>
  <si>
    <t>EE-4661</t>
  </si>
  <si>
    <t>18-3033</t>
  </si>
  <si>
    <t>HS-7607</t>
  </si>
  <si>
    <t>19-2988</t>
  </si>
  <si>
    <t>22-1925</t>
  </si>
  <si>
    <t>EE-4669</t>
  </si>
  <si>
    <t>20-4953</t>
  </si>
  <si>
    <t>CP-2694</t>
  </si>
  <si>
    <t>20-1731</t>
  </si>
  <si>
    <t>18-4692</t>
  </si>
  <si>
    <t>19-4399</t>
  </si>
  <si>
    <t>18-1634</t>
  </si>
  <si>
    <t>CT-3715</t>
  </si>
  <si>
    <t>21-4314</t>
  </si>
  <si>
    <t>CP-2735</t>
  </si>
  <si>
    <t>18-2546</t>
  </si>
  <si>
    <t>20-1850</t>
  </si>
  <si>
    <t>16-3460</t>
  </si>
  <si>
    <t>CT-3920</t>
  </si>
  <si>
    <t>19-4108</t>
  </si>
  <si>
    <t>19-3266</t>
  </si>
  <si>
    <t>P080</t>
  </si>
  <si>
    <t>20-2505</t>
  </si>
  <si>
    <t>21-2421</t>
  </si>
  <si>
    <t>18-1174</t>
  </si>
  <si>
    <t>EE-4361</t>
  </si>
  <si>
    <t>19-4268</t>
  </si>
  <si>
    <t>CT-3464</t>
  </si>
  <si>
    <t>21-1218</t>
  </si>
  <si>
    <t>21-4757</t>
  </si>
  <si>
    <t>P082</t>
  </si>
  <si>
    <t>22-3754</t>
  </si>
  <si>
    <t>20-2162</t>
  </si>
  <si>
    <t>CG-1804</t>
  </si>
  <si>
    <t>19-4800</t>
  </si>
  <si>
    <t>21-4167</t>
  </si>
  <si>
    <t>21-2688</t>
  </si>
  <si>
    <t>21-3559</t>
  </si>
  <si>
    <t>18-2740</t>
  </si>
  <si>
    <t>19-1004</t>
  </si>
  <si>
    <t>18-4758</t>
  </si>
  <si>
    <t>SR-9105</t>
  </si>
  <si>
    <t>23-4205</t>
  </si>
  <si>
    <t>21-3908</t>
  </si>
  <si>
    <t>20-1735</t>
  </si>
  <si>
    <t>P007</t>
  </si>
  <si>
    <t>17-4344</t>
  </si>
  <si>
    <t>SR-9566</t>
  </si>
  <si>
    <t>20-1767</t>
  </si>
  <si>
    <t>CT-3439</t>
  </si>
  <si>
    <t>21-3124</t>
  </si>
  <si>
    <t>CG-1580</t>
  </si>
  <si>
    <t>20-1157</t>
  </si>
  <si>
    <t>21-2499</t>
  </si>
  <si>
    <t>EE-4357</t>
  </si>
  <si>
    <t>21-4429</t>
  </si>
  <si>
    <t>20-2531</t>
  </si>
  <si>
    <t>17-2218</t>
  </si>
  <si>
    <t>20-3981</t>
  </si>
  <si>
    <t>16-3455</t>
  </si>
  <si>
    <t>EE-450</t>
  </si>
  <si>
    <t>18-4504</t>
  </si>
  <si>
    <t>19-2552</t>
  </si>
  <si>
    <t>21-1364</t>
  </si>
  <si>
    <t>CT-3693</t>
  </si>
  <si>
    <t>19-2874</t>
  </si>
  <si>
    <t>18-4169</t>
  </si>
  <si>
    <t>HS-735</t>
  </si>
  <si>
    <t>21-3725</t>
  </si>
  <si>
    <t>20-3547</t>
  </si>
  <si>
    <t>18-2098</t>
  </si>
  <si>
    <t>CG-1701</t>
  </si>
  <si>
    <t>21-4188</t>
  </si>
  <si>
    <t>CP-2380</t>
  </si>
  <si>
    <t>22-1501</t>
  </si>
  <si>
    <t>22-2977</t>
  </si>
  <si>
    <t>CP-2393</t>
  </si>
  <si>
    <t>21-4861</t>
  </si>
  <si>
    <t>HS-7670</t>
  </si>
  <si>
    <t>22-3716</t>
  </si>
  <si>
    <t>20-1280</t>
  </si>
  <si>
    <t>CP-2574</t>
  </si>
  <si>
    <t>20-4491</t>
  </si>
  <si>
    <t>CG-1535</t>
  </si>
  <si>
    <t>20-1961</t>
  </si>
  <si>
    <t>22-3066</t>
  </si>
  <si>
    <t>20-4003</t>
  </si>
  <si>
    <t>20-2743</t>
  </si>
  <si>
    <t>CG-1114</t>
  </si>
  <si>
    <t>21-1279</t>
  </si>
  <si>
    <t>19-1810</t>
  </si>
  <si>
    <t>CG-1197</t>
  </si>
  <si>
    <t>21-1575</t>
  </si>
  <si>
    <t>18-3412</t>
  </si>
  <si>
    <t>19-1885</t>
  </si>
  <si>
    <t>21-4754</t>
  </si>
  <si>
    <t>21-2096</t>
  </si>
  <si>
    <t>21-1249</t>
  </si>
  <si>
    <t>CG-1465</t>
  </si>
  <si>
    <t>20-3126</t>
  </si>
  <si>
    <t>21-4607</t>
  </si>
  <si>
    <t>18-2157</t>
  </si>
  <si>
    <t>22-1010</t>
  </si>
  <si>
    <t>CP-2749</t>
  </si>
  <si>
    <t>22-1380</t>
  </si>
  <si>
    <t>17-2043</t>
  </si>
  <si>
    <t>20-1252</t>
  </si>
  <si>
    <t>20-1359</t>
  </si>
  <si>
    <t>22-4598</t>
  </si>
  <si>
    <t>20-1293</t>
  </si>
  <si>
    <t>21-4262</t>
  </si>
  <si>
    <t>HS-7367</t>
  </si>
  <si>
    <t>21-2043</t>
  </si>
  <si>
    <t>21-4317</t>
  </si>
  <si>
    <t>20-2709</t>
  </si>
  <si>
    <t>23-1477</t>
  </si>
  <si>
    <t>CG-1983</t>
  </si>
  <si>
    <t>23-2472</t>
  </si>
  <si>
    <t>22-4780</t>
  </si>
  <si>
    <t>CG-1618</t>
  </si>
  <si>
    <t>21-4481</t>
  </si>
  <si>
    <t>22-2445</t>
  </si>
  <si>
    <t>18-2995</t>
  </si>
  <si>
    <t>22-2583</t>
  </si>
  <si>
    <t>CG-1833</t>
  </si>
  <si>
    <t>21-3092</t>
  </si>
  <si>
    <t>21-4294</t>
  </si>
  <si>
    <t>CT-3960</t>
  </si>
  <si>
    <t>21-4730</t>
  </si>
  <si>
    <t>CP-2889</t>
  </si>
  <si>
    <t>19-1470</t>
  </si>
  <si>
    <t>20-2581</t>
  </si>
  <si>
    <t>21-1717</t>
  </si>
  <si>
    <t>20-4394</t>
  </si>
  <si>
    <t>20-1471</t>
  </si>
  <si>
    <t>20-3723</t>
  </si>
  <si>
    <t>20-4315</t>
  </si>
  <si>
    <t>19-2019</t>
  </si>
  <si>
    <t>20-3125</t>
  </si>
  <si>
    <t>FE-6470</t>
  </si>
  <si>
    <t>19-3821</t>
  </si>
  <si>
    <t>22-2104</t>
  </si>
  <si>
    <t>CG-1210</t>
  </si>
  <si>
    <t>18-2593</t>
  </si>
  <si>
    <t>22-1653</t>
  </si>
  <si>
    <t>EE-4585</t>
  </si>
  <si>
    <t>19-1939</t>
  </si>
  <si>
    <t>CG-1527</t>
  </si>
  <si>
    <t>19-4659</t>
  </si>
  <si>
    <t>19-3186</t>
  </si>
  <si>
    <t>20-2575</t>
  </si>
  <si>
    <t>FE-685</t>
  </si>
  <si>
    <t>20-4754</t>
  </si>
  <si>
    <t>16-1417</t>
  </si>
  <si>
    <t>CP-2629</t>
  </si>
  <si>
    <t>21-4448</t>
  </si>
  <si>
    <t>22-3183</t>
  </si>
  <si>
    <t>20-3673</t>
  </si>
  <si>
    <t>HS-7993</t>
  </si>
  <si>
    <t>17-3087</t>
  </si>
  <si>
    <t>19-2203</t>
  </si>
  <si>
    <t>20-3634</t>
  </si>
  <si>
    <t>20-1798</t>
  </si>
  <si>
    <t>20-3587</t>
  </si>
  <si>
    <t>18-4977</t>
  </si>
  <si>
    <t>19-4054</t>
  </si>
  <si>
    <t>18-3442</t>
  </si>
  <si>
    <t>SR-9198</t>
  </si>
  <si>
    <t>21-3061</t>
  </si>
  <si>
    <t>21-4712</t>
  </si>
  <si>
    <t>20-1858</t>
  </si>
  <si>
    <t>HS-7997</t>
  </si>
  <si>
    <t>20-3939</t>
  </si>
  <si>
    <t>19-4688</t>
  </si>
  <si>
    <t>19-1873</t>
  </si>
  <si>
    <t>19-3495</t>
  </si>
  <si>
    <t>CP-2468</t>
  </si>
  <si>
    <t>18-4263</t>
  </si>
  <si>
    <t>18-2394</t>
  </si>
  <si>
    <t>FE-6892</t>
  </si>
  <si>
    <t>21-2912</t>
  </si>
  <si>
    <t>20-4920</t>
  </si>
  <si>
    <t>18-3974</t>
  </si>
  <si>
    <t>CP-2555</t>
  </si>
  <si>
    <t>18-2675</t>
  </si>
  <si>
    <t>20-3581</t>
  </si>
  <si>
    <t>21-3773</t>
  </si>
  <si>
    <t>18-3867</t>
  </si>
  <si>
    <t>20-2568</t>
  </si>
  <si>
    <t>21-1642</t>
  </si>
  <si>
    <t>EE-4671</t>
  </si>
  <si>
    <t>19-2444</t>
  </si>
  <si>
    <t>FE-652</t>
  </si>
  <si>
    <t>20-2598</t>
  </si>
  <si>
    <t>18-1877</t>
  </si>
  <si>
    <t>18-3586</t>
  </si>
  <si>
    <t>20-1634</t>
  </si>
  <si>
    <t>16-2604</t>
  </si>
  <si>
    <t>20-1131</t>
  </si>
  <si>
    <t>20-4240</t>
  </si>
  <si>
    <t>20-4368</t>
  </si>
  <si>
    <t>18-1110</t>
  </si>
  <si>
    <t>20-2468</t>
  </si>
  <si>
    <t>21-3827</t>
  </si>
  <si>
    <t>20-3339</t>
  </si>
  <si>
    <t>FE-6260</t>
  </si>
  <si>
    <t>18-4196</t>
  </si>
  <si>
    <t>19-3551</t>
  </si>
  <si>
    <t>22-4265</t>
  </si>
  <si>
    <t>23-4605</t>
  </si>
  <si>
    <t>20-2760</t>
  </si>
  <si>
    <t>19-2327</t>
  </si>
  <si>
    <t>EE-4649</t>
  </si>
  <si>
    <t>19-2963</t>
  </si>
  <si>
    <t>CG-1514</t>
  </si>
  <si>
    <t>20-2842</t>
  </si>
  <si>
    <t>21-3335</t>
  </si>
  <si>
    <t>P017</t>
  </si>
  <si>
    <t>21-4965</t>
  </si>
  <si>
    <t>21-3478</t>
  </si>
  <si>
    <t>21-1802</t>
  </si>
  <si>
    <t>20-2708</t>
  </si>
  <si>
    <t>22-3300</t>
  </si>
  <si>
    <t>20-3340</t>
  </si>
  <si>
    <t>CG-1835</t>
  </si>
  <si>
    <t>20-4187</t>
  </si>
  <si>
    <t>P045</t>
  </si>
  <si>
    <t>21-4544</t>
  </si>
  <si>
    <t>18-1859</t>
  </si>
  <si>
    <t>21-3868</t>
  </si>
  <si>
    <t>23-2952</t>
  </si>
  <si>
    <t>20-2314</t>
  </si>
  <si>
    <t>18-1774</t>
  </si>
  <si>
    <t>EE-4771</t>
  </si>
  <si>
    <t>22-1018</t>
  </si>
  <si>
    <t>20-1805</t>
  </si>
  <si>
    <t>20-3738</t>
  </si>
  <si>
    <t>18-1593</t>
  </si>
  <si>
    <t>20-2941</t>
  </si>
  <si>
    <t>18-4916</t>
  </si>
  <si>
    <t>CT-3697</t>
  </si>
  <si>
    <t>19-3912</t>
  </si>
  <si>
    <t>HS-7204</t>
  </si>
  <si>
    <t>20-3041</t>
  </si>
  <si>
    <t>CG-1393</t>
  </si>
  <si>
    <t>21-4284</t>
  </si>
  <si>
    <t>21-3305</t>
  </si>
  <si>
    <t>19-2794</t>
  </si>
  <si>
    <t>21-1834</t>
  </si>
  <si>
    <t>CT-3184</t>
  </si>
  <si>
    <t>20-1092</t>
  </si>
  <si>
    <t>17-2322</t>
  </si>
  <si>
    <t>17-3237</t>
  </si>
  <si>
    <t>CP-2846</t>
  </si>
  <si>
    <t>20-4252</t>
  </si>
  <si>
    <t>SR-9351</t>
  </si>
  <si>
    <t>21-4662</t>
  </si>
  <si>
    <t>CG-1416</t>
  </si>
  <si>
    <t>20-4066</t>
  </si>
  <si>
    <t>18-4284</t>
  </si>
  <si>
    <t>18-4437</t>
  </si>
  <si>
    <t>24-2571</t>
  </si>
  <si>
    <t>20-4010</t>
  </si>
  <si>
    <t>FE-6287</t>
  </si>
  <si>
    <t>20-1584</t>
  </si>
  <si>
    <t>21-2336</t>
  </si>
  <si>
    <t>19-4674</t>
  </si>
  <si>
    <t>19-2776</t>
  </si>
  <si>
    <t>21-1098</t>
  </si>
  <si>
    <t>20-1810</t>
  </si>
  <si>
    <t>19-1150</t>
  </si>
  <si>
    <t>18-2109</t>
  </si>
  <si>
    <t>19-4017</t>
  </si>
  <si>
    <t>17-4293</t>
  </si>
  <si>
    <t>21-3963</t>
  </si>
  <si>
    <t>20-2805</t>
  </si>
  <si>
    <t>20-2394</t>
  </si>
  <si>
    <t>20-4498</t>
  </si>
  <si>
    <t>21-3958</t>
  </si>
  <si>
    <t>18-3446</t>
  </si>
  <si>
    <t>19-4117</t>
  </si>
  <si>
    <t>20-4278</t>
  </si>
  <si>
    <t>CP-2758</t>
  </si>
  <si>
    <t>19-2832</t>
  </si>
  <si>
    <t>21-3874</t>
  </si>
  <si>
    <t>22-3402</t>
  </si>
  <si>
    <t>20-2384</t>
  </si>
  <si>
    <t>20-1331</t>
  </si>
  <si>
    <t>22-2244</t>
  </si>
  <si>
    <t>EE-4797</t>
  </si>
  <si>
    <t>21-1397</t>
  </si>
  <si>
    <t>18-3805</t>
  </si>
  <si>
    <t>CT-3465</t>
  </si>
  <si>
    <t>20-1476</t>
  </si>
  <si>
    <t>FE-6404</t>
  </si>
  <si>
    <t>19-1101</t>
  </si>
  <si>
    <t>23-3975</t>
  </si>
  <si>
    <t>20-2299</t>
  </si>
  <si>
    <t>18-1650</t>
  </si>
  <si>
    <t>18-3489</t>
  </si>
  <si>
    <t>CT-3105</t>
  </si>
  <si>
    <t>22-3199</t>
  </si>
  <si>
    <t>20-3114</t>
  </si>
  <si>
    <t>21-4422</t>
  </si>
  <si>
    <t>20-4300</t>
  </si>
  <si>
    <t>18-4975</t>
  </si>
  <si>
    <t>19-1999</t>
  </si>
  <si>
    <t>19-1077</t>
  </si>
  <si>
    <t>20-4635</t>
  </si>
  <si>
    <t>20-1111</t>
  </si>
  <si>
    <t>20-1216</t>
  </si>
  <si>
    <t>20-4468</t>
  </si>
  <si>
    <t>20-1937</t>
  </si>
  <si>
    <t>CT-3225</t>
  </si>
  <si>
    <t>21-4255</t>
  </si>
  <si>
    <t>EE-4580</t>
  </si>
  <si>
    <t>19-1735</t>
  </si>
  <si>
    <t>FE-6818</t>
  </si>
  <si>
    <t>18-1437</t>
  </si>
  <si>
    <t>18-4129</t>
  </si>
  <si>
    <t>SR-9332</t>
  </si>
  <si>
    <t>19-1190</t>
  </si>
  <si>
    <t>21-4541</t>
  </si>
  <si>
    <t>19-2955</t>
  </si>
  <si>
    <t>21-4868</t>
  </si>
  <si>
    <t>20-4698</t>
  </si>
  <si>
    <t>22-3239</t>
  </si>
  <si>
    <t>18-4254</t>
  </si>
  <si>
    <t>CG-1627</t>
  </si>
  <si>
    <t>21-1082</t>
  </si>
  <si>
    <t>CP-2960</t>
  </si>
  <si>
    <t>19-3326</t>
  </si>
  <si>
    <t>20-4925</t>
  </si>
  <si>
    <t>19-2824</t>
  </si>
  <si>
    <t>22-4673</t>
  </si>
  <si>
    <t>21-3066</t>
  </si>
  <si>
    <t>19-2241</t>
  </si>
  <si>
    <t>19-1676</t>
  </si>
  <si>
    <t>19-4732</t>
  </si>
  <si>
    <t>19-1356</t>
  </si>
  <si>
    <t>20-3765</t>
  </si>
  <si>
    <t>CT-3375</t>
  </si>
  <si>
    <t>21-4589</t>
  </si>
  <si>
    <t>19-1785</t>
  </si>
  <si>
    <t>17-4385</t>
  </si>
  <si>
    <t>19-4248</t>
  </si>
  <si>
    <t>20-4738</t>
  </si>
  <si>
    <t>19-2100</t>
  </si>
  <si>
    <t>CT-3497</t>
  </si>
  <si>
    <t>19-3049</t>
  </si>
  <si>
    <t>SR-9274</t>
  </si>
  <si>
    <t>17-4532</t>
  </si>
  <si>
    <t>FE-6339</t>
  </si>
  <si>
    <t>21-4651</t>
  </si>
  <si>
    <t>20-3539</t>
  </si>
  <si>
    <t>22-3852</t>
  </si>
  <si>
    <t>19-2732</t>
  </si>
  <si>
    <t>20-3197</t>
  </si>
  <si>
    <t>19-3158</t>
  </si>
  <si>
    <t>20-4206</t>
  </si>
  <si>
    <t>21-2918</t>
  </si>
  <si>
    <t>FE-6591</t>
  </si>
  <si>
    <t>19-4298</t>
  </si>
  <si>
    <t>20-3620</t>
  </si>
  <si>
    <t>19-2061</t>
  </si>
  <si>
    <t>23-3248</t>
  </si>
  <si>
    <t>20-2500</t>
  </si>
  <si>
    <t>19-3978</t>
  </si>
  <si>
    <t>22-1421</t>
  </si>
  <si>
    <t>20-1801</t>
  </si>
  <si>
    <t>20-1190</t>
  </si>
  <si>
    <t>CT-3955</t>
  </si>
  <si>
    <t>20-2971</t>
  </si>
  <si>
    <t>19-1588</t>
  </si>
  <si>
    <t>20-3768</t>
  </si>
  <si>
    <t>18-3025</t>
  </si>
  <si>
    <t>CP-2510</t>
  </si>
  <si>
    <t>17-3764</t>
  </si>
  <si>
    <t>CG-1634</t>
  </si>
  <si>
    <t>20-3199</t>
  </si>
  <si>
    <t>20-1544</t>
  </si>
  <si>
    <t>19-2992</t>
  </si>
  <si>
    <t>18-2779</t>
  </si>
  <si>
    <t>21-2739</t>
  </si>
  <si>
    <t>21-3329</t>
  </si>
  <si>
    <t>21-1955</t>
  </si>
  <si>
    <t>20-1267</t>
  </si>
  <si>
    <t>19-1158</t>
  </si>
  <si>
    <t>20-1003</t>
  </si>
  <si>
    <t>18-2576</t>
  </si>
  <si>
    <t>18-4594</t>
  </si>
  <si>
    <t>21-3490</t>
  </si>
  <si>
    <t>19-2934</t>
  </si>
  <si>
    <t>17-3561</t>
  </si>
  <si>
    <t>19-4487</t>
  </si>
  <si>
    <t>20-2675</t>
  </si>
  <si>
    <t>CT-3690</t>
  </si>
  <si>
    <t>21-3241</t>
  </si>
  <si>
    <t>20-2501</t>
  </si>
  <si>
    <t>20-4242</t>
  </si>
  <si>
    <t>CG-1543</t>
  </si>
  <si>
    <t>21-2571</t>
  </si>
  <si>
    <t>21-4485</t>
  </si>
  <si>
    <t>19-1325</t>
  </si>
  <si>
    <t>19-3749</t>
  </si>
  <si>
    <t>17-4621</t>
  </si>
  <si>
    <t>FE-6254</t>
  </si>
  <si>
    <t>19-1744</t>
  </si>
  <si>
    <t>20-3965</t>
  </si>
  <si>
    <t>19-1976</t>
  </si>
  <si>
    <t>18-3101</t>
  </si>
  <si>
    <t>20-3778</t>
  </si>
  <si>
    <t>20-1100</t>
  </si>
  <si>
    <t>20-3318</t>
  </si>
  <si>
    <t>19-4634</t>
  </si>
  <si>
    <t>19-3011</t>
  </si>
  <si>
    <t>20-3228</t>
  </si>
  <si>
    <t>20-2558</t>
  </si>
  <si>
    <t>CP-2926</t>
  </si>
  <si>
    <t>21-4640</t>
  </si>
  <si>
    <t>22-4355</t>
  </si>
  <si>
    <t>22-3525</t>
  </si>
  <si>
    <t>18-2329</t>
  </si>
  <si>
    <t>20-4369</t>
  </si>
  <si>
    <t>CG-13</t>
  </si>
  <si>
    <t>22-1355</t>
  </si>
  <si>
    <t>19-3580</t>
  </si>
  <si>
    <t>17-4704</t>
  </si>
  <si>
    <t>23-1890</t>
  </si>
  <si>
    <t>21-4052</t>
  </si>
  <si>
    <t>18-3899</t>
  </si>
  <si>
    <t>19-2210</t>
  </si>
  <si>
    <t>21-3171</t>
  </si>
  <si>
    <t>19-4407</t>
  </si>
  <si>
    <t>19-3262</t>
  </si>
  <si>
    <t>CT-3606</t>
  </si>
  <si>
    <t>17-4257</t>
  </si>
  <si>
    <t>20-1921</t>
  </si>
  <si>
    <t>19-3392</t>
  </si>
  <si>
    <t>20-3152</t>
  </si>
  <si>
    <t>19-2505</t>
  </si>
  <si>
    <t>21-2402</t>
  </si>
  <si>
    <t>19-2234</t>
  </si>
  <si>
    <t>19-4849</t>
  </si>
  <si>
    <t>17-1042</t>
  </si>
  <si>
    <t>19-1316</t>
  </si>
  <si>
    <t>CT-363</t>
  </si>
  <si>
    <t>19-4720</t>
  </si>
  <si>
    <t>22-3865</t>
  </si>
  <si>
    <t>21-3250</t>
  </si>
  <si>
    <t>CP-2488</t>
  </si>
  <si>
    <t>17-4441</t>
  </si>
  <si>
    <t>19-4523</t>
  </si>
  <si>
    <t>20-3368</t>
  </si>
  <si>
    <t>19-1297</t>
  </si>
  <si>
    <t>19-2499</t>
  </si>
  <si>
    <t>20-2812</t>
  </si>
  <si>
    <t>20-3315</t>
  </si>
  <si>
    <t>18-2216</t>
  </si>
  <si>
    <t>19-3346</t>
  </si>
  <si>
    <t>EE-4613</t>
  </si>
  <si>
    <t>20-3954</t>
  </si>
  <si>
    <t>19-3862</t>
  </si>
  <si>
    <t>20-3796</t>
  </si>
  <si>
    <t>22-4188</t>
  </si>
  <si>
    <t>19-2850</t>
  </si>
  <si>
    <t>19-1148</t>
  </si>
  <si>
    <t>20-3050</t>
  </si>
  <si>
    <t>18-1177</t>
  </si>
  <si>
    <t>19-3767</t>
  </si>
  <si>
    <t>22-4248</t>
  </si>
  <si>
    <t>21-1024</t>
  </si>
  <si>
    <t>18-4338</t>
  </si>
  <si>
    <t>19-1554</t>
  </si>
  <si>
    <t>21-2129</t>
  </si>
  <si>
    <t>20-1122</t>
  </si>
  <si>
    <t>21-3321</t>
  </si>
  <si>
    <t>22-4645</t>
  </si>
  <si>
    <t>22-3939</t>
  </si>
  <si>
    <t>16-1451</t>
  </si>
  <si>
    <t>CT-3498</t>
  </si>
  <si>
    <t>20-4845</t>
  </si>
  <si>
    <t>18-3500</t>
  </si>
  <si>
    <t>21-1046</t>
  </si>
  <si>
    <t>20-2643</t>
  </si>
  <si>
    <t>20-4685</t>
  </si>
  <si>
    <t>23-4462</t>
  </si>
  <si>
    <t>20-1777</t>
  </si>
  <si>
    <t>18-1038</t>
  </si>
  <si>
    <t>SR-9975</t>
  </si>
  <si>
    <t>20-1503</t>
  </si>
  <si>
    <t>20-2388</t>
  </si>
  <si>
    <t>19-3344</t>
  </si>
  <si>
    <t>18-2805</t>
  </si>
  <si>
    <t>19-1684</t>
  </si>
  <si>
    <t>18-4545</t>
  </si>
  <si>
    <t>19-3477</t>
  </si>
  <si>
    <t>21-4119</t>
  </si>
  <si>
    <t>22-2490</t>
  </si>
  <si>
    <t>19-2408</t>
  </si>
  <si>
    <t>20-3453</t>
  </si>
  <si>
    <t>19-3114</t>
  </si>
  <si>
    <t>20-1836</t>
  </si>
  <si>
    <t>HS-7475</t>
  </si>
  <si>
    <t>19-1248</t>
  </si>
  <si>
    <t>20-1521</t>
  </si>
  <si>
    <t>FE-6631</t>
  </si>
  <si>
    <t>18-4804</t>
  </si>
  <si>
    <t>19-2904</t>
  </si>
  <si>
    <t>20-4083</t>
  </si>
  <si>
    <t>23-3543</t>
  </si>
  <si>
    <t>18-1042</t>
  </si>
  <si>
    <t>19-1357</t>
  </si>
  <si>
    <t>20-1924</t>
  </si>
  <si>
    <t>20-3798</t>
  </si>
  <si>
    <t>19-3868</t>
  </si>
  <si>
    <t>20-2254</t>
  </si>
  <si>
    <t>21-2764</t>
  </si>
  <si>
    <t>23-3611</t>
  </si>
  <si>
    <t>20-2917</t>
  </si>
  <si>
    <t>23-3276</t>
  </si>
  <si>
    <t>19-3216</t>
  </si>
  <si>
    <t>19-1800</t>
  </si>
  <si>
    <t>EE-4409</t>
  </si>
  <si>
    <t>19-4968</t>
  </si>
  <si>
    <t>21-2825</t>
  </si>
  <si>
    <t>20-3714</t>
  </si>
  <si>
    <t>19-4016</t>
  </si>
  <si>
    <t>18-3744</t>
  </si>
  <si>
    <t>CP-260</t>
  </si>
  <si>
    <t>19-1519</t>
  </si>
  <si>
    <t>19-1922</t>
  </si>
  <si>
    <t>16-1050</t>
  </si>
  <si>
    <t>19-1124</t>
  </si>
  <si>
    <t>21-1552</t>
  </si>
  <si>
    <t>17-1285</t>
  </si>
  <si>
    <t>21-3619</t>
  </si>
  <si>
    <t>20-2656</t>
  </si>
  <si>
    <t>21-3717</t>
  </si>
  <si>
    <t>CP-2824</t>
  </si>
  <si>
    <t>21-4410</t>
  </si>
  <si>
    <t>24-4826</t>
  </si>
  <si>
    <t>19-3290</t>
  </si>
  <si>
    <t>20-3425</t>
  </si>
  <si>
    <t>21-4168</t>
  </si>
  <si>
    <t>HS-7161</t>
  </si>
  <si>
    <t>21-1042</t>
  </si>
  <si>
    <t>20-3933</t>
  </si>
  <si>
    <t>21-3183</t>
  </si>
  <si>
    <t>20-2474</t>
  </si>
  <si>
    <t>19-3505</t>
  </si>
  <si>
    <t>19-4218</t>
  </si>
  <si>
    <t>23-2041</t>
  </si>
  <si>
    <t>22-4186</t>
  </si>
  <si>
    <t>20-3857</t>
  </si>
  <si>
    <t>18-4854</t>
  </si>
  <si>
    <t>20-4863</t>
  </si>
  <si>
    <t>20-2115</t>
  </si>
  <si>
    <t>21-4566</t>
  </si>
  <si>
    <t>20-3167</t>
  </si>
  <si>
    <t>20-2672</t>
  </si>
  <si>
    <t>24-4382</t>
  </si>
  <si>
    <t>20-4032</t>
  </si>
  <si>
    <t>18-2310</t>
  </si>
  <si>
    <t>SR-9732</t>
  </si>
  <si>
    <t>21-3333</t>
  </si>
  <si>
    <t>20-3325</t>
  </si>
  <si>
    <t>CP-2218</t>
  </si>
  <si>
    <t>18-1542</t>
  </si>
  <si>
    <t>19-3982</t>
  </si>
  <si>
    <t>21-2883</t>
  </si>
  <si>
    <t>20-4105</t>
  </si>
  <si>
    <t>19-1079</t>
  </si>
  <si>
    <t>22-2892</t>
  </si>
  <si>
    <t>EE-4370</t>
  </si>
  <si>
    <t>19-3758</t>
  </si>
  <si>
    <t>SR-9180</t>
  </si>
  <si>
    <t>17-3291</t>
  </si>
  <si>
    <t>19-1291</t>
  </si>
  <si>
    <t>22-4814</t>
  </si>
  <si>
    <t>21-2271</t>
  </si>
  <si>
    <t>21-3786</t>
  </si>
  <si>
    <t>21-2179</t>
  </si>
  <si>
    <t>19-2616</t>
  </si>
  <si>
    <t>18-4864</t>
  </si>
  <si>
    <t>19-2013</t>
  </si>
  <si>
    <t>17-3025</t>
  </si>
  <si>
    <t>19-1896</t>
  </si>
  <si>
    <t>19-2065</t>
  </si>
  <si>
    <t>21-2748</t>
  </si>
  <si>
    <t>21-4450</t>
  </si>
  <si>
    <t>20-4965</t>
  </si>
  <si>
    <t>21-2698</t>
  </si>
  <si>
    <t>19-1809</t>
  </si>
  <si>
    <t>21-4756</t>
  </si>
  <si>
    <t>FE-6981</t>
  </si>
  <si>
    <t>21-2018</t>
  </si>
  <si>
    <t>21-4715</t>
  </si>
  <si>
    <t>20-3900</t>
  </si>
  <si>
    <t>21-1037</t>
  </si>
  <si>
    <t>19-1121</t>
  </si>
  <si>
    <t>20-1064</t>
  </si>
  <si>
    <t>20-4772</t>
  </si>
  <si>
    <t>20-3200</t>
  </si>
  <si>
    <t>20-1709</t>
  </si>
  <si>
    <t>22-2446</t>
  </si>
  <si>
    <t>19-4185</t>
  </si>
  <si>
    <t>20-1288</t>
  </si>
  <si>
    <t>20-1856</t>
  </si>
  <si>
    <t>19-2805</t>
  </si>
  <si>
    <t>19-2403</t>
  </si>
  <si>
    <t>19-4250</t>
  </si>
  <si>
    <t>21-3698</t>
  </si>
  <si>
    <t>19-1200</t>
  </si>
  <si>
    <t>19-3252</t>
  </si>
  <si>
    <t>21-1305</t>
  </si>
  <si>
    <t>20-4269</t>
  </si>
  <si>
    <t>19-3739</t>
  </si>
  <si>
    <t>19-1917</t>
  </si>
  <si>
    <t>21-2268</t>
  </si>
  <si>
    <t>20-2297</t>
  </si>
  <si>
    <t>20-1571</t>
  </si>
  <si>
    <t>24-2671</t>
  </si>
  <si>
    <t>22-4728</t>
  </si>
  <si>
    <t>20-1627</t>
  </si>
  <si>
    <t>19-2031</t>
  </si>
  <si>
    <t>22-1135</t>
  </si>
  <si>
    <t>22-2713</t>
  </si>
  <si>
    <t>19-3065</t>
  </si>
  <si>
    <t>21-2161</t>
  </si>
  <si>
    <t>21-4467</t>
  </si>
  <si>
    <t>21-4627</t>
  </si>
  <si>
    <t>20-3292</t>
  </si>
  <si>
    <t>CP-2865</t>
  </si>
  <si>
    <t>21-3464</t>
  </si>
  <si>
    <t>20-2288</t>
  </si>
  <si>
    <t>20-4416</t>
  </si>
  <si>
    <t>17-3360</t>
  </si>
  <si>
    <t>17-4829</t>
  </si>
  <si>
    <t>19-2924</t>
  </si>
  <si>
    <t>CT-3966</t>
  </si>
  <si>
    <t>17-3145</t>
  </si>
  <si>
    <t>22-2305</t>
  </si>
  <si>
    <t>20-3896</t>
  </si>
  <si>
    <t>21-1689</t>
  </si>
  <si>
    <t>20-1794</t>
  </si>
  <si>
    <t>18-2880</t>
  </si>
  <si>
    <t>18-4949</t>
  </si>
  <si>
    <t>19-1534</t>
  </si>
  <si>
    <t>22-3156</t>
  </si>
  <si>
    <t>19-2731</t>
  </si>
  <si>
    <t>20-1569</t>
  </si>
  <si>
    <t>21-3976</t>
  </si>
  <si>
    <t>18-2998</t>
  </si>
  <si>
    <t>19-4987</t>
  </si>
  <si>
    <t>20-4393</t>
  </si>
  <si>
    <t>20-4912</t>
  </si>
  <si>
    <t>19-4722</t>
  </si>
  <si>
    <t>20-1038</t>
  </si>
  <si>
    <t>19-3113</t>
  </si>
  <si>
    <t>21-3801</t>
  </si>
  <si>
    <t>HS-712</t>
  </si>
  <si>
    <t>19-1314</t>
  </si>
  <si>
    <t>21-2238</t>
  </si>
  <si>
    <t>19-3812</t>
  </si>
  <si>
    <t>19-2028</t>
  </si>
  <si>
    <t>21-1174</t>
  </si>
  <si>
    <t>18-3754</t>
  </si>
  <si>
    <t>19-2449</t>
  </si>
  <si>
    <t>19-3737</t>
  </si>
  <si>
    <t>20-3586</t>
  </si>
  <si>
    <t>23-4126</t>
  </si>
  <si>
    <t>22-4690</t>
  </si>
  <si>
    <t>20-3136</t>
  </si>
  <si>
    <t>20-3597</t>
  </si>
  <si>
    <t>21-4291</t>
  </si>
  <si>
    <t>21-1684</t>
  </si>
  <si>
    <t>19-2129</t>
  </si>
  <si>
    <t>22-3281</t>
  </si>
  <si>
    <t>20-1383</t>
  </si>
  <si>
    <t>22-1318</t>
  </si>
  <si>
    <t>22-3535</t>
  </si>
  <si>
    <t>21-4285</t>
  </si>
  <si>
    <t>21-2431</t>
  </si>
  <si>
    <t>19-4277</t>
  </si>
  <si>
    <t>17-2213</t>
  </si>
  <si>
    <t>21-3469</t>
  </si>
  <si>
    <t>19-4397</t>
  </si>
  <si>
    <t>19-4880</t>
  </si>
  <si>
    <t>22-1835</t>
  </si>
  <si>
    <t>19-1870</t>
  </si>
  <si>
    <t>EE-4308</t>
  </si>
  <si>
    <t>17-4263</t>
  </si>
  <si>
    <t>18-4909</t>
  </si>
  <si>
    <t>20-3693</t>
  </si>
  <si>
    <t>21-2597</t>
  </si>
  <si>
    <t>22-2449</t>
  </si>
  <si>
    <t>SR-9468</t>
  </si>
  <si>
    <t>18-2389</t>
  </si>
  <si>
    <t>20-4808</t>
  </si>
  <si>
    <t>18-1477</t>
  </si>
  <si>
    <t>19-1285</t>
  </si>
  <si>
    <t>21-1772</t>
  </si>
  <si>
    <t>17-3063</t>
  </si>
  <si>
    <t>20-3387</t>
  </si>
  <si>
    <t>20-3496</t>
  </si>
  <si>
    <t>18-2939</t>
  </si>
  <si>
    <t>20-4771</t>
  </si>
  <si>
    <t>18-2801</t>
  </si>
  <si>
    <t>20-2387</t>
  </si>
  <si>
    <t>20-4015</t>
  </si>
  <si>
    <t>FE-6150</t>
  </si>
  <si>
    <t>22-4556</t>
  </si>
  <si>
    <t>18-1496</t>
  </si>
  <si>
    <t>20-4913</t>
  </si>
  <si>
    <t>17-1002</t>
  </si>
  <si>
    <t>20-1660</t>
  </si>
  <si>
    <t>CP-2264</t>
  </si>
  <si>
    <t>20-4143</t>
  </si>
  <si>
    <t>18-4630</t>
  </si>
  <si>
    <t>20-1411</t>
  </si>
  <si>
    <t>20-1210</t>
  </si>
  <si>
    <t>21-3582</t>
  </si>
  <si>
    <t>18-2745</t>
  </si>
  <si>
    <t>19-3786</t>
  </si>
  <si>
    <t>22-2354</t>
  </si>
  <si>
    <t>21-1090</t>
  </si>
  <si>
    <t>18-1624</t>
  </si>
  <si>
    <t>17-3553</t>
  </si>
  <si>
    <t>17-2090</t>
  </si>
  <si>
    <t>18-3636</t>
  </si>
  <si>
    <t>19-3975</t>
  </si>
  <si>
    <t>20-4821</t>
  </si>
  <si>
    <t>20-1142</t>
  </si>
  <si>
    <t>19-1546</t>
  </si>
  <si>
    <t>21-1957</t>
  </si>
  <si>
    <t>20-2686</t>
  </si>
  <si>
    <t>18-3282</t>
  </si>
  <si>
    <t>20-1650</t>
  </si>
  <si>
    <t>20-2027</t>
  </si>
  <si>
    <t>22-3622</t>
  </si>
  <si>
    <t>21-1661</t>
  </si>
  <si>
    <t>19-2993</t>
  </si>
  <si>
    <t>18-4586</t>
  </si>
  <si>
    <t>22-1540</t>
  </si>
  <si>
    <t>19-2243</t>
  </si>
  <si>
    <t>21-4182</t>
  </si>
  <si>
    <t>21-2093</t>
  </si>
  <si>
    <t>20-3925</t>
  </si>
  <si>
    <t>19-2765</t>
  </si>
  <si>
    <t>18-2741</t>
  </si>
  <si>
    <t>19-4388</t>
  </si>
  <si>
    <t>20-4386</t>
  </si>
  <si>
    <t>18-1307</t>
  </si>
  <si>
    <t>21-2578</t>
  </si>
  <si>
    <t>19-1568</t>
  </si>
  <si>
    <t>18-2597</t>
  </si>
  <si>
    <t>19-2194</t>
  </si>
  <si>
    <t>19-1713</t>
  </si>
  <si>
    <t>21-1563</t>
  </si>
  <si>
    <t>19-1656</t>
  </si>
  <si>
    <t>21-1115</t>
  </si>
  <si>
    <t>20-1175</t>
  </si>
  <si>
    <t>21-1838</t>
  </si>
  <si>
    <t>19-1194</t>
  </si>
  <si>
    <t>19-3417</t>
  </si>
  <si>
    <t>18-2518</t>
  </si>
  <si>
    <t>20-1873</t>
  </si>
  <si>
    <t>19-3341</t>
  </si>
  <si>
    <t>19-2699</t>
  </si>
  <si>
    <t>23-1934</t>
  </si>
  <si>
    <t>20-3402</t>
  </si>
  <si>
    <t>17-2421</t>
  </si>
  <si>
    <t>21-2803</t>
  </si>
  <si>
    <t>21-1990</t>
  </si>
  <si>
    <t>19-3115</t>
  </si>
  <si>
    <t>19-3054</t>
  </si>
  <si>
    <t>20-4665</t>
  </si>
  <si>
    <t>18-3220</t>
  </si>
  <si>
    <t>20-3018</t>
  </si>
  <si>
    <t>19-1852</t>
  </si>
  <si>
    <t>EE-4253</t>
  </si>
  <si>
    <t>20-1058</t>
  </si>
  <si>
    <t>20-4722</t>
  </si>
  <si>
    <t>22-3934</t>
  </si>
  <si>
    <t>19-2912</t>
  </si>
  <si>
    <t>20-1036</t>
  </si>
  <si>
    <t>19-2559</t>
  </si>
  <si>
    <t>19-2971</t>
  </si>
  <si>
    <t>20-3544</t>
  </si>
  <si>
    <t>19-2649</t>
  </si>
  <si>
    <t>20-1855</t>
  </si>
  <si>
    <t>21-1671</t>
  </si>
  <si>
    <t>20-1694</t>
  </si>
  <si>
    <t>19-1538</t>
  </si>
  <si>
    <t>20-4040</t>
  </si>
  <si>
    <t>CG-1264</t>
  </si>
  <si>
    <t>18-4597</t>
  </si>
  <si>
    <t>19-4462</t>
  </si>
  <si>
    <t>21-1522</t>
  </si>
  <si>
    <t>21-3897</t>
  </si>
  <si>
    <t>22-1996</t>
  </si>
  <si>
    <t>20-2608</t>
  </si>
  <si>
    <t>20-4637</t>
  </si>
  <si>
    <t>22-4995</t>
  </si>
  <si>
    <t>21-4845</t>
  </si>
  <si>
    <t>21-1412</t>
  </si>
  <si>
    <t>19-2143</t>
  </si>
  <si>
    <t>20-4351</t>
  </si>
  <si>
    <t>22-1171</t>
  </si>
  <si>
    <t>20-4844</t>
  </si>
  <si>
    <t>18-1881</t>
  </si>
  <si>
    <t>21-4396</t>
  </si>
  <si>
    <t>19-2289</t>
  </si>
  <si>
    <t>20-4157</t>
  </si>
  <si>
    <t>19-4339</t>
  </si>
  <si>
    <t>19-4270</t>
  </si>
  <si>
    <t>CG-1839</t>
  </si>
  <si>
    <t>19-2619</t>
  </si>
  <si>
    <t>20-1037</t>
  </si>
  <si>
    <t>19-2188</t>
  </si>
  <si>
    <t>19-3021</t>
  </si>
  <si>
    <t>22-4239</t>
  </si>
  <si>
    <t>19-2641</t>
  </si>
  <si>
    <t>19-2920</t>
  </si>
  <si>
    <t>20-4675</t>
  </si>
  <si>
    <t>21-1308</t>
  </si>
  <si>
    <t>20-3571</t>
  </si>
  <si>
    <t>19-4456</t>
  </si>
  <si>
    <t>15-4254</t>
  </si>
  <si>
    <t>21-2871</t>
  </si>
  <si>
    <t>21-3468</t>
  </si>
  <si>
    <t>18-3072</t>
  </si>
  <si>
    <t>22-3964</t>
  </si>
  <si>
    <t>20-2899</t>
  </si>
  <si>
    <t>20-2440</t>
  </si>
  <si>
    <t>19-2125</t>
  </si>
  <si>
    <t>22-3412</t>
  </si>
  <si>
    <t>21-3697</t>
  </si>
  <si>
    <t>CT-3121</t>
  </si>
  <si>
    <t>20-1635</t>
  </si>
  <si>
    <t>19-3316</t>
  </si>
  <si>
    <t>20-3283</t>
  </si>
  <si>
    <t>20-4952</t>
  </si>
  <si>
    <t>20-2551</t>
  </si>
  <si>
    <t>18-4031</t>
  </si>
  <si>
    <t>19-4526</t>
  </si>
  <si>
    <t>19-3747</t>
  </si>
  <si>
    <t>21-2458</t>
  </si>
  <si>
    <t>20-4274</t>
  </si>
  <si>
    <t>18-2133</t>
  </si>
  <si>
    <t>19-3614</t>
  </si>
  <si>
    <t>FE-6119</t>
  </si>
  <si>
    <t>21-3410</t>
  </si>
  <si>
    <t>22-2355</t>
  </si>
  <si>
    <t>21-3818</t>
  </si>
  <si>
    <t>20-1381</t>
  </si>
  <si>
    <t>19-3689</t>
  </si>
  <si>
    <t>20-2348</t>
  </si>
  <si>
    <t>20-3575</t>
  </si>
  <si>
    <t>18-3860</t>
  </si>
  <si>
    <t>22-4036</t>
  </si>
  <si>
    <t>19-3177</t>
  </si>
  <si>
    <t>20-1218</t>
  </si>
  <si>
    <t>21-2343</t>
  </si>
  <si>
    <t>20-2893</t>
  </si>
  <si>
    <t>20-4558</t>
  </si>
  <si>
    <t>20-3150</t>
  </si>
  <si>
    <t>21-2050</t>
  </si>
  <si>
    <t>19-3645</t>
  </si>
  <si>
    <t>HS-7136</t>
  </si>
  <si>
    <t>21-2669</t>
  </si>
  <si>
    <t>CG-1557</t>
  </si>
  <si>
    <t>18-1021</t>
  </si>
  <si>
    <t>19-3404</t>
  </si>
  <si>
    <t>20-4462</t>
  </si>
  <si>
    <t>19-3740</t>
  </si>
  <si>
    <t>20-2616</t>
  </si>
  <si>
    <t>22-1020</t>
  </si>
  <si>
    <t>19-1153</t>
  </si>
  <si>
    <t>18-3420</t>
  </si>
  <si>
    <t>21-1849</t>
  </si>
  <si>
    <t>19-4715</t>
  </si>
  <si>
    <t>17-4752</t>
  </si>
  <si>
    <t>19-3397</t>
  </si>
  <si>
    <t>19-2822</t>
  </si>
  <si>
    <t>19-3784</t>
  </si>
  <si>
    <t>22-1282</t>
  </si>
  <si>
    <t>21-2039</t>
  </si>
  <si>
    <t>20-3577</t>
  </si>
  <si>
    <t>21-4155</t>
  </si>
  <si>
    <t>19-4418</t>
  </si>
  <si>
    <t>17-4912</t>
  </si>
  <si>
    <t>19-2238</t>
  </si>
  <si>
    <t>21-1261</t>
  </si>
  <si>
    <t>23-4523</t>
  </si>
  <si>
    <t>21-4508</t>
  </si>
  <si>
    <t>21-3436</t>
  </si>
  <si>
    <t>20-4684</t>
  </si>
  <si>
    <t>21-4819</t>
  </si>
  <si>
    <t>22-4885</t>
  </si>
  <si>
    <t>20-4162</t>
  </si>
  <si>
    <t>18-4136</t>
  </si>
  <si>
    <t>18-4138</t>
  </si>
  <si>
    <t>19-2973</t>
  </si>
  <si>
    <t>20-4788</t>
  </si>
  <si>
    <t>20-4811</t>
  </si>
  <si>
    <t>21-4505</t>
  </si>
  <si>
    <t>22-4701</t>
  </si>
  <si>
    <t>22-3246</t>
  </si>
  <si>
    <t>19-2553</t>
  </si>
  <si>
    <t>19-1466</t>
  </si>
  <si>
    <t>21-2659</t>
  </si>
  <si>
    <t>18-1275</t>
  </si>
  <si>
    <t>18-4903</t>
  </si>
  <si>
    <t>19-2083</t>
  </si>
  <si>
    <t>20-4477</t>
  </si>
  <si>
    <t>20-2491</t>
  </si>
  <si>
    <t>19-2379</t>
  </si>
  <si>
    <t>21-2370</t>
  </si>
  <si>
    <t>21-3401</t>
  </si>
  <si>
    <t>20-4202</t>
  </si>
  <si>
    <t>20-1183</t>
  </si>
  <si>
    <t>20-2080</t>
  </si>
  <si>
    <t>19-3795</t>
  </si>
  <si>
    <t>23-4357</t>
  </si>
  <si>
    <t>19-2346</t>
  </si>
  <si>
    <t>19-4888</t>
  </si>
  <si>
    <t>21-3324</t>
  </si>
  <si>
    <t>19-2872</t>
  </si>
  <si>
    <t>23-2873</t>
  </si>
  <si>
    <t>19-3991</t>
  </si>
  <si>
    <t>19-4147</t>
  </si>
  <si>
    <t>19-1601</t>
  </si>
  <si>
    <t>18-3678</t>
  </si>
  <si>
    <t>17-3724</t>
  </si>
  <si>
    <t>22-3230</t>
  </si>
  <si>
    <t>24-1637</t>
  </si>
  <si>
    <t>21-1801</t>
  </si>
  <si>
    <t>22-3162</t>
  </si>
  <si>
    <t>21-4522</t>
  </si>
  <si>
    <t>19-1876</t>
  </si>
  <si>
    <t>17-2102</t>
  </si>
  <si>
    <t>21-1417</t>
  </si>
  <si>
    <t>18-1173</t>
  </si>
  <si>
    <t>19-2487</t>
  </si>
  <si>
    <t>18-4101</t>
  </si>
  <si>
    <t>19-1706</t>
  </si>
  <si>
    <t>19-4364</t>
  </si>
  <si>
    <t>22-4344</t>
  </si>
  <si>
    <t>21-4195</t>
  </si>
  <si>
    <t>20-3510</t>
  </si>
  <si>
    <t>19-4598</t>
  </si>
  <si>
    <t>19-1113</t>
  </si>
  <si>
    <t>23-4665</t>
  </si>
  <si>
    <t>19-4101</t>
  </si>
  <si>
    <t>19-1894</t>
  </si>
  <si>
    <t>19-2131</t>
  </si>
  <si>
    <t>20-1604</t>
  </si>
  <si>
    <t>21-4071</t>
  </si>
  <si>
    <t>21-3201</t>
  </si>
  <si>
    <t>19-3913</t>
  </si>
  <si>
    <t>22-2994</t>
  </si>
  <si>
    <t>18-2123</t>
  </si>
  <si>
    <t>18-2125</t>
  </si>
  <si>
    <t>18-1029</t>
  </si>
  <si>
    <t>20-1443</t>
  </si>
  <si>
    <t>20-4185</t>
  </si>
  <si>
    <t>20-1466</t>
  </si>
  <si>
    <t>22-2143</t>
  </si>
  <si>
    <t>21-2446</t>
  </si>
  <si>
    <t>22-1962</t>
  </si>
  <si>
    <t>20-3652</t>
  </si>
  <si>
    <t>20-4141</t>
  </si>
  <si>
    <t>20-4261</t>
  </si>
  <si>
    <t>19-3619</t>
  </si>
  <si>
    <t>19-4243</t>
  </si>
  <si>
    <t>23-3209</t>
  </si>
  <si>
    <t>19-4009</t>
  </si>
  <si>
    <t>20-2479</t>
  </si>
  <si>
    <t>17-2584</t>
  </si>
  <si>
    <t>18-1355</t>
  </si>
  <si>
    <t>18-1286</t>
  </si>
  <si>
    <t>19-4401</t>
  </si>
  <si>
    <t>21-2601</t>
  </si>
  <si>
    <t>20-4239</t>
  </si>
  <si>
    <t>21-1734</t>
  </si>
  <si>
    <t>21-1226</t>
  </si>
  <si>
    <t>19-3291</t>
  </si>
  <si>
    <t>20-1955</t>
  </si>
  <si>
    <t>19-2367</t>
  </si>
  <si>
    <t>21-3923</t>
  </si>
  <si>
    <t>20-2203</t>
  </si>
  <si>
    <t>23-4735</t>
  </si>
  <si>
    <t>20-2731</t>
  </si>
  <si>
    <t>20-2126</t>
  </si>
  <si>
    <t>18-2392</t>
  </si>
  <si>
    <t>19-1368</t>
  </si>
  <si>
    <t>CG-142</t>
  </si>
  <si>
    <t>22-2470</t>
  </si>
  <si>
    <t>23-1994</t>
  </si>
  <si>
    <t>19-3637</t>
  </si>
  <si>
    <t>19-3708</t>
  </si>
  <si>
    <t>21-3195</t>
  </si>
  <si>
    <t>19-1308</t>
  </si>
  <si>
    <t>20-1012</t>
  </si>
  <si>
    <t>22-2005</t>
  </si>
  <si>
    <t>20-1328</t>
  </si>
  <si>
    <t>19-4105</t>
  </si>
  <si>
    <t>19-3748</t>
  </si>
  <si>
    <t>20-3531</t>
  </si>
  <si>
    <t>SR-9362</t>
  </si>
  <si>
    <t>18-3801</t>
  </si>
  <si>
    <t>19-2316</t>
  </si>
  <si>
    <t>21-1292</t>
  </si>
  <si>
    <t>18-3680</t>
  </si>
  <si>
    <t>20-4080</t>
  </si>
  <si>
    <t>19-4363</t>
  </si>
  <si>
    <t>19-4032</t>
  </si>
  <si>
    <t>19-2728</t>
  </si>
  <si>
    <t>20-2782</t>
  </si>
  <si>
    <t>23-4998</t>
  </si>
  <si>
    <t>19-4970</t>
  </si>
  <si>
    <t>19-1540</t>
  </si>
  <si>
    <t>17-4372</t>
  </si>
  <si>
    <t>20-3604</t>
  </si>
  <si>
    <t>20-2051</t>
  </si>
  <si>
    <t>19-4564</t>
  </si>
  <si>
    <t>20-3838</t>
  </si>
  <si>
    <t>21-3764</t>
  </si>
  <si>
    <t>21-2697</t>
  </si>
  <si>
    <t>19-2767</t>
  </si>
  <si>
    <t>22-4411</t>
  </si>
  <si>
    <t>20-2758</t>
  </si>
  <si>
    <t>16-4872</t>
  </si>
  <si>
    <t>18-3929</t>
  </si>
  <si>
    <t>21-2894</t>
  </si>
  <si>
    <t>19-2603</t>
  </si>
  <si>
    <t>21-2944</t>
  </si>
  <si>
    <t>19-3829</t>
  </si>
  <si>
    <t>19-3604</t>
  </si>
  <si>
    <t>22-4570</t>
  </si>
  <si>
    <t>21-4382</t>
  </si>
  <si>
    <t>19-4990</t>
  </si>
  <si>
    <t>19-4291</t>
  </si>
  <si>
    <t>18-2203</t>
  </si>
  <si>
    <t>20-2862</t>
  </si>
  <si>
    <t>20-3242</t>
  </si>
  <si>
    <t>21-2033</t>
  </si>
  <si>
    <t>21-2017</t>
  </si>
  <si>
    <t>21-1658</t>
  </si>
  <si>
    <t>19-3542</t>
  </si>
  <si>
    <t>21-1698</t>
  </si>
  <si>
    <t>20-1935</t>
  </si>
  <si>
    <t>19-4432</t>
  </si>
  <si>
    <t>21-1490</t>
  </si>
  <si>
    <t>19-4476</t>
  </si>
  <si>
    <t>19-3150</t>
  </si>
  <si>
    <t>21-1230</t>
  </si>
  <si>
    <t>19-2527</t>
  </si>
  <si>
    <t>20-1938</t>
  </si>
  <si>
    <t>20-1750</t>
  </si>
  <si>
    <t>22-2206</t>
  </si>
  <si>
    <t>CG-1145</t>
  </si>
  <si>
    <t>20-2011</t>
  </si>
  <si>
    <t>20-2270</t>
  </si>
  <si>
    <t>22-4453</t>
  </si>
  <si>
    <t>21-2542</t>
  </si>
  <si>
    <t>22-2212</t>
  </si>
  <si>
    <t>20-1536</t>
  </si>
  <si>
    <t>21-1367</t>
  </si>
  <si>
    <t>21-2814</t>
  </si>
  <si>
    <t>20-2039</t>
  </si>
  <si>
    <t>20-1104</t>
  </si>
  <si>
    <t>19-4613</t>
  </si>
  <si>
    <t>20-3567</t>
  </si>
  <si>
    <t>21-1444</t>
  </si>
  <si>
    <t>19-2066</t>
  </si>
  <si>
    <t>19-4996</t>
  </si>
  <si>
    <t>19-4743</t>
  </si>
  <si>
    <t>21-2308</t>
  </si>
  <si>
    <t>18-4364</t>
  </si>
  <si>
    <t>19-2579</t>
  </si>
  <si>
    <t>19-3606</t>
  </si>
  <si>
    <t>20-3178</t>
  </si>
  <si>
    <t>19-3650</t>
  </si>
  <si>
    <t>19-2609</t>
  </si>
  <si>
    <t>21-1991</t>
  </si>
  <si>
    <t>21-1121</t>
  </si>
  <si>
    <t>18-1834</t>
  </si>
  <si>
    <t>21-4595</t>
  </si>
  <si>
    <t>22-3856</t>
  </si>
  <si>
    <t>20-1859</t>
  </si>
  <si>
    <t>21-1703</t>
  </si>
  <si>
    <t>21-1926</t>
  </si>
  <si>
    <t>21-2705</t>
  </si>
  <si>
    <t>21-1901</t>
  </si>
  <si>
    <t>21-2956</t>
  </si>
  <si>
    <t>21-3805</t>
  </si>
  <si>
    <t>18-1155</t>
  </si>
  <si>
    <t>19-2377</t>
  </si>
  <si>
    <t>19-4341</t>
  </si>
  <si>
    <t>20-3403</t>
  </si>
  <si>
    <t>19-1574</t>
  </si>
  <si>
    <t>22-3886</t>
  </si>
  <si>
    <t>18-3164</t>
  </si>
  <si>
    <t>17-1767</t>
  </si>
  <si>
    <t>19-4194</t>
  </si>
  <si>
    <t>20-2032</t>
  </si>
  <si>
    <t>CG-1339</t>
  </si>
  <si>
    <t>20-1184</t>
  </si>
  <si>
    <t>22-1168</t>
  </si>
  <si>
    <t>19-1522</t>
  </si>
  <si>
    <t>20-2437</t>
  </si>
  <si>
    <t>21-1781</t>
  </si>
  <si>
    <t>20-2930</t>
  </si>
  <si>
    <t>18-2503</t>
  </si>
  <si>
    <t>20-4618</t>
  </si>
  <si>
    <t>23-4418</t>
  </si>
  <si>
    <t>19-1430</t>
  </si>
  <si>
    <t>20-3237</t>
  </si>
  <si>
    <t>19-2068</t>
  </si>
  <si>
    <t>20-4489</t>
  </si>
  <si>
    <t>18-4352</t>
  </si>
  <si>
    <t>19-2463</t>
  </si>
  <si>
    <t>20-2755</t>
  </si>
  <si>
    <t>21-4343</t>
  </si>
  <si>
    <t>20-1096</t>
  </si>
  <si>
    <t>21-3068</t>
  </si>
  <si>
    <t>20-4460</t>
  </si>
  <si>
    <t>19-2789</t>
  </si>
  <si>
    <t>18-1439</t>
  </si>
  <si>
    <t>19-3097</t>
  </si>
  <si>
    <t>19-3720</t>
  </si>
  <si>
    <t>20-4509</t>
  </si>
  <si>
    <t>20-3483</t>
  </si>
  <si>
    <t>20-2850</t>
  </si>
  <si>
    <t>20-2475</t>
  </si>
  <si>
    <t>21-2456</t>
  </si>
  <si>
    <t>18-3779</t>
  </si>
  <si>
    <t>FE-6918</t>
  </si>
  <si>
    <t>19-2926</t>
  </si>
  <si>
    <t>22-3515</t>
  </si>
  <si>
    <t>16-2216</t>
  </si>
  <si>
    <t>19-4723</t>
  </si>
  <si>
    <t>21-3980</t>
  </si>
  <si>
    <t>23-2256</t>
  </si>
  <si>
    <t>18-2449</t>
  </si>
  <si>
    <t>23-1579</t>
  </si>
  <si>
    <t>19-2336</t>
  </si>
  <si>
    <t>21-4047</t>
  </si>
  <si>
    <t>20-2852</t>
  </si>
  <si>
    <t>15-4617</t>
  </si>
  <si>
    <t>21-2613</t>
  </si>
  <si>
    <t>20-4297</t>
  </si>
  <si>
    <t>18-1946</t>
  </si>
  <si>
    <t>19-2205</t>
  </si>
  <si>
    <t>21-4930</t>
  </si>
  <si>
    <t>20-3789</t>
  </si>
  <si>
    <t>CT-3471</t>
  </si>
  <si>
    <t>21-4567</t>
  </si>
  <si>
    <t>21-4977</t>
  </si>
  <si>
    <t>18-2014</t>
  </si>
  <si>
    <t>20-1432</t>
  </si>
  <si>
    <t>19-4994</t>
  </si>
  <si>
    <t>20-1479</t>
  </si>
  <si>
    <t>20-3920</t>
  </si>
  <si>
    <t>18-1813</t>
  </si>
  <si>
    <t>22-4308</t>
  </si>
  <si>
    <t>21-3865</t>
  </si>
  <si>
    <t>18-4523</t>
  </si>
  <si>
    <t>19-1635</t>
  </si>
  <si>
    <t>18-2162</t>
  </si>
  <si>
    <t>21-1401</t>
  </si>
  <si>
    <t>18-1804</t>
  </si>
  <si>
    <t>17-2606</t>
  </si>
  <si>
    <t>21-3343</t>
  </si>
  <si>
    <t>18-2248</t>
  </si>
  <si>
    <t>19-2286</t>
  </si>
  <si>
    <t>21-2782</t>
  </si>
  <si>
    <t>20-3206</t>
  </si>
  <si>
    <t>17-2258</t>
  </si>
  <si>
    <t>21-2027</t>
  </si>
  <si>
    <t>20-3393</t>
  </si>
  <si>
    <t>19-2683</t>
  </si>
  <si>
    <t>17-3969</t>
  </si>
  <si>
    <t>23-4489</t>
  </si>
  <si>
    <t>21-3553</t>
  </si>
  <si>
    <t>CT-3910</t>
  </si>
  <si>
    <t>20-2328</t>
  </si>
  <si>
    <t>19-1770</t>
  </si>
  <si>
    <t>22-4199</t>
  </si>
  <si>
    <t>20-3176</t>
  </si>
  <si>
    <t>20-4973</t>
  </si>
  <si>
    <t>20-3474</t>
  </si>
  <si>
    <t>19-4590</t>
  </si>
  <si>
    <t>16-1764</t>
  </si>
  <si>
    <t>22-1066</t>
  </si>
  <si>
    <t>20-3289</t>
  </si>
  <si>
    <t>21-4495</t>
  </si>
  <si>
    <t>17-3805</t>
  </si>
  <si>
    <t>20-1816</t>
  </si>
  <si>
    <t>18-4640</t>
  </si>
  <si>
    <t>20-1099</t>
  </si>
  <si>
    <t>19-4438</t>
  </si>
  <si>
    <t>19-4639</t>
  </si>
  <si>
    <t>20-2449</t>
  </si>
  <si>
    <t>19-4145</t>
  </si>
  <si>
    <t>19-1930</t>
  </si>
  <si>
    <t>19-3943</t>
  </si>
  <si>
    <t>21-3543</t>
  </si>
  <si>
    <t>18-4595</t>
  </si>
  <si>
    <t>21-1517</t>
  </si>
  <si>
    <t>18-3400</t>
  </si>
  <si>
    <t>20-1698</t>
  </si>
  <si>
    <t>22-3511</t>
  </si>
  <si>
    <t>20-4794</t>
  </si>
  <si>
    <t>20-2220</t>
  </si>
  <si>
    <t>19-4891</t>
  </si>
  <si>
    <t>21-3315</t>
  </si>
  <si>
    <t>21-3898</t>
  </si>
  <si>
    <t>17-3225</t>
  </si>
  <si>
    <t>20-4922</t>
  </si>
  <si>
    <t>20-2240</t>
  </si>
  <si>
    <t>20-1636</t>
  </si>
  <si>
    <t>21-3462</t>
  </si>
  <si>
    <t>20-3930</t>
  </si>
  <si>
    <t>19-3560</t>
  </si>
  <si>
    <t>22-2426</t>
  </si>
  <si>
    <t>19-4292</t>
  </si>
  <si>
    <t>21-3326</t>
  </si>
  <si>
    <t>18-3504</t>
  </si>
  <si>
    <t>20-3792</t>
  </si>
  <si>
    <t>19-1849</t>
  </si>
  <si>
    <t>19-1739</t>
  </si>
  <si>
    <t>19-4175</t>
  </si>
  <si>
    <t>20-1125</t>
  </si>
  <si>
    <t>20-2459</t>
  </si>
  <si>
    <t>21-3934</t>
  </si>
  <si>
    <t>21-3429</t>
  </si>
  <si>
    <t>23-3459</t>
  </si>
  <si>
    <t>18-3073</t>
  </si>
  <si>
    <t>20-2275</t>
  </si>
  <si>
    <t>20-4639</t>
  </si>
  <si>
    <t>20-2333</t>
  </si>
  <si>
    <t>21-4957</t>
  </si>
  <si>
    <t>21-2350</t>
  </si>
  <si>
    <t>20-3189</t>
  </si>
  <si>
    <t>19-3861</t>
  </si>
  <si>
    <t>22-3604</t>
  </si>
  <si>
    <t>19-2421</t>
  </si>
  <si>
    <t>18-2563</t>
  </si>
  <si>
    <t>21-1935</t>
  </si>
  <si>
    <t>21-1986</t>
  </si>
  <si>
    <t>18-4563</t>
  </si>
  <si>
    <t>21-3842</t>
  </si>
  <si>
    <t>18-3887</t>
  </si>
  <si>
    <t>17-2741</t>
  </si>
  <si>
    <t>17-4776</t>
  </si>
  <si>
    <t>18-1994</t>
  </si>
  <si>
    <t>20-1286</t>
  </si>
  <si>
    <t>19-1981</t>
  </si>
  <si>
    <t>22-4893</t>
  </si>
  <si>
    <t>17-2359</t>
  </si>
  <si>
    <t>22-4142</t>
  </si>
  <si>
    <t>19-2248</t>
  </si>
  <si>
    <t>21-4088</t>
  </si>
  <si>
    <t>20-4071</t>
  </si>
  <si>
    <t>18-4582</t>
  </si>
  <si>
    <t>21-4364</t>
  </si>
  <si>
    <t>18-4488</t>
  </si>
  <si>
    <t>19-4914</t>
  </si>
  <si>
    <t>21-1583</t>
  </si>
  <si>
    <t>17-4811</t>
  </si>
  <si>
    <t>20-1391</t>
  </si>
  <si>
    <t>19-2819</t>
  </si>
  <si>
    <t>16-2390</t>
  </si>
  <si>
    <t>20-2462</t>
  </si>
  <si>
    <t>21-2233</t>
  </si>
  <si>
    <t>19-3035</t>
  </si>
  <si>
    <t>21-4889</t>
  </si>
  <si>
    <t>18-2153</t>
  </si>
  <si>
    <t>21-3861</t>
  </si>
  <si>
    <t>20-2381</t>
  </si>
  <si>
    <t>19-3850</t>
  </si>
  <si>
    <t>22-3748</t>
  </si>
  <si>
    <t>20-3872</t>
  </si>
  <si>
    <t>19-1536</t>
  </si>
  <si>
    <t>19-3399</t>
  </si>
  <si>
    <t>20-2068</t>
  </si>
  <si>
    <t>19-3256</t>
  </si>
  <si>
    <t>19-3575</t>
  </si>
  <si>
    <t>19-2159</t>
  </si>
  <si>
    <t>19-2985</t>
  </si>
  <si>
    <t>22-1388</t>
  </si>
  <si>
    <t>20-1033</t>
  </si>
  <si>
    <t>21-1000</t>
  </si>
  <si>
    <t>19-2330</t>
  </si>
  <si>
    <t>23-1220</t>
  </si>
  <si>
    <t>19-2175</t>
  </si>
  <si>
    <t>18-1050</t>
  </si>
  <si>
    <t>20-3589</t>
  </si>
  <si>
    <t>22-3059</t>
  </si>
  <si>
    <t>20-2963</t>
  </si>
  <si>
    <t>21-1160</t>
  </si>
  <si>
    <t>21-1910</t>
  </si>
  <si>
    <t>17-2114</t>
  </si>
  <si>
    <t>22-1754</t>
  </si>
  <si>
    <t>20-3710</t>
  </si>
  <si>
    <t>18-1831</t>
  </si>
  <si>
    <t>19-1851</t>
  </si>
  <si>
    <t>19-4384</t>
  </si>
  <si>
    <t>19-3866</t>
  </si>
  <si>
    <t>20-2989</t>
  </si>
  <si>
    <t>20-1666</t>
  </si>
  <si>
    <t>24-1428</t>
  </si>
  <si>
    <t>16-1558</t>
  </si>
  <si>
    <t>19-1978</t>
  </si>
  <si>
    <t>20-3462</t>
  </si>
  <si>
    <t>19-2442</t>
  </si>
  <si>
    <t>21-2101</t>
  </si>
  <si>
    <t>20-1561</t>
  </si>
  <si>
    <t>19-2112</t>
  </si>
  <si>
    <t>21-4962</t>
  </si>
  <si>
    <t>19-2691</t>
  </si>
  <si>
    <t>19-4067</t>
  </si>
  <si>
    <t>19-2528</t>
  </si>
  <si>
    <t>20-1505</t>
  </si>
  <si>
    <t>18-1469</t>
  </si>
  <si>
    <t>20-4783</t>
  </si>
  <si>
    <t>18-4480</t>
  </si>
  <si>
    <t>20-4814</t>
  </si>
  <si>
    <t>19-1831</t>
  </si>
  <si>
    <t>18-2078</t>
  </si>
  <si>
    <t>25-3834</t>
  </si>
  <si>
    <t>21-1683</t>
  </si>
  <si>
    <t>20-1597</t>
  </si>
  <si>
    <t>21-3477</t>
  </si>
  <si>
    <t>19-1494</t>
  </si>
  <si>
    <t>20-1573</t>
  </si>
  <si>
    <t>20-4798</t>
  </si>
  <si>
    <t>20-1866</t>
  </si>
  <si>
    <t>19-1007</t>
  </si>
  <si>
    <t>18-4116</t>
  </si>
  <si>
    <t>23-1895</t>
  </si>
  <si>
    <t>19-1146</t>
  </si>
  <si>
    <t>19-2385</t>
  </si>
  <si>
    <t>20-4210</t>
  </si>
  <si>
    <t>21-3770</t>
  </si>
  <si>
    <t>17-4707</t>
  </si>
  <si>
    <t>22-2109</t>
  </si>
  <si>
    <t>20-4551</t>
  </si>
  <si>
    <t>20-3083</t>
  </si>
  <si>
    <t>21-4525</t>
  </si>
  <si>
    <t>20-4649</t>
  </si>
  <si>
    <t>21-2396</t>
  </si>
  <si>
    <t>18-2752</t>
  </si>
  <si>
    <t>20-3162</t>
  </si>
  <si>
    <t>19-4230</t>
  </si>
  <si>
    <t>19-4982</t>
  </si>
  <si>
    <t>20-3063</t>
  </si>
  <si>
    <t>20-1478</t>
  </si>
  <si>
    <t>21-4192</t>
  </si>
  <si>
    <t>20-1324</t>
  </si>
  <si>
    <t>22-1709</t>
  </si>
  <si>
    <t>19-4000</t>
  </si>
  <si>
    <t>19-3744</t>
  </si>
  <si>
    <t>18-1753</t>
  </si>
  <si>
    <t>21-3380</t>
  </si>
  <si>
    <t>20-3172</t>
  </si>
  <si>
    <t>19-2120</t>
  </si>
  <si>
    <t>20-4417</t>
  </si>
  <si>
    <t>24-1543</t>
  </si>
  <si>
    <t>18-4705</t>
  </si>
  <si>
    <t>22-4797</t>
  </si>
  <si>
    <t>19-4408</t>
  </si>
  <si>
    <t>21-3896</t>
  </si>
  <si>
    <t>21-1816</t>
  </si>
  <si>
    <t>22-1585</t>
  </si>
  <si>
    <t>21-2947</t>
  </si>
  <si>
    <t>19-2953</t>
  </si>
  <si>
    <t>20-1448</t>
  </si>
  <si>
    <t>16-4049</t>
  </si>
  <si>
    <t>22-3552</t>
  </si>
  <si>
    <t>20-1567</t>
  </si>
  <si>
    <t>21-2038</t>
  </si>
  <si>
    <t>20-4727</t>
  </si>
  <si>
    <t>19-1001</t>
  </si>
  <si>
    <t>19-3586</t>
  </si>
  <si>
    <t>20-3764</t>
  </si>
  <si>
    <t>20-3175</t>
  </si>
  <si>
    <t>21-4474</t>
  </si>
  <si>
    <t>19-2777</t>
  </si>
  <si>
    <t>21-1604</t>
  </si>
  <si>
    <t>21-4012</t>
  </si>
  <si>
    <t>18-1381</t>
  </si>
  <si>
    <t>18-1497</t>
  </si>
  <si>
    <t>19-4939</t>
  </si>
  <si>
    <t>20-2127</t>
  </si>
  <si>
    <t>22-1789</t>
  </si>
  <si>
    <t>19-2047</t>
  </si>
  <si>
    <t>19-1533</t>
  </si>
  <si>
    <t>20-3357</t>
  </si>
  <si>
    <t>19-3437</t>
  </si>
  <si>
    <t>22-4032</t>
  </si>
  <si>
    <t>19-1904</t>
  </si>
  <si>
    <t>18-4539</t>
  </si>
  <si>
    <t>20-1164</t>
  </si>
  <si>
    <t>19-2877</t>
  </si>
  <si>
    <t>18-1519</t>
  </si>
  <si>
    <t>22-4775</t>
  </si>
  <si>
    <t>18-4376</t>
  </si>
  <si>
    <t>22-4603</t>
  </si>
  <si>
    <t>20-1150</t>
  </si>
  <si>
    <t>20-2940</t>
  </si>
  <si>
    <t>20-3964</t>
  </si>
  <si>
    <t>20-2700</t>
  </si>
  <si>
    <t>20-3439</t>
  </si>
  <si>
    <t>21-3569</t>
  </si>
  <si>
    <t>21-1921</t>
  </si>
  <si>
    <t>22-3232</t>
  </si>
  <si>
    <t>18-4859</t>
  </si>
  <si>
    <t>19-4471</t>
  </si>
  <si>
    <t>18-1109</t>
  </si>
  <si>
    <t>17-1857</t>
  </si>
  <si>
    <t>20-2937</t>
  </si>
  <si>
    <t>17-2486</t>
  </si>
  <si>
    <t>18-3626</t>
  </si>
  <si>
    <t>22-4795</t>
  </si>
  <si>
    <t>21-2392</t>
  </si>
  <si>
    <t>20-2294</t>
  </si>
  <si>
    <t>21-2532</t>
  </si>
  <si>
    <t>19-3030</t>
  </si>
  <si>
    <t>19-1846</t>
  </si>
  <si>
    <t>17-4660</t>
  </si>
  <si>
    <t>21-3001</t>
  </si>
  <si>
    <t>18-4870</t>
  </si>
  <si>
    <t>19-1705</t>
  </si>
  <si>
    <t>22-1564</t>
  </si>
  <si>
    <t>21-4750</t>
  </si>
  <si>
    <t>20-3721</t>
  </si>
  <si>
    <t>18-1214</t>
  </si>
  <si>
    <t>21-3133</t>
  </si>
  <si>
    <t>18-3986</t>
  </si>
  <si>
    <t>20-3842</t>
  </si>
  <si>
    <t>19-1965</t>
  </si>
  <si>
    <t>20-3951</t>
  </si>
  <si>
    <t>21-4719</t>
  </si>
  <si>
    <t>19-1344</t>
  </si>
  <si>
    <t>22-4205</t>
  </si>
  <si>
    <t>18-2727</t>
  </si>
  <si>
    <t>20-1669</t>
  </si>
  <si>
    <t>17-2640</t>
  </si>
  <si>
    <t>20-1465</t>
  </si>
  <si>
    <t>19-4077</t>
  </si>
  <si>
    <t>18-3081</t>
  </si>
  <si>
    <t>20-2688</t>
  </si>
  <si>
    <t>22-1726</t>
  </si>
  <si>
    <t>18-4375</t>
  </si>
  <si>
    <t>19-1886</t>
  </si>
  <si>
    <t>19-2881</t>
  </si>
  <si>
    <t>19-2404</t>
  </si>
  <si>
    <t>21-1761</t>
  </si>
  <si>
    <t>19-3407</t>
  </si>
  <si>
    <t>21-4471</t>
  </si>
  <si>
    <t>20-1403</t>
  </si>
  <si>
    <t>22-4374</t>
  </si>
  <si>
    <t>21-4207</t>
  </si>
  <si>
    <t>19-4725</t>
  </si>
  <si>
    <t>21-4321</t>
  </si>
  <si>
    <t>22-4736</t>
  </si>
  <si>
    <t>19-4796</t>
  </si>
  <si>
    <t>19-4196</t>
  </si>
  <si>
    <t>18-4936</t>
  </si>
  <si>
    <t>21-1619</t>
  </si>
  <si>
    <t>19-1934</t>
  </si>
  <si>
    <t>19-3168</t>
  </si>
  <si>
    <t>19-3386</t>
  </si>
  <si>
    <t>18-2340</t>
  </si>
  <si>
    <t>18-2932</t>
  </si>
  <si>
    <t>19-2352</t>
  </si>
  <si>
    <t>19-4189</t>
  </si>
  <si>
    <t>19-4947</t>
  </si>
  <si>
    <t>21-2861</t>
  </si>
  <si>
    <t>19-2302</t>
  </si>
  <si>
    <t>21-2552</t>
  </si>
  <si>
    <t>20-2481</t>
  </si>
  <si>
    <t>19-4239</t>
  </si>
  <si>
    <t>21-3352</t>
  </si>
  <si>
    <t>18-4362</t>
  </si>
  <si>
    <t>19-2569</t>
  </si>
  <si>
    <t>19-3175</t>
  </si>
  <si>
    <t>20-4353</t>
  </si>
  <si>
    <t>21-2258</t>
  </si>
  <si>
    <t>19-1594</t>
  </si>
  <si>
    <t>20-4234</t>
  </si>
  <si>
    <t>21-2972</t>
  </si>
  <si>
    <t>19-3524</t>
  </si>
  <si>
    <t>22-2628</t>
  </si>
  <si>
    <t>18-3933</t>
  </si>
  <si>
    <t>21-1615</t>
  </si>
  <si>
    <t>20-2161</t>
  </si>
  <si>
    <t>21-3663</t>
  </si>
  <si>
    <t>21-2982</t>
  </si>
  <si>
    <t>19-4992</t>
  </si>
  <si>
    <t>21-4211</t>
  </si>
  <si>
    <t>18-4622</t>
  </si>
  <si>
    <t>21-3622</t>
  </si>
  <si>
    <t>20-1138</t>
  </si>
  <si>
    <t>21-2768</t>
  </si>
  <si>
    <t>20-3545</t>
  </si>
  <si>
    <t>17-4758</t>
  </si>
  <si>
    <t>20-1676</t>
  </si>
  <si>
    <t>23-1652</t>
  </si>
  <si>
    <t>20-2334</t>
  </si>
  <si>
    <t>21-2903</t>
  </si>
  <si>
    <t>21-4130</t>
  </si>
  <si>
    <t>19-4938</t>
  </si>
  <si>
    <t>23-4479</t>
  </si>
  <si>
    <t>22-3761</t>
  </si>
  <si>
    <t>18-4100</t>
  </si>
  <si>
    <t>20-2982</t>
  </si>
  <si>
    <t>18-3549</t>
  </si>
  <si>
    <t>20-1426</t>
  </si>
  <si>
    <t>17-3569</t>
  </si>
  <si>
    <t>18-2096</t>
  </si>
  <si>
    <t>19-1997</t>
  </si>
  <si>
    <t>20-4843</t>
  </si>
  <si>
    <t>19-2630</t>
  </si>
  <si>
    <t>17-4464</t>
  </si>
  <si>
    <t>19-1749</t>
  </si>
  <si>
    <t>18-1778</t>
  </si>
  <si>
    <t>21-4896</t>
  </si>
  <si>
    <t>17-4852</t>
  </si>
  <si>
    <t>22-1790</t>
  </si>
  <si>
    <t>18-2375</t>
  </si>
  <si>
    <t>22-1093</t>
  </si>
  <si>
    <t>21-4068</t>
  </si>
  <si>
    <t>19-4918</t>
  </si>
  <si>
    <t>18-4457</t>
  </si>
  <si>
    <t>20-4891</t>
  </si>
  <si>
    <t>21-1981</t>
  </si>
  <si>
    <t>18-1830</t>
  </si>
  <si>
    <t>20-4878</t>
  </si>
  <si>
    <t>21-1502</t>
  </si>
  <si>
    <t>19-4187</t>
  </si>
  <si>
    <t>19-4284</t>
  </si>
  <si>
    <t>20-1227</t>
  </si>
  <si>
    <t>21-2190</t>
  </si>
  <si>
    <t>20-1926</t>
  </si>
  <si>
    <t>19-1076</t>
  </si>
  <si>
    <t>22-2722</t>
  </si>
  <si>
    <t>22-2482</t>
  </si>
  <si>
    <t>21-2103</t>
  </si>
  <si>
    <t>19-2483</t>
  </si>
  <si>
    <t>19-3203</t>
  </si>
  <si>
    <t>19-2775</t>
  </si>
  <si>
    <t>19-1947</t>
  </si>
  <si>
    <t>21-2026</t>
  </si>
  <si>
    <t>19-3510</t>
  </si>
  <si>
    <t>21-2007</t>
  </si>
  <si>
    <t>21-3402</t>
  </si>
  <si>
    <t>17-3818</t>
  </si>
  <si>
    <t>20-2454</t>
  </si>
  <si>
    <t>22-4703</t>
  </si>
  <si>
    <t>19-2886</t>
  </si>
  <si>
    <t>20-4034</t>
  </si>
  <si>
    <t>22-3789</t>
  </si>
  <si>
    <t>17-3573</t>
  </si>
  <si>
    <t>21-2028</t>
  </si>
  <si>
    <t>20-4222</t>
  </si>
  <si>
    <t>19-2274</t>
  </si>
  <si>
    <t>21-2264</t>
  </si>
  <si>
    <t>22-4267</t>
  </si>
  <si>
    <t>19-3576</t>
  </si>
  <si>
    <t>21-1609</t>
  </si>
  <si>
    <t>19-2481</t>
  </si>
  <si>
    <t>19-2148</t>
  </si>
  <si>
    <t>21-3055</t>
  </si>
  <si>
    <t>20-2498</t>
  </si>
  <si>
    <t>22-1735</t>
  </si>
  <si>
    <t>19-2484</t>
  </si>
  <si>
    <t>19-1679</t>
  </si>
  <si>
    <t>22-1614</t>
  </si>
  <si>
    <t>21-4573</t>
  </si>
  <si>
    <t>19-4190</t>
  </si>
  <si>
    <t>21-4490</t>
  </si>
  <si>
    <t>17-3578</t>
  </si>
  <si>
    <t>18-1499</t>
  </si>
  <si>
    <t>19-1166</t>
  </si>
  <si>
    <t>22-1206</t>
  </si>
  <si>
    <t>20-3412</t>
  </si>
  <si>
    <t>20-3988</t>
  </si>
  <si>
    <t>19-1581</t>
  </si>
  <si>
    <t>22-3484</t>
  </si>
  <si>
    <t>20-1657</t>
  </si>
  <si>
    <t>19-4802</t>
  </si>
  <si>
    <t>18-2512</t>
  </si>
  <si>
    <t>25-4936</t>
  </si>
  <si>
    <t>19-1462</t>
  </si>
  <si>
    <t>22-1532</t>
  </si>
  <si>
    <t>19-2106</t>
  </si>
  <si>
    <t>20-1879</t>
  </si>
  <si>
    <t>20-3984</t>
  </si>
  <si>
    <t>23-1998</t>
  </si>
  <si>
    <t>20-3469</t>
  </si>
  <si>
    <t>19-1689</t>
  </si>
  <si>
    <t>19-3310</t>
  </si>
  <si>
    <t>18-1512</t>
  </si>
  <si>
    <t>19-2665</t>
  </si>
  <si>
    <t>16-1836</t>
  </si>
  <si>
    <t>20-4330</t>
  </si>
  <si>
    <t>21-2382</t>
  </si>
  <si>
    <t>20-2087</t>
  </si>
  <si>
    <t>21-2856</t>
  </si>
  <si>
    <t>19-4430</t>
  </si>
  <si>
    <t>18-3255</t>
  </si>
  <si>
    <t>22-2150</t>
  </si>
  <si>
    <t>21-4568</t>
  </si>
  <si>
    <t>20-4879</t>
  </si>
  <si>
    <t>20-3717</t>
  </si>
  <si>
    <t>19-1024</t>
  </si>
  <si>
    <t>21-1168</t>
  </si>
  <si>
    <t>20-2644</t>
  </si>
  <si>
    <t>20-4858</t>
  </si>
  <si>
    <t>19-1982</t>
  </si>
  <si>
    <t>20-1406</t>
  </si>
  <si>
    <t>19-4337</t>
  </si>
  <si>
    <t>21-3454</t>
  </si>
  <si>
    <t>20-1601</t>
  </si>
  <si>
    <t>20-2071</t>
  </si>
  <si>
    <t>20-4647</t>
  </si>
  <si>
    <t>20-1151</t>
  </si>
  <si>
    <t>20-3016</t>
  </si>
  <si>
    <t>19-2843</t>
  </si>
  <si>
    <t>19-2867</t>
  </si>
  <si>
    <t>19-3621</t>
  </si>
  <si>
    <t>19-2249</t>
  </si>
  <si>
    <t>21-4969</t>
  </si>
  <si>
    <t>19-2292</t>
  </si>
  <si>
    <t>19-3164</t>
  </si>
  <si>
    <t>21-2755</t>
  </si>
  <si>
    <t>17-3014</t>
  </si>
  <si>
    <t>17-1421</t>
  </si>
  <si>
    <t>20-1911</t>
  </si>
  <si>
    <t>21-1002</t>
  </si>
  <si>
    <t>19-2219</t>
  </si>
  <si>
    <t>19-3208</t>
  </si>
  <si>
    <t>19-4575</t>
  </si>
  <si>
    <t>22-1617</t>
  </si>
  <si>
    <t>18-4262</t>
  </si>
  <si>
    <t>21-3067</t>
  </si>
  <si>
    <t>20-2402</t>
  </si>
  <si>
    <t>21-3561</t>
  </si>
  <si>
    <t>17-3585</t>
  </si>
  <si>
    <t>19-4221</t>
  </si>
  <si>
    <t>21-1956</t>
  </si>
  <si>
    <t>19-2518</t>
  </si>
  <si>
    <t>24-1096</t>
  </si>
  <si>
    <t>23-1814</t>
  </si>
  <si>
    <t>18-2366</t>
  </si>
  <si>
    <t>19-4624</t>
  </si>
  <si>
    <t>18-2865</t>
  </si>
  <si>
    <t>17-2624</t>
  </si>
  <si>
    <t>19-3229</t>
  </si>
  <si>
    <t>20-1243</t>
  </si>
  <si>
    <t>21-4917</t>
  </si>
  <si>
    <t>21-3511</t>
  </si>
  <si>
    <t>19-2397</t>
  </si>
  <si>
    <t>18-4711</t>
  </si>
  <si>
    <t>19-3924</t>
  </si>
  <si>
    <t>21-3030</t>
  </si>
  <si>
    <t>21-2984</t>
  </si>
  <si>
    <t>23-1139</t>
  </si>
  <si>
    <t>21-1376</t>
  </si>
  <si>
    <t>21-1262</t>
  </si>
  <si>
    <t>18-2411</t>
  </si>
  <si>
    <t>20-4494</t>
  </si>
  <si>
    <t>21-2332</t>
  </si>
  <si>
    <t>21-2077</t>
  </si>
  <si>
    <t>20-3003</t>
  </si>
  <si>
    <t>19-4961</t>
  </si>
  <si>
    <t>22-2281</t>
  </si>
  <si>
    <t>19-3906</t>
  </si>
  <si>
    <t>19-2167</t>
  </si>
  <si>
    <t>18-1682</t>
  </si>
  <si>
    <t>20-3582</t>
  </si>
  <si>
    <t>17-4027</t>
  </si>
  <si>
    <t>21-4548</t>
  </si>
  <si>
    <t>18-2314</t>
  </si>
  <si>
    <t>21-3472</t>
  </si>
  <si>
    <t>21-2120</t>
  </si>
  <si>
    <t>20-3666</t>
  </si>
  <si>
    <t>20-4870</t>
  </si>
  <si>
    <t>19-4416</t>
  </si>
  <si>
    <t>20-2507</t>
  </si>
  <si>
    <t>20-2889</t>
  </si>
  <si>
    <t>21-4679</t>
  </si>
  <si>
    <t>19-2899</t>
  </si>
  <si>
    <t>22-4290</t>
  </si>
  <si>
    <t>18-2871</t>
  </si>
  <si>
    <t>20-1004</t>
  </si>
  <si>
    <t>19-4223</t>
  </si>
  <si>
    <t>20-1765</t>
  </si>
  <si>
    <t>18-2326</t>
  </si>
  <si>
    <t>19-3333</t>
  </si>
  <si>
    <t>23-4345</t>
  </si>
  <si>
    <t>20-4775</t>
  </si>
  <si>
    <t>18-3116</t>
  </si>
  <si>
    <t>19-1728</t>
  </si>
  <si>
    <t>18-3024</t>
  </si>
  <si>
    <t>21-4784</t>
  </si>
  <si>
    <t>17-2317</t>
  </si>
  <si>
    <t>16-4606</t>
  </si>
  <si>
    <t>19-1804</t>
  </si>
  <si>
    <t>22-4441</t>
  </si>
  <si>
    <t>20-1343</t>
  </si>
  <si>
    <t>20-4888</t>
  </si>
  <si>
    <t>20-1754</t>
  </si>
  <si>
    <t>23-2874</t>
  </si>
  <si>
    <t>21-1446</t>
  </si>
  <si>
    <t>21-2479</t>
  </si>
  <si>
    <t>19-4956</t>
  </si>
  <si>
    <t>21-2253</t>
  </si>
  <si>
    <t>19-1807</t>
  </si>
  <si>
    <t>19-1432</t>
  </si>
  <si>
    <t>21-2835</t>
  </si>
  <si>
    <t>21-4209</t>
  </si>
  <si>
    <t>22-3260</t>
  </si>
  <si>
    <t>20-3739</t>
  </si>
  <si>
    <t>20-1222</t>
  </si>
  <si>
    <t>21-4873</t>
  </si>
  <si>
    <t>22-3726</t>
  </si>
  <si>
    <t>19-4276</t>
  </si>
  <si>
    <t>21-1829</t>
  </si>
  <si>
    <t>21-2827</t>
  </si>
  <si>
    <t>18-3085</t>
  </si>
  <si>
    <t>18-1776</t>
  </si>
  <si>
    <t>21-4806</t>
  </si>
  <si>
    <t>21-3126</t>
  </si>
  <si>
    <t>19-3973</t>
  </si>
  <si>
    <t>18-1196</t>
  </si>
  <si>
    <t>21-3760</t>
  </si>
  <si>
    <t>19-1413</t>
  </si>
  <si>
    <t>17-1266</t>
  </si>
  <si>
    <t>21-3062</t>
  </si>
  <si>
    <t>20-2308</t>
  </si>
  <si>
    <t>20-1862</t>
  </si>
  <si>
    <t>21-4059</t>
  </si>
  <si>
    <t>18-2011</t>
  </si>
  <si>
    <t>20-1914</t>
  </si>
  <si>
    <t>20-3317</t>
  </si>
  <si>
    <t>20-2994</t>
  </si>
  <si>
    <t>22-1439</t>
  </si>
  <si>
    <t>19-4411</t>
  </si>
  <si>
    <t>18-4767</t>
  </si>
  <si>
    <t>20-2119</t>
  </si>
  <si>
    <t>20-1916</t>
  </si>
  <si>
    <t>18-2240</t>
  </si>
  <si>
    <t>19-4514</t>
  </si>
  <si>
    <t>20-4745</t>
  </si>
  <si>
    <t>21-3745</t>
  </si>
  <si>
    <t>22-1933</t>
  </si>
  <si>
    <t>21-3530</t>
  </si>
  <si>
    <t>21-1511</t>
  </si>
  <si>
    <t>22-4806</t>
  </si>
  <si>
    <t>19-2658</t>
  </si>
  <si>
    <t>19-2271</t>
  </si>
  <si>
    <t>22-3206</t>
  </si>
  <si>
    <t>18-4927</t>
  </si>
  <si>
    <t>19-3938</t>
  </si>
  <si>
    <t>18-1169</t>
  </si>
  <si>
    <t>20-3270</t>
  </si>
  <si>
    <t>20-1047</t>
  </si>
  <si>
    <t>22-2472</t>
  </si>
  <si>
    <t>23-2402</t>
  </si>
  <si>
    <t>20-5000</t>
  </si>
  <si>
    <t>21-2502</t>
  </si>
  <si>
    <t>20-2001</t>
  </si>
  <si>
    <t>21-3336</t>
  </si>
  <si>
    <t>19-1371</t>
  </si>
  <si>
    <t>20-3358</t>
  </si>
  <si>
    <t>22-3231</t>
  </si>
  <si>
    <t>22-2787</t>
  </si>
  <si>
    <t>19-4442</t>
  </si>
  <si>
    <t>19-4229</t>
  </si>
  <si>
    <t>19-4506</t>
  </si>
  <si>
    <t>19-4758</t>
  </si>
  <si>
    <t>19-1468</t>
  </si>
  <si>
    <t>22-3064</t>
  </si>
  <si>
    <t>18-1106</t>
  </si>
  <si>
    <t>21-2913</t>
  </si>
  <si>
    <t>20-3084</t>
  </si>
  <si>
    <t>19-3141</t>
  </si>
  <si>
    <t>17-4015</t>
  </si>
  <si>
    <t>19-4546</t>
  </si>
  <si>
    <t>20-3303</t>
  </si>
  <si>
    <t>18-3402</t>
  </si>
  <si>
    <t>20-4377</t>
  </si>
  <si>
    <t>21-1509</t>
  </si>
  <si>
    <t>18-2015</t>
  </si>
  <si>
    <t>20-2375</t>
  </si>
  <si>
    <t>21-1839</t>
  </si>
  <si>
    <t>19-2710</t>
  </si>
  <si>
    <t>20-3569</t>
  </si>
  <si>
    <t>22-2373</t>
  </si>
  <si>
    <t>22-3164</t>
  </si>
  <si>
    <t>20-1668</t>
  </si>
  <si>
    <t>20-4612</t>
  </si>
  <si>
    <t>23-1364</t>
  </si>
  <si>
    <t>20-2884</t>
  </si>
  <si>
    <t>22-4048</t>
  </si>
  <si>
    <t>19-1653</t>
  </si>
  <si>
    <t>22-2231</t>
  </si>
  <si>
    <t>21-4736</t>
  </si>
  <si>
    <t>20-3831</t>
  </si>
  <si>
    <t>19-4269</t>
  </si>
  <si>
    <t>22-3046</t>
  </si>
  <si>
    <t>19-1707</t>
  </si>
  <si>
    <t>19-4910</t>
  </si>
  <si>
    <t>19-4414</t>
  </si>
  <si>
    <t>21-2486</t>
  </si>
  <si>
    <t>19-1516</t>
  </si>
  <si>
    <t>23-1542</t>
  </si>
  <si>
    <t>23-2051</t>
  </si>
  <si>
    <t>21-2646</t>
  </si>
  <si>
    <t>19-3533</t>
  </si>
  <si>
    <t>19-4028</t>
  </si>
  <si>
    <t>21-4831</t>
  </si>
  <si>
    <t>20-3033</t>
  </si>
  <si>
    <t>19-3253</t>
  </si>
  <si>
    <t>21-4582</t>
  </si>
  <si>
    <t>23-4949</t>
  </si>
  <si>
    <t>21-1504</t>
  </si>
  <si>
    <t>22-4541</t>
  </si>
  <si>
    <t>21-4279</t>
  </si>
  <si>
    <t>18-3343</t>
  </si>
  <si>
    <t>20-3280</t>
  </si>
  <si>
    <t>18-3236</t>
  </si>
  <si>
    <t>19-2700</t>
  </si>
  <si>
    <t>21-1858</t>
  </si>
  <si>
    <t>18-3767</t>
  </si>
  <si>
    <t>18-3067</t>
  </si>
  <si>
    <t>22-1618</t>
  </si>
  <si>
    <t>21-1605</t>
  </si>
  <si>
    <t>17-2796</t>
  </si>
  <si>
    <t>21-1762</t>
  </si>
  <si>
    <t>22-2130</t>
  </si>
  <si>
    <t>22-1117</t>
  </si>
  <si>
    <t>20-4336</t>
  </si>
  <si>
    <t>20-1460</t>
  </si>
  <si>
    <t>20-2735</t>
  </si>
  <si>
    <t>18-2062</t>
  </si>
  <si>
    <t>22-4643</t>
  </si>
  <si>
    <t>18-2747</t>
  </si>
  <si>
    <t>20-1251</t>
  </si>
  <si>
    <t>22-3084</t>
  </si>
  <si>
    <t>19-4019</t>
  </si>
  <si>
    <t>19-4879</t>
  </si>
  <si>
    <t>21-1040</t>
  </si>
  <si>
    <t>20-2869</t>
  </si>
  <si>
    <t>19-1441</t>
  </si>
  <si>
    <t>23-3509</t>
  </si>
  <si>
    <t>18-3425</t>
  </si>
  <si>
    <t>18-4888</t>
  </si>
  <si>
    <t>18-3842</t>
  </si>
  <si>
    <t>22-3520</t>
  </si>
  <si>
    <t>18-3594</t>
  </si>
  <si>
    <t>20-2365</t>
  </si>
  <si>
    <t>22-3170</t>
  </si>
  <si>
    <t>19-2041</t>
  </si>
  <si>
    <t>20-2470</t>
  </si>
  <si>
    <t>18-2892</t>
  </si>
  <si>
    <t>19-1606</t>
  </si>
  <si>
    <t>22-1681</t>
  </si>
  <si>
    <t>20-1363</t>
  </si>
  <si>
    <t>19-4402</t>
  </si>
  <si>
    <t>19-4488</t>
  </si>
  <si>
    <t>17-1458</t>
  </si>
  <si>
    <t>18-1248</t>
  </si>
  <si>
    <t>17-1955</t>
  </si>
  <si>
    <t>19-4672</t>
  </si>
  <si>
    <t>18-4410</t>
  </si>
  <si>
    <t>18-4717</t>
  </si>
  <si>
    <t>20-4968</t>
  </si>
  <si>
    <t>19-2550</t>
  </si>
  <si>
    <t>20-4521</t>
  </si>
  <si>
    <t>21-2946</t>
  </si>
  <si>
    <t>21-3838</t>
  </si>
  <si>
    <t>21-2046</t>
  </si>
  <si>
    <t>21-1441</t>
  </si>
  <si>
    <t>18-3294</t>
  </si>
  <si>
    <t>19-1616</t>
  </si>
  <si>
    <t>19-4703</t>
  </si>
  <si>
    <t>21-1977</t>
  </si>
  <si>
    <t>21-1701</t>
  </si>
  <si>
    <t>20-2074</t>
  </si>
  <si>
    <t>21-1550</t>
  </si>
  <si>
    <t>22-1497</t>
  </si>
  <si>
    <t>21-3314</t>
  </si>
  <si>
    <t>21-2290</t>
  </si>
  <si>
    <t>17-4367</t>
  </si>
  <si>
    <t>19-1408</t>
  </si>
  <si>
    <t>19-1991</t>
  </si>
  <si>
    <t>21-1056</t>
  </si>
  <si>
    <t>20-2943</t>
  </si>
  <si>
    <t>20-3434</t>
  </si>
  <si>
    <t>21-3888</t>
  </si>
  <si>
    <t>19-3441</t>
  </si>
  <si>
    <t>19-4203</t>
  </si>
  <si>
    <t>20-2604</t>
  </si>
  <si>
    <t>20-1078</t>
  </si>
  <si>
    <t>19-2495</t>
  </si>
  <si>
    <t>19-4286</t>
  </si>
  <si>
    <t>20-2990</t>
  </si>
  <si>
    <t>22-1867</t>
  </si>
  <si>
    <t>18-3882</t>
  </si>
  <si>
    <t>18-4050</t>
  </si>
  <si>
    <t>22-4873</t>
  </si>
  <si>
    <t>20-1727</t>
  </si>
  <si>
    <t>20-1860</t>
  </si>
  <si>
    <t>19-4198</t>
  </si>
  <si>
    <t>23-5000</t>
  </si>
  <si>
    <t>22-3075</t>
  </si>
  <si>
    <t>18-1896</t>
  </si>
  <si>
    <t>21-1433</t>
  </si>
  <si>
    <t>22-3212</t>
  </si>
  <si>
    <t>19-1427</t>
  </si>
  <si>
    <t>23-4508</t>
  </si>
  <si>
    <t>21-4978</t>
  </si>
  <si>
    <t>19-4650</t>
  </si>
  <si>
    <t>18-1249</t>
  </si>
  <si>
    <t>21-4327</t>
  </si>
  <si>
    <t>22-1357</t>
  </si>
  <si>
    <t>19-1250</t>
  </si>
  <si>
    <t>22-2708</t>
  </si>
  <si>
    <t>18-3703</t>
  </si>
  <si>
    <t>16-2553</t>
  </si>
  <si>
    <t>17-3371</t>
  </si>
  <si>
    <t>21-3373</t>
  </si>
  <si>
    <t>18-4002</t>
  </si>
  <si>
    <t>19-4224</t>
  </si>
  <si>
    <t>21-3998</t>
  </si>
  <si>
    <t>20-3671</t>
  </si>
  <si>
    <t>20-4854</t>
  </si>
  <si>
    <t>20-4907</t>
  </si>
  <si>
    <t>20-4512</t>
  </si>
  <si>
    <t>20-2516</t>
  </si>
  <si>
    <t>21-3475</t>
  </si>
  <si>
    <t>18-1199</t>
  </si>
  <si>
    <t>20-2768</t>
  </si>
  <si>
    <t>20-4829</t>
  </si>
  <si>
    <t>20-2931</t>
  </si>
  <si>
    <t>19-2533</t>
  </si>
  <si>
    <t>19-2014</t>
  </si>
  <si>
    <t>21-3056</t>
  </si>
  <si>
    <t>20-1144</t>
  </si>
  <si>
    <t>21-1469</t>
  </si>
  <si>
    <t>20-3413</t>
  </si>
  <si>
    <t>21-2560</t>
  </si>
  <si>
    <t>19-2883</t>
  </si>
  <si>
    <t>21-1879</t>
  </si>
  <si>
    <t>21-1824</t>
  </si>
  <si>
    <t>18-1067</t>
  </si>
  <si>
    <t>19-2485</t>
  </si>
  <si>
    <t>20-2746</t>
  </si>
  <si>
    <t>22-4796</t>
  </si>
  <si>
    <t>18-2190</t>
  </si>
  <si>
    <t>20-1518</t>
  </si>
  <si>
    <t>18-2402</t>
  </si>
  <si>
    <t>19-3980</t>
  </si>
  <si>
    <t>18-4508</t>
  </si>
  <si>
    <t>20-1681</t>
  </si>
  <si>
    <t>19-2294</t>
  </si>
  <si>
    <t>19-1255</t>
  </si>
  <si>
    <t>18-1495</t>
  </si>
  <si>
    <t>22-4277</t>
  </si>
  <si>
    <t>18-1669</t>
  </si>
  <si>
    <t>19-4788</t>
  </si>
  <si>
    <t>17-4686</t>
  </si>
  <si>
    <t>20-2436</t>
  </si>
  <si>
    <t>18-1310</t>
  </si>
  <si>
    <t>18-4606</t>
  </si>
  <si>
    <t>19-1342</t>
  </si>
  <si>
    <t>19-2839</t>
  </si>
  <si>
    <t>19-1584</t>
  </si>
  <si>
    <t>18-2914</t>
  </si>
  <si>
    <t>19-4320</t>
  </si>
  <si>
    <t>19-3303</t>
  </si>
  <si>
    <t>22-4303</t>
  </si>
  <si>
    <t>23-4466</t>
  </si>
  <si>
    <t>19-3246</t>
  </si>
  <si>
    <t>22-1977</t>
  </si>
  <si>
    <t>21-4027</t>
  </si>
  <si>
    <t>18-2818</t>
  </si>
  <si>
    <t>21-2329</t>
  </si>
  <si>
    <t>20-1386</t>
  </si>
  <si>
    <t>18-1533</t>
  </si>
  <si>
    <t>19-3370</t>
  </si>
  <si>
    <t>22-2557</t>
  </si>
  <si>
    <t>19-1034</t>
  </si>
  <si>
    <t>20-2239</t>
  </si>
  <si>
    <t>21-4302</t>
  </si>
  <si>
    <t>20-1899</t>
  </si>
  <si>
    <t>19-3568</t>
  </si>
  <si>
    <t>18-4719</t>
  </si>
  <si>
    <t>20-1656</t>
  </si>
  <si>
    <t>20-3420</t>
  </si>
  <si>
    <t>20-1877</t>
  </si>
  <si>
    <t>19-2744</t>
  </si>
  <si>
    <t>21-2448</t>
  </si>
  <si>
    <t>19-3443</t>
  </si>
  <si>
    <t>20-4910</t>
  </si>
  <si>
    <t>21-2362</t>
  </si>
  <si>
    <t>18-3462</t>
  </si>
  <si>
    <t>20-3578</t>
  </si>
  <si>
    <t>18-1986</t>
  </si>
  <si>
    <t>20-2569</t>
  </si>
  <si>
    <t>21-3702</t>
  </si>
  <si>
    <t>19-2121</t>
  </si>
  <si>
    <t>23-2466</t>
  </si>
  <si>
    <t>20-4011</t>
  </si>
  <si>
    <t>20-3887</t>
  </si>
  <si>
    <t>22-1291</t>
  </si>
  <si>
    <t>18-1931</t>
  </si>
  <si>
    <t>19-2503</t>
  </si>
  <si>
    <t>22-2092</t>
  </si>
  <si>
    <t>22-3928</t>
  </si>
  <si>
    <t>20-2793</t>
  </si>
  <si>
    <t>18-2148</t>
  </si>
  <si>
    <t>20-3821</t>
  </si>
  <si>
    <t>19-1406</t>
  </si>
  <si>
    <t>22-2422</t>
  </si>
  <si>
    <t>21-3179</t>
  </si>
  <si>
    <t>19-4801</t>
  </si>
  <si>
    <t>19-1015</t>
  </si>
  <si>
    <t>19-2402</t>
  </si>
  <si>
    <t>18-4612</t>
  </si>
  <si>
    <t>22-1748</t>
  </si>
  <si>
    <t>18-3028</t>
  </si>
  <si>
    <t>18-4430</t>
  </si>
  <si>
    <t>19-4454</t>
  </si>
  <si>
    <t>20-2010</t>
  </si>
  <si>
    <t>19-3265</t>
  </si>
  <si>
    <t>20-1692</t>
  </si>
  <si>
    <t>19-2673</t>
  </si>
  <si>
    <t>19-1973</t>
  </si>
  <si>
    <t>20-3297</t>
  </si>
  <si>
    <t>20-2906</t>
  </si>
  <si>
    <t>20-4740</t>
  </si>
  <si>
    <t>21-2089</t>
  </si>
  <si>
    <t>23-3879</t>
  </si>
  <si>
    <t>20-4051</t>
  </si>
  <si>
    <t>21-4375</t>
  </si>
  <si>
    <t>17-4260</t>
  </si>
  <si>
    <t>18-4453</t>
  </si>
  <si>
    <t>20-1260</t>
  </si>
  <si>
    <t>18-4414</t>
  </si>
  <si>
    <t>18-4125</t>
  </si>
  <si>
    <t>20-3296</t>
  </si>
  <si>
    <t>20-3662</t>
  </si>
  <si>
    <t>20-1903</t>
  </si>
  <si>
    <t>21-1435</t>
  </si>
  <si>
    <t>18-1282</t>
  </si>
  <si>
    <t>19-1704</t>
  </si>
  <si>
    <t>16-4839</t>
  </si>
  <si>
    <t>20-4605</t>
  </si>
  <si>
    <t>19-3890</t>
  </si>
  <si>
    <t>21-1625</t>
  </si>
  <si>
    <t>19-1834</t>
  </si>
  <si>
    <t>20-4267</t>
  </si>
  <si>
    <t>19-2685</t>
  </si>
  <si>
    <t>20-3333</t>
  </si>
  <si>
    <t>20-3881</t>
  </si>
  <si>
    <t>19-2447</t>
  </si>
  <si>
    <t>20-4504</t>
  </si>
  <si>
    <t>20-1890</t>
  </si>
  <si>
    <t>18-4066</t>
  </si>
  <si>
    <t>20-1385</t>
  </si>
  <si>
    <t>18-3627</t>
  </si>
  <si>
    <t>19-2961</t>
  </si>
  <si>
    <t>19-2118</t>
  </si>
  <si>
    <t>21-4615</t>
  </si>
  <si>
    <t>21-1559</t>
  </si>
  <si>
    <t>19-3343</t>
  </si>
  <si>
    <t>20-4094</t>
  </si>
  <si>
    <t>22-3290</t>
  </si>
  <si>
    <t>19-4995</t>
  </si>
  <si>
    <t>22-2198</t>
  </si>
  <si>
    <t>20-3979</t>
  </si>
  <si>
    <t>19-1405</t>
  </si>
  <si>
    <t>18-2828</t>
  </si>
  <si>
    <t>19-2688</t>
  </si>
  <si>
    <t>22-2735</t>
  </si>
  <si>
    <t>19-3514</t>
  </si>
  <si>
    <t>19-2326</t>
  </si>
  <si>
    <t>18-3436</t>
  </si>
  <si>
    <t>19-4090</t>
  </si>
  <si>
    <t>22-4988</t>
  </si>
  <si>
    <t>20-1983</t>
  </si>
  <si>
    <t>21-3678</t>
  </si>
  <si>
    <t>21-3128</t>
  </si>
  <si>
    <t>22-1083</t>
  </si>
  <si>
    <t>20-4376</t>
  </si>
  <si>
    <t>21-2283</t>
  </si>
  <si>
    <t>17-3050</t>
  </si>
  <si>
    <t>19-1170</t>
  </si>
  <si>
    <t>18-2690</t>
  </si>
  <si>
    <t>22-4189</t>
  </si>
  <si>
    <t>21-2219</t>
  </si>
  <si>
    <t>18-4382</t>
  </si>
  <si>
    <t>21-4191</t>
  </si>
  <si>
    <t>20-2170</t>
  </si>
  <si>
    <t>22-2963</t>
  </si>
  <si>
    <t>18-1467</t>
  </si>
  <si>
    <t>19-2267</t>
  </si>
  <si>
    <t>20-1409</t>
  </si>
  <si>
    <t>22-1843</t>
  </si>
  <si>
    <t>22-2140</t>
  </si>
  <si>
    <t>21-4577</t>
  </si>
  <si>
    <t>18-3168</t>
  </si>
  <si>
    <t>20-2222</t>
  </si>
  <si>
    <t>20-3726</t>
  </si>
  <si>
    <t>19-2042</t>
  </si>
  <si>
    <t>18-1424</t>
  </si>
  <si>
    <t>19-3876</t>
  </si>
  <si>
    <t>20-2742</t>
  </si>
  <si>
    <t>20-1917</t>
  </si>
  <si>
    <t>17-3228</t>
  </si>
  <si>
    <t>17-1345</t>
  </si>
  <si>
    <t>20-4428</t>
  </si>
  <si>
    <t>22-2692</t>
  </si>
  <si>
    <t>21-1508</t>
  </si>
  <si>
    <t>20-3735</t>
  </si>
  <si>
    <t>18-1001</t>
  </si>
  <si>
    <t>19-3651</t>
  </si>
  <si>
    <t>21-1527</t>
  </si>
  <si>
    <t>22-4901</t>
  </si>
  <si>
    <t>22-4864</t>
  </si>
  <si>
    <t>19-2523</t>
  </si>
  <si>
    <t>20-2422</t>
  </si>
  <si>
    <t>20-1201</t>
  </si>
  <si>
    <t>19-3883</t>
  </si>
  <si>
    <t>20-1022</t>
  </si>
  <si>
    <t>18-1983</t>
  </si>
  <si>
    <t>22-4742</t>
  </si>
  <si>
    <t>22-1971</t>
  </si>
  <si>
    <t>19-2500</t>
  </si>
  <si>
    <t>17-3997</t>
  </si>
  <si>
    <t>20-4518</t>
  </si>
  <si>
    <t>19-4544</t>
  </si>
  <si>
    <t>19-1747</t>
  </si>
  <si>
    <t>21-3363</t>
  </si>
  <si>
    <t>18-4119</t>
  </si>
  <si>
    <t>20-1736</t>
  </si>
  <si>
    <t>20-2358</t>
  </si>
  <si>
    <t>23-1834</t>
  </si>
  <si>
    <t>20-1548</t>
  </si>
  <si>
    <t>19-2071</t>
  </si>
  <si>
    <t>20-3128</t>
  </si>
  <si>
    <t>21-2596</t>
  </si>
  <si>
    <t>20-1482</t>
  </si>
  <si>
    <t>20-3742</t>
  </si>
  <si>
    <t>22-3413</t>
  </si>
  <si>
    <t>20-4579</t>
  </si>
  <si>
    <t>20-1060</t>
  </si>
  <si>
    <t>21-4479</t>
  </si>
  <si>
    <t>20-1462</t>
  </si>
  <si>
    <t>22-2795</t>
  </si>
  <si>
    <t>21-1875</t>
  </si>
  <si>
    <t>21-1458</t>
  </si>
  <si>
    <t>19-3425</t>
  </si>
  <si>
    <t>21-4546</t>
  </si>
  <si>
    <t>20-4806</t>
  </si>
  <si>
    <t>21-1358</t>
  </si>
  <si>
    <t>19-1111</t>
  </si>
  <si>
    <t>20-4693</t>
  </si>
  <si>
    <t>20-4905</t>
  </si>
  <si>
    <t>19-4813</t>
  </si>
  <si>
    <t>19-4594</t>
  </si>
  <si>
    <t>21-1495</t>
  </si>
  <si>
    <t>20-4060</t>
  </si>
  <si>
    <t>18-4533</t>
  </si>
  <si>
    <t>17-3345</t>
  </si>
  <si>
    <t>19-1119</t>
  </si>
  <si>
    <t>19-1333</t>
  </si>
  <si>
    <t>18-1987</t>
  </si>
  <si>
    <t>20-4892</t>
  </si>
  <si>
    <t>21-4157</t>
  </si>
  <si>
    <t>20-1241</t>
  </si>
  <si>
    <t>21-3004</t>
  </si>
  <si>
    <t>20-4020</t>
  </si>
  <si>
    <t>20-4054</t>
  </si>
  <si>
    <t>19-1225</t>
  </si>
  <si>
    <t>20-4696</t>
  </si>
  <si>
    <t>19-2917</t>
  </si>
  <si>
    <t>19-4958</t>
  </si>
  <si>
    <t>20-4079</t>
  </si>
  <si>
    <t>21-4935</t>
  </si>
  <si>
    <t>20-1247</t>
  </si>
  <si>
    <t>21-3202</t>
  </si>
  <si>
    <t>15-3098</t>
  </si>
  <si>
    <t>21-3350</t>
  </si>
  <si>
    <t>19-4309</t>
  </si>
  <si>
    <t>17-2601</t>
  </si>
  <si>
    <t>18-2113</t>
  </si>
  <si>
    <t>19-1562</t>
  </si>
  <si>
    <t>21-4120</t>
  </si>
  <si>
    <t>20-1116</t>
  </si>
  <si>
    <t>22-2603</t>
  </si>
  <si>
    <t>18-2167</t>
  </si>
  <si>
    <t>20-3036</t>
  </si>
  <si>
    <t>20-1821</t>
  </si>
  <si>
    <t>21-2074</t>
  </si>
  <si>
    <t>21-1535</t>
  </si>
  <si>
    <t>20-3230</t>
  </si>
  <si>
    <t>20-1186</t>
  </si>
  <si>
    <t>19-1847</t>
  </si>
  <si>
    <t>22-3441</t>
  </si>
  <si>
    <t>19-1966</t>
  </si>
  <si>
    <t>20-1002</t>
  </si>
  <si>
    <t>20-4213</t>
  </si>
  <si>
    <t>19-1063</t>
  </si>
  <si>
    <t>20-4115</t>
  </si>
  <si>
    <t>21-2576</t>
  </si>
  <si>
    <t>20-4404</t>
  </si>
  <si>
    <t>18-4547</t>
  </si>
  <si>
    <t>18-1967</t>
  </si>
  <si>
    <t>15-2073</t>
  </si>
  <si>
    <t>22-2573</t>
  </si>
  <si>
    <t>22-2939</t>
  </si>
  <si>
    <t>17-1307</t>
  </si>
  <si>
    <t>20-1459</t>
  </si>
  <si>
    <t>23-1872</t>
  </si>
  <si>
    <t>22-4332</t>
  </si>
  <si>
    <t>20-2370</t>
  </si>
  <si>
    <t>17-1467</t>
  </si>
  <si>
    <t>22-2320</t>
  </si>
  <si>
    <t>20-2667</t>
  </si>
  <si>
    <t>22-2734</t>
  </si>
  <si>
    <t>20-4562</t>
  </si>
  <si>
    <t>20-2894</t>
  </si>
  <si>
    <t>20-3476</t>
  </si>
  <si>
    <t>20-1439</t>
  </si>
  <si>
    <t>18-3151</t>
  </si>
  <si>
    <t>16-2269</t>
  </si>
  <si>
    <t>19-1907</t>
  </si>
  <si>
    <t>19-1419</t>
  </si>
  <si>
    <t>20-4215</t>
  </si>
  <si>
    <t>19-4919</t>
  </si>
  <si>
    <t>20-3396</t>
  </si>
  <si>
    <t>17-2765</t>
  </si>
  <si>
    <t>21-3046</t>
  </si>
  <si>
    <t>20-2255</t>
  </si>
  <si>
    <t>19-4036</t>
  </si>
  <si>
    <t>22-3550</t>
  </si>
  <si>
    <t>21-1699</t>
  </si>
  <si>
    <t>20-2438</t>
  </si>
  <si>
    <t>22-2791</t>
  </si>
  <si>
    <t>21-3993</t>
  </si>
  <si>
    <t>20-4188</t>
  </si>
  <si>
    <t>19-4154</t>
  </si>
  <si>
    <t>19-1841</t>
  </si>
  <si>
    <t>20-1670</t>
  </si>
  <si>
    <t>22-1404</t>
  </si>
  <si>
    <t>17-2222</t>
  </si>
  <si>
    <t>20-2377</t>
  </si>
  <si>
    <t>19-3501</t>
  </si>
  <si>
    <t>18-2304</t>
  </si>
  <si>
    <t>18-3580</t>
  </si>
  <si>
    <t>22-3983</t>
  </si>
  <si>
    <t>20-3959</t>
  </si>
  <si>
    <t>22-3859</t>
  </si>
  <si>
    <t>15-3490</t>
  </si>
  <si>
    <t>19-2281</t>
  </si>
  <si>
    <t>19-4568</t>
  </si>
  <si>
    <t>20-1642</t>
  </si>
  <si>
    <t>18-3251</t>
  </si>
  <si>
    <t>21-2501</t>
  </si>
  <si>
    <t>21-4493</t>
  </si>
  <si>
    <t>19-2882</t>
  </si>
  <si>
    <t>18-1755</t>
  </si>
  <si>
    <t>18-4959</t>
  </si>
  <si>
    <t>17-4764</t>
  </si>
  <si>
    <t>18-2852</t>
  </si>
  <si>
    <t>19-4583</t>
  </si>
  <si>
    <t>20-4006</t>
  </si>
  <si>
    <t>20-4405</t>
  </si>
  <si>
    <t>21-4143</t>
  </si>
  <si>
    <t>23-3613</t>
  </si>
  <si>
    <t>20-3401</t>
  </si>
  <si>
    <t>19-4714</t>
  </si>
  <si>
    <t>20-4050</t>
  </si>
  <si>
    <t>18-2775</t>
  </si>
  <si>
    <t>21-3781</t>
  </si>
  <si>
    <t>21-1392</t>
  </si>
  <si>
    <t>23-1511</t>
  </si>
  <si>
    <t>19-3154</t>
  </si>
  <si>
    <t>21-3969</t>
  </si>
  <si>
    <t>19-4375</t>
  </si>
  <si>
    <t>22-2397</t>
  </si>
  <si>
    <t>20-4859</t>
  </si>
  <si>
    <t>22-4120</t>
  </si>
  <si>
    <t>20-2855</t>
  </si>
  <si>
    <t>19-4792</t>
  </si>
  <si>
    <t>21-1786</t>
  </si>
  <si>
    <t>20-1387</t>
  </si>
  <si>
    <t>20-3398</t>
  </si>
  <si>
    <t>19-2117</t>
  </si>
  <si>
    <t>19-1418</t>
  </si>
  <si>
    <t>20-4587</t>
  </si>
  <si>
    <t>20-3463</t>
  </si>
  <si>
    <t>20-1607</t>
  </si>
  <si>
    <t>17-4392</t>
  </si>
  <si>
    <t>21-3005</t>
  </si>
  <si>
    <t>18-3906</t>
  </si>
  <si>
    <t>21-3740</t>
  </si>
  <si>
    <t>19-3552</t>
  </si>
  <si>
    <t>22-3767</t>
  </si>
  <si>
    <t>21-1197</t>
  </si>
  <si>
    <t>22-2345</t>
  </si>
  <si>
    <t>19-3715</t>
  </si>
  <si>
    <t>20-2416</t>
  </si>
  <si>
    <t>20-4153</t>
  </si>
  <si>
    <t>17-1860</t>
  </si>
  <si>
    <t>18-3480</t>
  </si>
  <si>
    <t>19-3734</t>
  </si>
  <si>
    <t>22-1919</t>
  </si>
  <si>
    <t>21-1085</t>
  </si>
  <si>
    <t>20-2121</t>
  </si>
  <si>
    <t>20-4583</t>
  </si>
  <si>
    <t>18-2321</t>
  </si>
  <si>
    <t>20-1574</t>
  </si>
  <si>
    <t>21-4239</t>
  </si>
  <si>
    <t>20-3763</t>
  </si>
  <si>
    <t>21-2227</t>
  </si>
  <si>
    <t>20-4442</t>
  </si>
  <si>
    <t>19-1010</t>
  </si>
  <si>
    <t>20-1602</t>
  </si>
  <si>
    <t>20-2896</t>
  </si>
  <si>
    <t>21-2556</t>
  </si>
  <si>
    <t>19-3513</t>
  </si>
  <si>
    <t>19-4058</t>
  </si>
  <si>
    <t>20-3574</t>
  </si>
  <si>
    <t>19-3237</t>
  </si>
  <si>
    <t>22-4285</t>
  </si>
  <si>
    <t>20-3749</t>
  </si>
  <si>
    <t>22-1343</t>
  </si>
  <si>
    <t>19-2451</t>
  </si>
  <si>
    <t>22-1705</t>
  </si>
  <si>
    <t>21-1369</t>
  </si>
  <si>
    <t>21-4014</t>
  </si>
  <si>
    <t>22-2667</t>
  </si>
  <si>
    <t>21-3714</t>
  </si>
  <si>
    <t>21-4077</t>
  </si>
  <si>
    <t>21-2254</t>
  </si>
  <si>
    <t>20-2174</t>
  </si>
  <si>
    <t>19-3393</t>
  </si>
  <si>
    <t>20-2493</t>
  </si>
  <si>
    <t>18-4905</t>
  </si>
  <si>
    <t>22-1593</t>
  </si>
  <si>
    <t>19-3260</t>
  </si>
  <si>
    <t>19-1388</t>
  </si>
  <si>
    <t>21-1481</t>
  </si>
  <si>
    <t>20-4293</t>
  </si>
  <si>
    <t>19-2634</t>
  </si>
  <si>
    <t>20-4868</t>
  </si>
  <si>
    <t>20-3921</t>
  </si>
  <si>
    <t>21-3383</t>
  </si>
  <si>
    <t>19-2221</t>
  </si>
  <si>
    <t>19-4516</t>
  </si>
  <si>
    <t>19-4182</t>
  </si>
  <si>
    <t>19-2095</t>
  </si>
  <si>
    <t>20-4602</t>
  </si>
  <si>
    <t>18-3240</t>
  </si>
  <si>
    <t>17-2199</t>
  </si>
  <si>
    <t>18-4521</t>
  </si>
  <si>
    <t>20-3433</t>
  </si>
  <si>
    <t>22-1829</t>
  </si>
  <si>
    <t>20-3532</t>
  </si>
  <si>
    <t>18-1134</t>
  </si>
  <si>
    <t>17-4153</t>
  </si>
  <si>
    <t>22-2584</t>
  </si>
  <si>
    <t>22-1890</t>
  </si>
  <si>
    <t>18-4784</t>
  </si>
  <si>
    <t>18-3267</t>
  </si>
  <si>
    <t>21-4374</t>
  </si>
  <si>
    <t>19-4882</t>
  </si>
  <si>
    <t>19-1623</t>
  </si>
  <si>
    <t>19-2972</t>
  </si>
  <si>
    <t>18-4617</t>
  </si>
  <si>
    <t>18-3857</t>
  </si>
  <si>
    <t>20-2907</t>
  </si>
  <si>
    <t>20-2124</t>
  </si>
  <si>
    <t>20-2374</t>
  </si>
  <si>
    <t>18-1108</t>
  </si>
  <si>
    <t>21-2313</t>
  </si>
  <si>
    <t>21-2412</t>
  </si>
  <si>
    <t>22-4376</t>
  </si>
  <si>
    <t>24-1103</t>
  </si>
  <si>
    <t>20-2890</t>
  </si>
  <si>
    <t>19-2558</t>
  </si>
  <si>
    <t>19-1397</t>
  </si>
  <si>
    <t>23-1379</t>
  </si>
  <si>
    <t>22-2712</t>
  </si>
  <si>
    <t>20-3731</t>
  </si>
  <si>
    <t>21-4683</t>
  </si>
  <si>
    <t>21-1378</t>
  </si>
  <si>
    <t>18-2219</t>
  </si>
  <si>
    <t>19-4625</t>
  </si>
  <si>
    <t>16-1985</t>
  </si>
  <si>
    <t>20-4089</t>
  </si>
  <si>
    <t>18-3434</t>
  </si>
  <si>
    <t>21-3272</t>
  </si>
  <si>
    <t>21-1264</t>
  </si>
  <si>
    <t>20-4323</t>
  </si>
  <si>
    <t>20-1787</t>
  </si>
  <si>
    <t>21-4923</t>
  </si>
  <si>
    <t>19-2269</t>
  </si>
  <si>
    <t>20-4778</t>
  </si>
  <si>
    <t>20-1645</t>
  </si>
  <si>
    <t>18-4048</t>
  </si>
  <si>
    <t>20-4311</t>
  </si>
  <si>
    <t>20-1281</t>
  </si>
  <si>
    <t>21-2267</t>
  </si>
  <si>
    <t>19-1353</t>
  </si>
  <si>
    <t>20-2645</t>
  </si>
  <si>
    <t>20-1658</t>
  </si>
  <si>
    <t>19-3439</t>
  </si>
  <si>
    <t>18-3035</t>
  </si>
  <si>
    <t>18-3984</t>
  </si>
  <si>
    <t>18-1462</t>
  </si>
  <si>
    <t>21-3027</t>
  </si>
  <si>
    <t>20-2276</t>
  </si>
  <si>
    <t>18-3730</t>
  </si>
  <si>
    <t>18-3229</t>
  </si>
  <si>
    <t>21-2171</t>
  </si>
  <si>
    <t>20-4478</t>
  </si>
  <si>
    <t>17-1371</t>
  </si>
  <si>
    <t>19-2989</t>
  </si>
  <si>
    <t>23-1546</t>
  </si>
  <si>
    <t>21-2558</t>
  </si>
  <si>
    <t>19-3910</t>
  </si>
  <si>
    <t>21-1306</t>
  </si>
  <si>
    <t>21-3938</t>
  </si>
  <si>
    <t>20-2781</t>
  </si>
  <si>
    <t>19-4530</t>
  </si>
  <si>
    <t>20-4434</t>
  </si>
  <si>
    <t>22-3836</t>
  </si>
  <si>
    <t>19-2340</t>
  </si>
  <si>
    <t>22-4438</t>
  </si>
  <si>
    <t>18-3493</t>
  </si>
  <si>
    <t>18-1913</t>
  </si>
  <si>
    <t>16-3871</t>
  </si>
  <si>
    <t>18-2398</t>
  </si>
  <si>
    <t>20-3743</t>
  </si>
  <si>
    <t>22-3977</t>
  </si>
  <si>
    <t>19-2611</t>
  </si>
  <si>
    <t>21-2528</t>
  </si>
  <si>
    <t>21-4486</t>
  </si>
  <si>
    <t>22-3765</t>
  </si>
  <si>
    <t>17-4787</t>
  </si>
  <si>
    <t>20-2683</t>
  </si>
  <si>
    <t>20-1095</t>
  </si>
  <si>
    <t>20-3472</t>
  </si>
  <si>
    <t>17-2101</t>
  </si>
  <si>
    <t>21-3266</t>
  </si>
  <si>
    <t>21-4928</t>
  </si>
  <si>
    <t>22-1034</t>
  </si>
  <si>
    <t>22-2291</t>
  </si>
  <si>
    <t>20-4207</t>
  </si>
  <si>
    <t>20-2433</t>
  </si>
  <si>
    <t>22-2717</t>
  </si>
  <si>
    <t>19-3818</t>
  </si>
  <si>
    <t>20-1535</t>
  </si>
  <si>
    <t>19-2614</t>
  </si>
  <si>
    <t>20-1507</t>
  </si>
  <si>
    <t>19-1806</t>
  </si>
  <si>
    <t>18-2083</t>
  </si>
  <si>
    <t>20-4710</t>
  </si>
  <si>
    <t>20-3429</t>
  </si>
  <si>
    <t>21-1363</t>
  </si>
  <si>
    <t>18-2417</t>
  </si>
  <si>
    <t>20-4068</t>
  </si>
  <si>
    <t>18-3746</t>
  </si>
  <si>
    <t>22-1920</t>
  </si>
  <si>
    <t>18-2791</t>
  </si>
  <si>
    <t>22-2509</t>
  </si>
  <si>
    <t>20-1807</t>
  </si>
  <si>
    <t>19-1492</t>
  </si>
  <si>
    <t>19-2183</t>
  </si>
  <si>
    <t>21-1736</t>
  </si>
  <si>
    <t>22-2817</t>
  </si>
  <si>
    <t>18-2768</t>
  </si>
  <si>
    <t>21-4902</t>
  </si>
  <si>
    <t>18-2780</t>
  </si>
  <si>
    <t>20-2329</t>
  </si>
  <si>
    <t>22-4520</t>
  </si>
  <si>
    <t>20-2176</t>
  </si>
  <si>
    <t>18-3883</t>
  </si>
  <si>
    <t>20-2942</t>
  </si>
  <si>
    <t>21-3467</t>
  </si>
  <si>
    <t>19-1781</t>
  </si>
  <si>
    <t>22-2036</t>
  </si>
  <si>
    <t>22-4559</t>
  </si>
  <si>
    <t>22-4128</t>
  </si>
  <si>
    <t>22-3987</t>
  </si>
  <si>
    <t>20-4966</t>
  </si>
  <si>
    <t>19-3255</t>
  </si>
  <si>
    <t>17-2826</t>
  </si>
  <si>
    <t>21-3310</t>
  </si>
  <si>
    <t>18-2682</t>
  </si>
  <si>
    <t>19-2829</t>
  </si>
  <si>
    <t>22-4211</t>
  </si>
  <si>
    <t>16-4442</t>
  </si>
  <si>
    <t>22-4249</t>
  </si>
  <si>
    <t>21-2351</t>
  </si>
  <si>
    <t>20-2252</t>
  </si>
  <si>
    <t>22-2395</t>
  </si>
  <si>
    <t>20-3686</t>
  </si>
  <si>
    <t>20-2045</t>
  </si>
  <si>
    <t>20-2223</t>
  </si>
  <si>
    <t>20-3931</t>
  </si>
  <si>
    <t>19-2493</t>
  </si>
  <si>
    <t>19-1364</t>
  </si>
  <si>
    <t>19-4920</t>
  </si>
  <si>
    <t>21-1911</t>
  </si>
  <si>
    <t>21-3256</t>
  </si>
  <si>
    <t>20-4095</t>
  </si>
  <si>
    <t>21-2538</t>
  </si>
  <si>
    <t>19-2594</t>
  </si>
  <si>
    <t>24-1760</t>
  </si>
  <si>
    <t>20-1277</t>
  </si>
  <si>
    <t>20-3093</t>
  </si>
  <si>
    <t>18-1222</t>
  </si>
  <si>
    <t>19-3547</t>
  </si>
  <si>
    <t>17-4529</t>
  </si>
  <si>
    <t>21-1600</t>
  </si>
  <si>
    <t>20-2542</t>
  </si>
  <si>
    <t>17-3301</t>
  </si>
  <si>
    <t>20-1384</t>
  </si>
  <si>
    <t>19-3132</t>
  </si>
  <si>
    <t>20-1853</t>
  </si>
  <si>
    <t>20-2646</t>
  </si>
  <si>
    <t>19-3202</t>
  </si>
  <si>
    <t>18-1926</t>
  </si>
  <si>
    <t>21-3624</t>
  </si>
  <si>
    <t>19-1332</t>
  </si>
  <si>
    <t>19-1143</t>
  </si>
  <si>
    <t>19-4441</t>
  </si>
  <si>
    <t>20-4659</t>
  </si>
  <si>
    <t>20-3834</t>
  </si>
  <si>
    <t>19-4245</t>
  </si>
  <si>
    <t>20-2891</t>
  </si>
  <si>
    <t>19-3422</t>
  </si>
  <si>
    <t>19-2195</t>
  </si>
  <si>
    <t>21-1685</t>
  </si>
  <si>
    <t>20-3862</t>
  </si>
  <si>
    <t>19-4606</t>
  </si>
  <si>
    <t>22-1333</t>
  </si>
  <si>
    <t>20-1332</t>
  </si>
  <si>
    <t>20-4705</t>
  </si>
  <si>
    <t>19-3902</t>
  </si>
  <si>
    <t>19-4001</t>
  </si>
  <si>
    <t>19-3506</t>
  </si>
  <si>
    <t>19-1696</t>
  </si>
  <si>
    <t>18-1587</t>
  </si>
  <si>
    <t>20-1134</t>
  </si>
  <si>
    <t>22-3127</t>
  </si>
  <si>
    <t>20-1746</t>
  </si>
  <si>
    <t>21-2354</t>
  </si>
  <si>
    <t>20-1402</t>
  </si>
  <si>
    <t>22-1196</t>
  </si>
  <si>
    <t>21-4959</t>
  </si>
  <si>
    <t>19-4376</t>
  </si>
  <si>
    <t>21-4578</t>
  </si>
  <si>
    <t>18-1171</t>
  </si>
  <si>
    <t>19-4859</t>
  </si>
  <si>
    <t>21-1212</t>
  </si>
  <si>
    <t>21-4857</t>
  </si>
  <si>
    <t>20-2554</t>
  </si>
  <si>
    <t>20-1396</t>
  </si>
  <si>
    <t>21-4656</t>
  </si>
  <si>
    <t>21-4080</t>
  </si>
  <si>
    <t>20-3081</t>
  </si>
  <si>
    <t>21-2773</t>
  </si>
  <si>
    <t>20-3336</t>
  </si>
  <si>
    <t>22-4859</t>
  </si>
  <si>
    <t>21-1353</t>
  </si>
  <si>
    <t>22-1339</t>
  </si>
  <si>
    <t>21-1656</t>
  </si>
  <si>
    <t>18-3886</t>
  </si>
  <si>
    <t>21-1275</t>
  </si>
  <si>
    <t>21-3556</t>
  </si>
  <si>
    <t>22-1807</t>
  </si>
  <si>
    <t>18-1205</t>
  </si>
  <si>
    <t>20-1949</t>
  </si>
  <si>
    <t>19-4701</t>
  </si>
  <si>
    <t>20-1231</t>
  </si>
  <si>
    <t>21-3757</t>
  </si>
  <si>
    <t>22-1685</t>
  </si>
  <si>
    <t>18-1685</t>
  </si>
  <si>
    <t>19-1395</t>
  </si>
  <si>
    <t>21-1909</t>
  </si>
  <si>
    <t>15-3015</t>
  </si>
  <si>
    <t>21-1525</t>
  </si>
  <si>
    <t>19-3084</t>
  </si>
  <si>
    <t>19-2949</t>
  </si>
  <si>
    <t>18-1787</t>
  </si>
  <si>
    <t>20-1844</t>
  </si>
  <si>
    <t>22-2146</t>
  </si>
  <si>
    <t>20-1979</t>
  </si>
  <si>
    <t>20-3002</t>
  </si>
  <si>
    <t>20-1940</t>
  </si>
  <si>
    <t>20-2000</t>
  </si>
  <si>
    <t>20-2655</t>
  </si>
  <si>
    <t>18-3144</t>
  </si>
  <si>
    <t>17-4864</t>
  </si>
  <si>
    <t>20-4169</t>
  </si>
  <si>
    <t>20-3436</t>
  </si>
  <si>
    <t>18-1423</t>
  </si>
  <si>
    <t>20-1614</t>
  </si>
  <si>
    <t>20-2915</t>
  </si>
  <si>
    <t>21-4823</t>
  </si>
  <si>
    <t>23-3007</t>
  </si>
  <si>
    <t>17-3100</t>
  </si>
  <si>
    <t>19-4601</t>
  </si>
  <si>
    <t>21-3693</t>
  </si>
  <si>
    <t>19-4609</t>
  </si>
  <si>
    <t>19-1943</t>
  </si>
  <si>
    <t>19-3174</t>
  </si>
  <si>
    <t>18-2681</t>
  </si>
  <si>
    <t>18-2610</t>
  </si>
  <si>
    <t>20-1893</t>
  </si>
  <si>
    <t>19-1646</t>
  </si>
  <si>
    <t>20-1947</t>
  </si>
  <si>
    <t>17-1916</t>
  </si>
  <si>
    <t>20-4430</t>
  </si>
  <si>
    <t>17-2227</t>
  </si>
  <si>
    <t>22-1690</t>
  </si>
  <si>
    <t>19-1863</t>
  </si>
  <si>
    <t>20-1339</t>
  </si>
  <si>
    <t>20-3025</t>
  </si>
  <si>
    <t>20-2633</t>
  </si>
  <si>
    <t>17-1533</t>
  </si>
  <si>
    <t>21-4846</t>
  </si>
  <si>
    <t>22-2617</t>
  </si>
  <si>
    <t>19-1002</t>
  </si>
  <si>
    <t>20-2063</t>
  </si>
  <si>
    <t>18-1023</t>
  </si>
  <si>
    <t>20-2284</t>
  </si>
  <si>
    <t>19-2701</t>
  </si>
  <si>
    <t>21-1207</t>
  </si>
  <si>
    <t>20-2955</t>
  </si>
  <si>
    <t>19-1752</t>
  </si>
  <si>
    <t>19-3227</t>
  </si>
  <si>
    <t>19-2885</t>
  </si>
  <si>
    <t>19-2983</t>
  </si>
  <si>
    <t>19-2927</t>
  </si>
  <si>
    <t>19-2676</t>
  </si>
  <si>
    <t>19-2473</t>
  </si>
  <si>
    <t>19-2851</t>
  </si>
  <si>
    <t>19-3856</t>
  </si>
  <si>
    <t>19-1641</t>
  </si>
  <si>
    <t>19-4021</t>
  </si>
  <si>
    <t>19-2157</t>
  </si>
  <si>
    <t>19-2706</t>
  </si>
  <si>
    <t>19-2857</t>
  </si>
  <si>
    <t>19-2459</t>
  </si>
  <si>
    <t>19-2197</t>
  </si>
  <si>
    <t>19-3337</t>
  </si>
  <si>
    <t>19-3328</t>
  </si>
  <si>
    <t>19-3598</t>
  </si>
  <si>
    <t>19-2380</t>
  </si>
  <si>
    <t>19-3848</t>
  </si>
  <si>
    <t>19-4852</t>
  </si>
  <si>
    <t>19-4490</t>
  </si>
  <si>
    <t>19-1909</t>
  </si>
  <si>
    <t>19-4099</t>
  </si>
  <si>
    <t>19-2954</t>
  </si>
  <si>
    <t>19-3891</t>
  </si>
  <si>
    <t>19-3548</t>
  </si>
  <si>
    <t>19-1127</t>
  </si>
  <si>
    <t>19-3717</t>
  </si>
  <si>
    <t>19-1391</t>
  </si>
  <si>
    <t>19-4246</t>
  </si>
  <si>
    <t>19-1152</t>
  </si>
  <si>
    <t>19-1575</t>
  </si>
  <si>
    <t>19-2244</t>
  </si>
  <si>
    <t>19-2338</t>
  </si>
  <si>
    <t>19-1088</t>
  </si>
  <si>
    <t>19-1661</t>
  </si>
  <si>
    <t>20-4464</t>
  </si>
  <si>
    <t>20-1958</t>
  </si>
  <si>
    <t>20-1120</t>
  </si>
  <si>
    <t>20-3316</t>
  </si>
  <si>
    <t>20-1410</t>
  </si>
  <si>
    <t>20-3375</t>
  </si>
  <si>
    <t>20-2179</t>
  </si>
  <si>
    <t>20-3942</t>
  </si>
  <si>
    <t>20-4599</t>
  </si>
  <si>
    <t>20-2741</t>
  </si>
  <si>
    <t>20-3184</t>
  </si>
  <si>
    <t>20-3612</t>
  </si>
  <si>
    <t>20-3812</t>
  </si>
  <si>
    <t>20-3263</t>
  </si>
  <si>
    <t>20-4481</t>
  </si>
  <si>
    <t>20-2088</t>
  </si>
  <si>
    <t>20-1594</t>
  </si>
  <si>
    <t>20-2985</t>
  </si>
  <si>
    <t>20-2324</t>
  </si>
  <si>
    <t>20-4537</t>
  </si>
  <si>
    <t>20-2453</t>
  </si>
  <si>
    <t>20-3725</t>
  </si>
  <si>
    <t>20-3108</t>
  </si>
  <si>
    <t>20-2060</t>
  </si>
  <si>
    <t>20-3157</t>
  </si>
  <si>
    <t>20-3861</t>
  </si>
  <si>
    <t>20-2146</t>
  </si>
  <si>
    <t>20-1341</t>
  </si>
  <si>
    <t>20-4716</t>
  </si>
  <si>
    <t>20-3253</t>
  </si>
  <si>
    <t>20-4625</t>
  </si>
  <si>
    <t>20-2981</t>
  </si>
  <si>
    <t>20-1609</t>
  </si>
  <si>
    <t>20-4979</t>
  </si>
  <si>
    <t>20-2761</t>
  </si>
  <si>
    <t>20-4951</t>
  </si>
  <si>
    <t>20-3223</t>
  </si>
  <si>
    <t>20-1211</t>
  </si>
  <si>
    <t>20-3147</t>
  </si>
  <si>
    <t>20-4007</t>
  </si>
  <si>
    <t>20-3174</t>
  </si>
  <si>
    <t>20-4982</t>
  </si>
  <si>
    <t>20-3876</t>
  </si>
  <si>
    <t>20-1599</t>
  </si>
  <si>
    <t>20-2400</t>
  </si>
  <si>
    <t>20-2744</t>
  </si>
  <si>
    <t>20-2211</t>
  </si>
  <si>
    <t>20-1872</t>
  </si>
  <si>
    <t>20-3344</t>
  </si>
  <si>
    <t>20-1969</t>
  </si>
  <si>
    <t>20-2061</t>
  </si>
  <si>
    <t>20-1269</t>
  </si>
  <si>
    <t>20-3156</t>
  </si>
  <si>
    <t>20-4441</t>
  </si>
  <si>
    <t>20-1559</t>
  </si>
  <si>
    <t>20-2552</t>
  </si>
  <si>
    <t>20-4262</t>
  </si>
  <si>
    <t>20-2165</t>
  </si>
  <si>
    <t>20-4024</t>
  </si>
  <si>
    <t>20-2138</t>
  </si>
  <si>
    <t>20-1865</t>
  </si>
  <si>
    <t>20-3637</t>
  </si>
  <si>
    <t>20-3372</t>
  </si>
  <si>
    <t>20-1680</t>
  </si>
  <si>
    <t>20-3473</t>
  </si>
  <si>
    <t>20-2682</t>
  </si>
  <si>
    <t>20-3470</t>
  </si>
  <si>
    <t>20-2476</t>
  </si>
  <si>
    <t>20-3094</t>
  </si>
  <si>
    <t>20-4085</t>
  </si>
  <si>
    <t>20-2423</t>
  </si>
  <si>
    <t>20-1193</t>
  </si>
  <si>
    <t>20-2130</t>
  </si>
  <si>
    <t>20-3229</t>
  </si>
  <si>
    <t>20-1447</t>
  </si>
  <si>
    <t>20-2612</t>
  </si>
  <si>
    <t>20-3807</t>
  </si>
  <si>
    <t>20-1123</t>
  </si>
  <si>
    <t>20-3295</t>
  </si>
  <si>
    <t>20-2464</t>
  </si>
  <si>
    <t>20-4739</t>
  </si>
  <si>
    <t>20-4465</t>
  </si>
  <si>
    <t>20-4367</t>
  </si>
  <si>
    <t>20-4091</t>
  </si>
  <si>
    <t>20-2972</t>
  </si>
  <si>
    <t>20-2788</t>
  </si>
  <si>
    <t>20-3100</t>
  </si>
  <si>
    <t>20-2486</t>
  </si>
  <si>
    <t>20-3771</t>
  </si>
  <si>
    <t>20-4029</t>
  </si>
  <si>
    <t>20-3827</t>
  </si>
  <si>
    <t>20-4028</t>
  </si>
  <si>
    <t>20-1301</t>
  </si>
  <si>
    <t>20-2659</t>
  </si>
  <si>
    <t>20-3785</t>
  </si>
  <si>
    <t>20-2715</t>
  </si>
  <si>
    <t>20-1340</t>
  </si>
  <si>
    <t>20-1053</t>
  </si>
  <si>
    <t>20-4211</t>
  </si>
  <si>
    <t>20-3989</t>
  </si>
  <si>
    <t>20-2836</t>
  </si>
  <si>
    <t>20-3431</t>
  </si>
  <si>
    <t>20-1379</t>
  </si>
  <si>
    <t>20-3394</t>
  </si>
  <si>
    <t>20-1329</t>
  </si>
  <si>
    <t>20-4463</t>
  </si>
  <si>
    <t>20-3882</t>
  </si>
  <si>
    <t>20-4890</t>
  </si>
  <si>
    <t>20-4588</t>
  </si>
  <si>
    <t>20-2913</t>
  </si>
  <si>
    <t>20-1560</t>
  </si>
  <si>
    <t>20-4997</t>
  </si>
  <si>
    <t>20-4473</t>
  </si>
  <si>
    <t>20-3705</t>
  </si>
  <si>
    <t>20-4901</t>
  </si>
  <si>
    <t>20-2425</t>
  </si>
  <si>
    <t>20-1373</t>
  </si>
  <si>
    <t>20-4366</t>
  </si>
  <si>
    <t>20-4666</t>
  </si>
  <si>
    <t>20-3601</t>
  </si>
  <si>
    <t>20-4663</t>
  </si>
  <si>
    <t>20-2840</t>
  </si>
  <si>
    <t>20-3667</t>
  </si>
  <si>
    <t>20-1262</t>
  </si>
  <si>
    <t>20-4423</t>
  </si>
  <si>
    <t>20-3868</t>
  </si>
  <si>
    <t>20-4824</t>
  </si>
  <si>
    <t>20-1628</t>
  </si>
  <si>
    <t>20-3407</t>
  </si>
  <si>
    <t>20-1791</t>
  </si>
  <si>
    <t>20-3088</t>
  </si>
  <si>
    <t>20-2515</t>
  </si>
  <si>
    <t>20-4816</t>
  </si>
  <si>
    <t>20-2725</t>
  </si>
  <si>
    <t>20-1725</t>
  </si>
  <si>
    <t>20-4120</t>
  </si>
  <si>
    <t>20-3301</t>
  </si>
  <si>
    <t>20-3944</t>
  </si>
  <si>
    <t>20-2730</t>
  </si>
  <si>
    <t>20-4519</t>
  </si>
  <si>
    <t>20-1240</t>
  </si>
  <si>
    <t>20-1169</t>
  </si>
  <si>
    <t>20-4729</t>
  </si>
  <si>
    <t>20-2988</t>
  </si>
  <si>
    <t>20-4929</t>
  </si>
  <si>
    <t>20-2153</t>
  </si>
  <si>
    <t>20-1400</t>
  </si>
  <si>
    <t>20-4883</t>
  </si>
  <si>
    <t>20-2799</t>
  </si>
  <si>
    <t>20-4422</t>
  </si>
  <si>
    <t>20-1434</t>
  </si>
  <si>
    <t>20-3719</t>
  </si>
  <si>
    <t>20-2149</t>
  </si>
  <si>
    <t>20-2108</t>
  </si>
  <si>
    <t>20-1032</t>
  </si>
  <si>
    <t>20-3644</t>
  </si>
  <si>
    <t>20-2059</t>
  </si>
  <si>
    <t>20-1118</t>
  </si>
  <si>
    <t>20-1344</t>
  </si>
  <si>
    <t>20-3975</t>
  </si>
  <si>
    <t>20-3404</t>
  </si>
  <si>
    <t>20-4053</t>
  </si>
  <si>
    <t>20-4096</t>
  </si>
  <si>
    <t>20-2093</t>
  </si>
  <si>
    <t>20-1882</t>
  </si>
  <si>
    <t>20-1580</t>
  </si>
  <si>
    <t>20-3221</t>
  </si>
  <si>
    <t>20-1549</t>
  </si>
  <si>
    <t>20-3160</t>
  </si>
  <si>
    <t>20-3818</t>
  </si>
  <si>
    <t>20-3193</t>
  </si>
  <si>
    <t>20-1202</t>
  </si>
  <si>
    <t>20-2948</t>
  </si>
  <si>
    <t>20-1752</t>
  </si>
  <si>
    <t>20-3075</t>
  </si>
  <si>
    <t>20-4147</t>
  </si>
  <si>
    <t>20-4764</t>
  </si>
  <si>
    <t>20-4453</t>
  </si>
  <si>
    <t>20-3118</t>
  </si>
  <si>
    <t>20-4329</t>
  </si>
  <si>
    <t>20-3010</t>
  </si>
  <si>
    <t>20-4651</t>
  </si>
  <si>
    <t>20-2536</t>
  </si>
  <si>
    <t>20-2278</t>
  </si>
  <si>
    <t>20-2215</t>
  </si>
  <si>
    <t>20-1706</t>
  </si>
  <si>
    <t>20-3493</t>
  </si>
  <si>
    <t>20-2391</t>
  </si>
  <si>
    <t>20-3310</t>
  </si>
  <si>
    <t>20-1974</t>
  </si>
  <si>
    <t>20-4298</t>
  </si>
  <si>
    <t>20-1700</t>
  </si>
  <si>
    <t>20-4338</t>
  </si>
  <si>
    <t>20-4582</t>
  </si>
  <si>
    <t>20-4701</t>
  </si>
  <si>
    <t>20-4190</t>
  </si>
  <si>
    <t>20-1319</t>
  </si>
  <si>
    <t>20-1708</t>
  </si>
  <si>
    <t>20-3367</t>
  </si>
  <si>
    <t>20-1352</t>
  </si>
  <si>
    <t>20-3804</t>
  </si>
  <si>
    <t>20-3446</t>
  </si>
  <si>
    <t>20-2651</t>
  </si>
  <si>
    <t>20-1570</t>
  </si>
  <si>
    <t>20-4122</t>
  </si>
  <si>
    <t>20-1444</t>
  </si>
  <si>
    <t>20-4253</t>
  </si>
  <si>
    <t>20-1605</t>
  </si>
  <si>
    <t>20-3524</t>
  </si>
  <si>
    <t>20-3456</t>
  </si>
  <si>
    <t>20-2574</t>
  </si>
  <si>
    <t>20-3772</t>
  </si>
  <si>
    <t>20-3536</t>
  </si>
  <si>
    <t>20-4580</t>
  </si>
  <si>
    <t>20-1109</t>
  </si>
  <si>
    <t>20-4793</t>
  </si>
  <si>
    <t>20-3619</t>
  </si>
  <si>
    <t>20-2626</t>
  </si>
  <si>
    <t>20-2097</t>
  </si>
  <si>
    <t>20-4036</t>
  </si>
  <si>
    <t>20-1525</t>
  </si>
  <si>
    <t>20-1854</t>
  </si>
  <si>
    <t>20-3427</t>
  </si>
  <si>
    <t>20-3142</t>
  </si>
  <si>
    <t>20-1638</t>
  </si>
  <si>
    <t>20-4058</t>
  </si>
  <si>
    <t>20-4712</t>
  </si>
  <si>
    <t>20-3238</t>
  </si>
  <si>
    <t>20-3865</t>
  </si>
  <si>
    <t>20-3953</t>
  </si>
  <si>
    <t>20-3300</t>
  </si>
  <si>
    <t>20-1896</t>
  </si>
  <si>
    <t>20-1054</t>
  </si>
  <si>
    <t>20-3815</t>
  </si>
  <si>
    <t>20-1014</t>
  </si>
  <si>
    <t>20-1270</t>
  </si>
  <si>
    <t>20-4179</t>
  </si>
  <si>
    <t>20-3803</t>
  </si>
  <si>
    <t>20-3455</t>
  </si>
  <si>
    <t>20-4319</t>
  </si>
  <si>
    <t>20-1048</t>
  </si>
  <si>
    <t>20-2272</t>
  </si>
  <si>
    <t>20-1147</t>
  </si>
  <si>
    <t>20-3897</t>
  </si>
  <si>
    <t>20-1684</t>
  </si>
  <si>
    <t>20-2999</t>
  </si>
  <si>
    <t>20-2687</t>
  </si>
  <si>
    <t>20-1497</t>
  </si>
  <si>
    <t>20-2439</t>
  </si>
  <si>
    <t>20-3557</t>
  </si>
  <si>
    <t>20-4697</t>
  </si>
  <si>
    <t>20-2944</t>
  </si>
  <si>
    <t>20-3306</t>
  </si>
  <si>
    <t>20-3911</t>
  </si>
  <si>
    <t>20-4938</t>
  </si>
  <si>
    <t>20-1738</t>
  </si>
  <si>
    <t>20-2629</t>
  </si>
  <si>
    <t>20-1941</t>
  </si>
  <si>
    <t>20-1395</t>
  </si>
  <si>
    <t>20-2105</t>
  </si>
  <si>
    <t>20-2356</t>
  </si>
  <si>
    <t>20-2323</t>
  </si>
  <si>
    <t>20-3271</t>
  </si>
  <si>
    <t>20-2065</t>
  </si>
  <si>
    <t>20-2546</t>
  </si>
  <si>
    <t>20-3058</t>
  </si>
  <si>
    <t>20-4632</t>
  </si>
  <si>
    <t>20-4603</t>
  </si>
  <si>
    <t>20-2901</t>
  </si>
  <si>
    <t>20-3188</t>
  </si>
  <si>
    <t>20-4400</t>
  </si>
  <si>
    <t>20-4281</t>
  </si>
  <si>
    <t>20-3085</t>
  </si>
  <si>
    <t>20-1325</t>
  </si>
  <si>
    <t>20-4205</t>
  </si>
  <si>
    <t>20-2956</t>
  </si>
  <si>
    <t>20-1888</t>
  </si>
  <si>
    <t>20-1418</t>
  </si>
  <si>
    <t>20-1582</t>
  </si>
  <si>
    <t>20-2002</t>
  </si>
  <si>
    <t>20-1066</t>
  </si>
  <si>
    <t>20-4691</t>
  </si>
  <si>
    <t>20-3757</t>
  </si>
  <si>
    <t>20-1878</t>
  </si>
  <si>
    <t>20-2564</t>
  </si>
  <si>
    <t>20-3353</t>
  </si>
  <si>
    <t>20-2018</t>
  </si>
  <si>
    <t>20-1326</t>
  </si>
  <si>
    <t>20-3351</t>
  </si>
  <si>
    <t>20-3993</t>
  </si>
  <si>
    <t>20-2429</t>
  </si>
  <si>
    <t>20-3528</t>
  </si>
  <si>
    <t>20-3210</t>
  </si>
  <si>
    <t>20-3630</t>
  </si>
  <si>
    <t>20-3243</t>
  </si>
  <si>
    <t>20-3777</t>
  </si>
  <si>
    <t>21-1746</t>
  </si>
  <si>
    <t>21-4128</t>
  </si>
  <si>
    <t>21-1653</t>
  </si>
  <si>
    <t>21-3233</t>
  </si>
  <si>
    <t>21-2113</t>
  </si>
  <si>
    <t>21-2091</t>
  </si>
  <si>
    <t>21-3995</t>
  </si>
  <si>
    <t>21-4572</t>
  </si>
  <si>
    <t>21-3495</t>
  </si>
  <si>
    <t>21-3972</t>
  </si>
  <si>
    <t>21-2949</t>
  </si>
  <si>
    <t>21-4018</t>
  </si>
  <si>
    <t>21-1354</t>
  </si>
  <si>
    <t>21-1596</t>
  </si>
  <si>
    <t>21-4477</t>
  </si>
  <si>
    <t>21-1386</t>
  </si>
  <si>
    <t>21-3091</t>
  </si>
  <si>
    <t>21-2544</t>
  </si>
  <si>
    <t>21-4229</t>
  </si>
  <si>
    <t>21-2181</t>
  </si>
  <si>
    <t>21-3362</t>
  </si>
  <si>
    <t>21-4036</t>
  </si>
  <si>
    <t>21-3859</t>
  </si>
  <si>
    <t>21-1104</t>
  </si>
  <si>
    <t>21-2675</t>
  </si>
  <si>
    <t>21-4526</t>
  </si>
  <si>
    <t>21-1784</t>
  </si>
  <si>
    <t>21-1443</t>
  </si>
  <si>
    <t>21-1361</t>
  </si>
  <si>
    <t>21-3825</t>
  </si>
  <si>
    <t>21-3616</t>
  </si>
  <si>
    <t>21-2324</t>
  </si>
  <si>
    <t>21-4742</t>
  </si>
  <si>
    <t>21-1086</t>
  </si>
  <si>
    <t>21-3140</t>
  </si>
  <si>
    <t>21-2064</t>
  </si>
  <si>
    <t>21-1286</t>
  </si>
  <si>
    <t>21-1919</t>
  </si>
  <si>
    <t>21-4906</t>
  </si>
  <si>
    <t>21-3407</t>
  </si>
  <si>
    <t>21-4256</t>
  </si>
  <si>
    <t>21-1930</t>
  </si>
  <si>
    <t>21-2875</t>
  </si>
  <si>
    <t>21-2182</t>
  </si>
  <si>
    <t>21-4165</t>
  </si>
  <si>
    <t>21-2173</t>
  </si>
  <si>
    <t>21-2105</t>
  </si>
  <si>
    <t>21-2511</t>
  </si>
  <si>
    <t>21-2145</t>
  </si>
  <si>
    <t>21-1634</t>
  </si>
  <si>
    <t>21-2808</t>
  </si>
  <si>
    <t>21-3382</t>
  </si>
  <si>
    <t>21-2816</t>
  </si>
  <si>
    <t>21-3748</t>
  </si>
  <si>
    <t>21-3867</t>
  </si>
  <si>
    <t>21-1700</t>
  </si>
  <si>
    <t>21-2760</t>
  </si>
  <si>
    <t>21-4516</t>
  </si>
  <si>
    <t>21-3681</t>
  </si>
  <si>
    <t>21-4310</t>
  </si>
  <si>
    <t>21-4457</t>
  </si>
  <si>
    <t>21-1181</t>
  </si>
  <si>
    <t>21-3689</t>
  </si>
  <si>
    <t>21-2364</t>
  </si>
  <si>
    <t>21-1790</t>
  </si>
  <si>
    <t>21-4775</t>
  </si>
  <si>
    <t>21-4079</t>
  </si>
  <si>
    <t>21-2885</t>
  </si>
  <si>
    <t>21-2134</t>
  </si>
  <si>
    <t>21-1177</t>
  </si>
  <si>
    <t>21-2644</t>
  </si>
  <si>
    <t>21-1267</t>
  </si>
  <si>
    <t>21-1383</t>
  </si>
  <si>
    <t>21-3768</t>
  </si>
  <si>
    <t>21-4674</t>
  </si>
  <si>
    <t>21-3259</t>
  </si>
  <si>
    <t>21-1576</t>
  </si>
  <si>
    <t>21-4197</t>
  </si>
  <si>
    <t>21-4721</t>
  </si>
  <si>
    <t>21-1612</t>
  </si>
  <si>
    <t>21-3268</t>
  </si>
  <si>
    <t>21-4426</t>
  </si>
  <si>
    <t>21-3506</t>
  </si>
  <si>
    <t>21-3950</t>
  </si>
  <si>
    <t>21-1162</t>
  </si>
  <si>
    <t>21-1311</t>
  </si>
  <si>
    <t>21-1587</t>
  </si>
  <si>
    <t>21-4222</t>
  </si>
  <si>
    <t>21-1732</t>
  </si>
  <si>
    <t>21-2471</t>
  </si>
  <si>
    <t>21-1916</t>
  </si>
  <si>
    <t>21-1972</t>
  </si>
  <si>
    <t>21-1426</t>
  </si>
  <si>
    <t>21-2087</t>
  </si>
  <si>
    <t>21-1459</t>
  </si>
  <si>
    <t>21-4008</t>
  </si>
  <si>
    <t>21-3837</t>
  </si>
  <si>
    <t>21-2095</t>
  </si>
  <si>
    <t>21-1918</t>
  </si>
  <si>
    <t>21-4648</t>
  </si>
  <si>
    <t>21-1109</t>
  </si>
  <si>
    <t>21-4373</t>
  </si>
  <si>
    <t>21-3153</t>
  </si>
  <si>
    <t>21-1817</t>
  </si>
  <si>
    <t>21-3758</t>
  </si>
  <si>
    <t>21-1915</t>
  </si>
  <si>
    <t>21-3423</t>
  </si>
  <si>
    <t>21-1787</t>
  </si>
  <si>
    <t>21-4747</t>
  </si>
  <si>
    <t>21-1696</t>
  </si>
  <si>
    <t>21-1393</t>
  </si>
  <si>
    <t>21-2722</t>
  </si>
  <si>
    <t>21-2909</t>
  </si>
  <si>
    <t>21-3914</t>
  </si>
  <si>
    <t>21-2013</t>
  </si>
  <si>
    <t>21-3200</t>
  </si>
  <si>
    <t>21-4306</t>
  </si>
  <si>
    <t>21-4186</t>
  </si>
  <si>
    <t>21-3942</t>
  </si>
  <si>
    <t>21-3096</t>
  </si>
  <si>
    <t>21-4609</t>
  </si>
  <si>
    <t>21-2509</t>
  </si>
  <si>
    <t>21-2521</t>
  </si>
  <si>
    <t>21-4807</t>
  </si>
  <si>
    <t>21-2187</t>
  </si>
  <si>
    <t>21-2788</t>
  </si>
  <si>
    <t>21-4853</t>
  </si>
  <si>
    <t>21-4502</t>
  </si>
  <si>
    <t>21-4449</t>
  </si>
  <si>
    <t>21-1419</t>
  </si>
  <si>
    <t>21-2632</t>
  </si>
  <si>
    <t>21-1059</t>
  </si>
  <si>
    <t>21-1428</t>
  </si>
  <si>
    <t>21-4040</t>
  </si>
  <si>
    <t>21-4554</t>
  </si>
  <si>
    <t>21-2102</t>
  </si>
  <si>
    <t>21-1216</t>
  </si>
  <si>
    <t>21-1871</t>
  </si>
  <si>
    <t>21-4796</t>
  </si>
  <si>
    <t>21-3707</t>
  </si>
  <si>
    <t>21-1580</t>
  </si>
  <si>
    <t>21-2584</t>
  </si>
  <si>
    <t>21-1155</t>
  </si>
  <si>
    <t>21-4041</t>
  </si>
  <si>
    <t>21-2658</t>
  </si>
  <si>
    <t>21-2794</t>
  </si>
  <si>
    <t>21-4023</t>
  </si>
  <si>
    <t>21-3391</t>
  </si>
  <si>
    <t>21-1310</t>
  </si>
  <si>
    <t>21-3192</t>
  </si>
  <si>
    <t>21-2508</t>
  </si>
  <si>
    <t>21-2019</t>
  </si>
  <si>
    <t>21-2138</t>
  </si>
  <si>
    <t>21-2639</t>
  </si>
  <si>
    <t>21-4574</t>
  </si>
  <si>
    <t>21-3984</t>
  </si>
  <si>
    <t>21-1662</t>
  </si>
  <si>
    <t>21-4394</t>
  </si>
  <si>
    <t>21-4507</t>
  </si>
  <si>
    <t>21-3877</t>
  </si>
  <si>
    <t>21-2858</t>
  </si>
  <si>
    <t>21-3703</t>
  </si>
  <si>
    <t>21-3806</t>
  </si>
  <si>
    <t>21-3991</t>
  </si>
  <si>
    <t>21-2974</t>
  </si>
  <si>
    <t>21-2148</t>
  </si>
  <si>
    <t>21-2069</t>
  </si>
  <si>
    <t>21-3755</t>
  </si>
  <si>
    <t>21-4735</t>
  </si>
  <si>
    <t>21-4968</t>
  </si>
  <si>
    <t>21-2076</t>
  </si>
  <si>
    <t>21-1048</t>
  </si>
  <si>
    <t>21-1290</t>
  </si>
  <si>
    <t>21-1049</t>
  </si>
  <si>
    <t>21-1215</t>
  </si>
  <si>
    <t>21-2239</t>
  </si>
  <si>
    <t>21-3137</t>
  </si>
  <si>
    <t>21-1255</t>
  </si>
  <si>
    <t>21-3178</t>
  </si>
  <si>
    <t>21-3196</t>
  </si>
  <si>
    <t>21-1137</t>
  </si>
  <si>
    <t>21-3536</t>
  </si>
  <si>
    <t>21-2146</t>
  </si>
  <si>
    <t>21-1569</t>
  </si>
  <si>
    <t>21-3284</t>
  </si>
  <si>
    <t>21-1402</t>
  </si>
  <si>
    <t>21-1439</t>
  </si>
  <si>
    <t>21-4134</t>
  </si>
  <si>
    <t>21-1995</t>
  </si>
  <si>
    <t>21-1111</t>
  </si>
  <si>
    <t>21-1810</t>
  </si>
  <si>
    <t>21-3641</t>
  </si>
  <si>
    <t>21-2361</t>
  </si>
  <si>
    <t>21-4591</t>
  </si>
  <si>
    <t>21-3794</t>
  </si>
  <si>
    <t>21-3353</t>
  </si>
  <si>
    <t>21-2246</t>
  </si>
  <si>
    <t>21-2184</t>
  </si>
  <si>
    <t>21-4854</t>
  </si>
  <si>
    <t>21-3393</t>
  </si>
  <si>
    <t>21-2607</t>
  </si>
  <si>
    <t>21-3007</t>
  </si>
  <si>
    <t>21-3492</t>
  </si>
  <si>
    <t>21-2893</t>
  </si>
  <si>
    <t>21-4755</t>
  </si>
  <si>
    <t>21-3527</t>
  </si>
  <si>
    <t>21-2809</t>
  </si>
  <si>
    <t>21-4054</t>
  </si>
  <si>
    <t>21-3900</t>
  </si>
  <si>
    <t>21-4682</t>
  </si>
  <si>
    <t>21-4981</t>
  </si>
  <si>
    <t>21-3203</t>
  </si>
  <si>
    <t>21-1461</t>
  </si>
  <si>
    <t>21-1033</t>
  </si>
  <si>
    <t>21-3708</t>
  </si>
  <si>
    <t>21-1188</t>
  </si>
  <si>
    <t>21-4017</t>
  </si>
  <si>
    <t>21-2924</t>
  </si>
  <si>
    <t>21-1828</t>
  </si>
  <si>
    <t>21-3541</t>
  </si>
  <si>
    <t>21-4121</t>
  </si>
  <si>
    <t>21-3216</t>
  </si>
  <si>
    <t>21-2848</t>
  </si>
  <si>
    <t>21-3120</t>
  </si>
  <si>
    <t>21-1730</t>
  </si>
  <si>
    <t>21-2892</t>
  </si>
  <si>
    <t>21-3445</t>
  </si>
  <si>
    <t>21-4600</t>
  </si>
  <si>
    <t>21-1606</t>
  </si>
  <si>
    <t>21-3148</t>
  </si>
  <si>
    <t>21-4561</t>
  </si>
  <si>
    <t>21-3287</t>
  </si>
  <si>
    <t>21-4613</t>
  </si>
  <si>
    <t>21-2878</t>
  </si>
  <si>
    <t>21-2902</t>
  </si>
  <si>
    <t>21-1742</t>
  </si>
  <si>
    <t>21-3583</t>
  </si>
  <si>
    <t>21-1366</t>
  </si>
  <si>
    <t>21-2360</t>
  </si>
  <si>
    <t>21-2526</t>
  </si>
  <si>
    <t>21-3646</t>
  </si>
  <si>
    <t>21-4240</t>
  </si>
  <si>
    <t>21-4060</t>
  </si>
  <si>
    <t>21-1805</t>
  </si>
  <si>
    <t>21-2425</t>
  </si>
  <si>
    <t>21-1896</t>
  </si>
  <si>
    <t>21-2637</t>
  </si>
  <si>
    <t>21-1931</t>
  </si>
  <si>
    <t>21-1702</t>
  </si>
  <si>
    <t>21-4430</t>
  </si>
  <si>
    <t>21-2557</t>
  </si>
  <si>
    <t>21-4353</t>
  </si>
  <si>
    <t>21-2997</t>
  </si>
  <si>
    <t>21-4966</t>
  </si>
  <si>
    <t>21-3881</t>
  </si>
  <si>
    <t>21-4398</t>
  </si>
  <si>
    <t>21-3862</t>
  </si>
  <si>
    <t>21-4336</t>
  </si>
  <si>
    <t>21-3019</t>
  </si>
  <si>
    <t>21-4862</t>
  </si>
  <si>
    <t>21-1727</t>
  </si>
  <si>
    <t>21-2657</t>
  </si>
  <si>
    <t>21-3488</t>
  </si>
  <si>
    <t>21-3668</t>
  </si>
  <si>
    <t>21-3855</t>
  </si>
  <si>
    <t>21-4147</t>
  </si>
  <si>
    <t>21-2376</t>
  </si>
  <si>
    <t>21-2661</t>
  </si>
  <si>
    <t>21-2036</t>
  </si>
  <si>
    <t>21-2964</t>
  </si>
  <si>
    <t>21-1889</t>
  </si>
  <si>
    <t>21-3340</t>
  </si>
  <si>
    <t>21-1760</t>
  </si>
  <si>
    <t>21-3217</t>
  </si>
  <si>
    <t>21-4911</t>
  </si>
  <si>
    <t>21-4247</t>
  </si>
  <si>
    <t>21-1632</t>
  </si>
  <si>
    <t>21-1551</t>
  </si>
  <si>
    <t>21-1767</t>
  </si>
  <si>
    <t>21-3107</t>
  </si>
  <si>
    <t>21-2220</t>
  </si>
  <si>
    <t>21-1677</t>
  </si>
  <si>
    <t>21-1260</t>
  </si>
  <si>
    <t>21-2384</t>
  </si>
  <si>
    <t>21-1184</t>
  </si>
  <si>
    <t>21-2839</t>
  </si>
  <si>
    <t>21-2510</t>
  </si>
  <si>
    <t>21-1836</t>
  </si>
  <si>
    <t>21-4552</t>
  </si>
  <si>
    <t>21-2836</t>
  </si>
  <si>
    <t>21-4717</t>
  </si>
  <si>
    <t>21-1679</t>
  </si>
  <si>
    <t>21-1823</t>
  </si>
  <si>
    <t>21-3149</t>
  </si>
  <si>
    <t>21-2727</t>
  </si>
  <si>
    <t>21-3674</t>
  </si>
  <si>
    <t>21-2310</t>
  </si>
  <si>
    <t>21-4043</t>
  </si>
  <si>
    <t>21-1533</t>
  </si>
  <si>
    <t>21-4455</t>
  </si>
  <si>
    <t>21-3483</t>
  </si>
  <si>
    <t>21-1389</t>
  </si>
  <si>
    <t>21-4738</t>
  </si>
  <si>
    <t>21-3275</t>
  </si>
  <si>
    <t>21-4530</t>
  </si>
  <si>
    <t>21-3886</t>
  </si>
  <si>
    <t>21-1599</t>
  </si>
  <si>
    <t>22-3387</t>
  </si>
  <si>
    <t>22-4971</t>
  </si>
  <si>
    <t>22-1897</t>
  </si>
  <si>
    <t>22-3925</t>
  </si>
  <si>
    <t>22-4183</t>
  </si>
  <si>
    <t>22-2582</t>
  </si>
  <si>
    <t>22-3768</t>
  </si>
  <si>
    <t>22-3960</t>
  </si>
  <si>
    <t>22-1243</t>
  </si>
  <si>
    <t>22-1562</t>
  </si>
  <si>
    <t>22-2171</t>
  </si>
  <si>
    <t>22-2450</t>
  </si>
  <si>
    <t>22-1865</t>
  </si>
  <si>
    <t>22-1327</t>
  </si>
  <si>
    <t>22-2751</t>
  </si>
  <si>
    <t>22-2691</t>
  </si>
  <si>
    <t>22-4880</t>
  </si>
  <si>
    <t>22-4503</t>
  </si>
  <si>
    <t>22-2732</t>
  </si>
  <si>
    <t>22-1861</t>
  </si>
  <si>
    <t>22-4178</t>
  </si>
  <si>
    <t>22-2520</t>
  </si>
  <si>
    <t>22-4750</t>
  </si>
  <si>
    <t>22-2887</t>
  </si>
  <si>
    <t>22-3757</t>
  </si>
  <si>
    <t>22-3256</t>
  </si>
  <si>
    <t>22-1507</t>
  </si>
  <si>
    <t>22-3896</t>
  </si>
  <si>
    <t>22-2120</t>
  </si>
  <si>
    <t>22-3483</t>
  </si>
  <si>
    <t>22-4177</t>
  </si>
  <si>
    <t>22-2044</t>
  </si>
  <si>
    <t>22-1304</t>
  </si>
  <si>
    <t>22-4636</t>
  </si>
  <si>
    <t>22-4273</t>
  </si>
  <si>
    <t>22-4500</t>
  </si>
  <si>
    <t>22-4642</t>
  </si>
  <si>
    <t>22-1032</t>
  </si>
  <si>
    <t>22-2726</t>
  </si>
  <si>
    <t>22-3324</t>
  </si>
  <si>
    <t>22-2757</t>
  </si>
  <si>
    <t>22-1266</t>
  </si>
  <si>
    <t>22-4854</t>
  </si>
  <si>
    <t>22-3222</t>
  </si>
  <si>
    <t>22-4663</t>
  </si>
  <si>
    <t>22-3693</t>
  </si>
  <si>
    <t>22-1211</t>
  </si>
  <si>
    <t>22-2804</t>
  </si>
  <si>
    <t>22-3494</t>
  </si>
  <si>
    <t>22-1308</t>
  </si>
  <si>
    <t>22-2485</t>
  </si>
  <si>
    <t>22-2253</t>
  </si>
  <si>
    <t>22-2371</t>
  </si>
  <si>
    <t>22-1214</t>
  </si>
  <si>
    <t>22-3049</t>
  </si>
  <si>
    <t>22-1366</t>
  </si>
  <si>
    <t>22-4089</t>
  </si>
  <si>
    <t>22-4031</t>
  </si>
  <si>
    <t>22-1418</t>
  </si>
  <si>
    <t>22-3618</t>
  </si>
  <si>
    <t>22-3038</t>
  </si>
  <si>
    <t>22-1363</t>
  </si>
  <si>
    <t>22-1863</t>
  </si>
  <si>
    <t>22-1336</t>
  </si>
  <si>
    <t>22-2842</t>
  </si>
  <si>
    <t>22-1633</t>
  </si>
  <si>
    <t>22-1717</t>
  </si>
  <si>
    <t>22-2846</t>
  </si>
  <si>
    <t>22-3165</t>
  </si>
  <si>
    <t>22-4518</t>
  </si>
  <si>
    <t>22-2471</t>
  </si>
  <si>
    <t>22-3243</t>
  </si>
  <si>
    <t>22-3099</t>
  </si>
  <si>
    <t>22-2905</t>
  </si>
  <si>
    <t>22-1331</t>
  </si>
  <si>
    <t>22-2549</t>
  </si>
  <si>
    <t>22-2042</t>
  </si>
  <si>
    <t>22-3619</t>
  </si>
  <si>
    <t>22-2916</t>
  </si>
  <si>
    <t>22-3991</t>
  </si>
  <si>
    <t>22-2857</t>
  </si>
  <si>
    <t>22-3053</t>
  </si>
  <si>
    <t>22-3219</t>
  </si>
  <si>
    <t>22-1400</t>
  </si>
  <si>
    <t>22-4948</t>
  </si>
  <si>
    <t>22-2606</t>
  </si>
  <si>
    <t>22-1053</t>
  </si>
  <si>
    <t>22-1696</t>
  </si>
  <si>
    <t>22-2387</t>
  </si>
  <si>
    <t>22-3738</t>
  </si>
  <si>
    <t>22-1238</t>
  </si>
  <si>
    <t>22-3664</t>
  </si>
  <si>
    <t>22-2152</t>
  </si>
  <si>
    <t>22-4652</t>
  </si>
  <si>
    <t>22-1859</t>
  </si>
  <si>
    <t>22-1030</t>
  </si>
  <si>
    <t>22-2048</t>
  </si>
  <si>
    <t>22-3557</t>
  </si>
  <si>
    <t>22-2886</t>
  </si>
  <si>
    <t>22-1054</t>
  </si>
  <si>
    <t>22-1742</t>
  </si>
  <si>
    <t>22-2627</t>
  </si>
  <si>
    <t>22-3178</t>
  </si>
  <si>
    <t>22-4383</t>
  </si>
  <si>
    <t>22-4245</t>
  </si>
  <si>
    <t>22-3995</t>
  </si>
  <si>
    <t>22-1652</t>
  </si>
  <si>
    <t>22-1833</t>
  </si>
  <si>
    <t>22-1033</t>
  </si>
  <si>
    <t>22-4049</t>
  </si>
  <si>
    <t>22-1216</t>
  </si>
  <si>
    <t>22-2889</t>
  </si>
  <si>
    <t>22-3203</t>
  </si>
  <si>
    <t>22-4431</t>
  </si>
  <si>
    <t>22-3136</t>
  </si>
  <si>
    <t>22-4915</t>
  </si>
  <si>
    <t>22-2229</t>
  </si>
  <si>
    <t>22-3848</t>
  </si>
  <si>
    <t>22-4206</t>
  </si>
  <si>
    <t>22-2492</t>
  </si>
  <si>
    <t>22-3804</t>
  </si>
  <si>
    <t>22-2307</t>
  </si>
  <si>
    <t>22-3870</t>
  </si>
  <si>
    <t>22-4611</t>
  </si>
  <si>
    <t>22-4264</t>
  </si>
  <si>
    <t>22-2409</t>
  </si>
  <si>
    <t>22-3522</t>
  </si>
  <si>
    <t>22-2157</t>
  </si>
  <si>
    <t>22-1926</t>
  </si>
  <si>
    <t>22-2478</t>
  </si>
  <si>
    <t>22-4480</t>
  </si>
  <si>
    <t>22-2798</t>
  </si>
  <si>
    <t>22-4423</t>
  </si>
  <si>
    <t>22-2969</t>
  </si>
  <si>
    <t>22-1222</t>
  </si>
  <si>
    <t>22-3968</t>
  </si>
  <si>
    <t>22-2499</t>
  </si>
  <si>
    <t>22-2176</t>
  </si>
  <si>
    <t>22-2136</t>
  </si>
  <si>
    <t>22-3997</t>
  </si>
  <si>
    <t>22-1713</t>
  </si>
  <si>
    <t>22-4313</t>
  </si>
  <si>
    <t>22-4070</t>
  </si>
  <si>
    <t>22-2531</t>
  </si>
  <si>
    <t>22-1275</t>
  </si>
  <si>
    <t>22-4560</t>
  </si>
  <si>
    <t>22-1791</t>
  </si>
  <si>
    <t>22-1715</t>
  </si>
  <si>
    <t>22-1001</t>
  </si>
  <si>
    <t>22-2936</t>
  </si>
  <si>
    <t>22-1641</t>
  </si>
  <si>
    <t>22-3718</t>
  </si>
  <si>
    <t>22-1375</t>
  </si>
  <si>
    <t>22-1037</t>
  </si>
  <si>
    <t>22-4883</t>
  </si>
  <si>
    <t>22-1841</t>
  </si>
  <si>
    <t>22-4386</t>
  </si>
  <si>
    <t>22-2290</t>
  </si>
  <si>
    <t>22-3041</t>
  </si>
  <si>
    <t>22-2162</t>
  </si>
  <si>
    <t>22-2878</t>
  </si>
  <si>
    <t>22-4920</t>
  </si>
  <si>
    <t>22-2339</t>
  </si>
  <si>
    <t>22-3699</t>
  </si>
  <si>
    <t>22-2750</t>
  </si>
  <si>
    <t>22-1894</t>
  </si>
  <si>
    <t>22-1866</t>
  </si>
  <si>
    <t>22-1606</t>
  </si>
  <si>
    <t>22-3180</t>
  </si>
  <si>
    <t>22-2230</t>
  </si>
  <si>
    <t>22-4161</t>
  </si>
  <si>
    <t>22-4271</t>
  </si>
  <si>
    <t>22-4037</t>
  </si>
  <si>
    <t>22-2544</t>
  </si>
  <si>
    <t>22-4072</t>
  </si>
  <si>
    <t>22-2435</t>
  </si>
  <si>
    <t>22-2917</t>
  </si>
  <si>
    <t>22-1805</t>
  </si>
  <si>
    <t>22-3435</t>
  </si>
  <si>
    <t>22-1639</t>
  </si>
  <si>
    <t>22-4534</t>
  </si>
  <si>
    <t>22-1069</t>
  </si>
  <si>
    <t>22-3940</t>
  </si>
  <si>
    <t>22-4450</t>
  </si>
  <si>
    <t>22-3472</t>
  </si>
  <si>
    <t>22-3433</t>
  </si>
  <si>
    <t>22-4179</t>
  </si>
  <si>
    <t>22-4633</t>
  </si>
  <si>
    <t>22-2690</t>
  </si>
  <si>
    <t>22-3336</t>
  </si>
  <si>
    <t>22-1553</t>
  </si>
  <si>
    <t>22-2077</t>
  </si>
  <si>
    <t>22-3007</t>
  </si>
  <si>
    <t>22-3457</t>
  </si>
  <si>
    <t>22-1499</t>
  </si>
  <si>
    <t>22-4855</t>
  </si>
  <si>
    <t>22-1794</t>
  </si>
  <si>
    <t>22-1305</t>
  </si>
  <si>
    <t>22-4222</t>
  </si>
  <si>
    <t>22-2294</t>
  </si>
  <si>
    <t>22-1688</t>
  </si>
  <si>
    <t>22-2227</t>
  </si>
  <si>
    <t>22-1397</t>
  </si>
  <si>
    <t>22-1948</t>
  </si>
  <si>
    <t>22-3508</t>
  </si>
  <si>
    <t>22-1017</t>
  </si>
  <si>
    <t>22-4196</t>
  </si>
  <si>
    <t>22-1471</t>
  </si>
  <si>
    <t>22-1461</t>
  </si>
  <si>
    <t>22-4342</t>
  </si>
  <si>
    <t>22-1892</t>
  </si>
  <si>
    <t>22-4656</t>
  </si>
  <si>
    <t>22-2585</t>
  </si>
  <si>
    <t>Count of Order Number</t>
  </si>
  <si>
    <t>Sum of Quantity</t>
  </si>
  <si>
    <t>Average of Revenue</t>
  </si>
  <si>
    <t>StdDev of Revenue2</t>
  </si>
  <si>
    <t>Sum of Profit</t>
  </si>
  <si>
    <t>Average of Survey Score</t>
  </si>
  <si>
    <t>Order Counts</t>
  </si>
  <si>
    <t>Quantity Ordered</t>
  </si>
  <si>
    <t>Customer Experience</t>
  </si>
  <si>
    <t>Exercise - Classification</t>
  </si>
  <si>
    <t>Exercise</t>
  </si>
  <si>
    <t>Application</t>
  </si>
  <si>
    <t>Project Work</t>
  </si>
  <si>
    <t>Data Discovery and Exploration</t>
  </si>
  <si>
    <t>Specify the Question and scope the answer, Obtain the Data</t>
  </si>
  <si>
    <t>How can Customer Experience be classfied using Order Count, and Order Quantity?</t>
  </si>
  <si>
    <t>Pre-Processing</t>
  </si>
  <si>
    <t>Data Summaries (Categorical, Numeric), 
Identification and Summarization of Data Issues (Null, Missing, Corrutped values,etc.), 
Feature Selection, 
Dimensionality Reduction, 
Normalization, 
Data Subsetting</t>
  </si>
  <si>
    <t>Complete Data Dictionary
No Data Issues in Exercise
Fiscal Dates from Order Dates,  Profit by Order, Cost by Order
Dimensional Reduction not necessary for analysis
Discretization and Binarization of Order Count, Quantity, Survey Score
No Subsets for exercise</t>
  </si>
  <si>
    <t>Data Mining</t>
  </si>
  <si>
    <t>Resolving Data Issues, Performing Analysis</t>
  </si>
  <si>
    <t>No Data Corruption issues in exercise
Aggregation of data using pivot table</t>
  </si>
  <si>
    <t>Missing Costs, Price, Profits by Imputing Median values by Product nto missing fields</t>
  </si>
  <si>
    <t>Post-Processing</t>
  </si>
  <si>
    <t>Classification of Customer Experience</t>
  </si>
  <si>
    <t>Classification of Customer Experience based on order count, and quantity
using Numerical data
using Categorical data</t>
  </si>
  <si>
    <t>Information Development</t>
  </si>
  <si>
    <t xml:space="preserve">Analysis Outcomes, Data Review, Data Issue Summary, </t>
  </si>
  <si>
    <t xml:space="preserve">Test Results and Regression Summary
Univariate Analysis for Order Count, Quantity, and Customer experience
</t>
  </si>
  <si>
    <t>Outcome Communication</t>
  </si>
  <si>
    <t xml:space="preserve">Answering the Specific Questions, Report formation, and messaging </t>
  </si>
  <si>
    <t xml:space="preserve">
How can Customer Experience be classfied using Order Count, and Order Quantity?
Report Formation (Analysis Outcome Review)
Messaging (2 Minute Talk about answer and julstificaiton - 175 words)</t>
  </si>
  <si>
    <t>(blank)</t>
  </si>
  <si>
    <t>Grand Total</t>
  </si>
  <si>
    <t>StdDev of Revenue</t>
  </si>
  <si>
    <t>Average of Discretized Survey Score</t>
  </si>
  <si>
    <t>Categorical discrete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</si>
</sst>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6" tint="0.59999389629810485"/>
        <bgColor indexed="64"/>
      </patternFill>
    </fill>
  </fills>
  <borders count="5">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0" fillId="0" borderId="0" xfId="0" applyAlignment="1">
      <alignment wrapText="1"/>
    </xf>
    <xf numFmtId="1" fontId="0" fillId="0" borderId="0" xfId="0" applyNumberFormat="1" applyAlignment="1">
      <alignment wrapText="1"/>
    </xf>
    <xf numFmtId="14" fontId="0" fillId="0" borderId="0" xfId="0" applyNumberFormat="1"/>
    <xf numFmtId="1" fontId="0" fillId="0" borderId="0" xfId="0" applyNumberFormat="1"/>
    <xf numFmtId="0" fontId="0" fillId="0" borderId="1" xfId="0" applyBorder="1" applyAlignment="1">
      <alignment wrapText="1"/>
    </xf>
    <xf numFmtId="0" fontId="0" fillId="3" borderId="2" xfId="0" applyFill="1" applyBorder="1" applyAlignment="1">
      <alignment wrapText="1"/>
    </xf>
    <xf numFmtId="0" fontId="0" fillId="0" borderId="2" xfId="0"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4" borderId="2" xfId="0" applyFill="1" applyBorder="1" applyAlignment="1">
      <alignment wrapText="1"/>
    </xf>
    <xf numFmtId="0" fontId="0" fillId="2" borderId="0" xfId="0" applyFill="1"/>
    <xf numFmtId="0" fontId="1" fillId="0" borderId="0" xfId="0" applyFont="1" applyAlignment="1">
      <alignment horizontal="center"/>
    </xf>
    <xf numFmtId="0" fontId="1" fillId="0" borderId="0" xfId="0" applyFont="1" applyAlignment="1">
      <alignment horizontal="center" vertical="center"/>
    </xf>
    <xf numFmtId="0" fontId="0" fillId="0" borderId="4" xfId="0" applyBorder="1"/>
    <xf numFmtId="0" fontId="0" fillId="0" borderId="0" xfId="0" pivotButton="1"/>
    <xf numFmtId="0" fontId="0" fillId="0" borderId="0" xfId="0" applyAlignment="1">
      <alignment horizontal="left"/>
    </xf>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32.607374652776" createdVersion="8" refreshedVersion="8" minRefreshableVersion="3" recordCount="4003" xr:uid="{E11AC6A5-EA01-FD45-89B5-126BCA3E90A2}">
  <cacheSource type="worksheet">
    <worksheetSource ref="A1:N1048576" sheet="Starting data"/>
  </cacheSource>
  <cacheFields count="14">
    <cacheField name="Order Date" numFmtId="0">
      <sharedItems containsNonDate="0" containsDate="1" containsString="0" containsBlank="1" minDate="2015-06-23T17:03:17" maxDate="2025-10-24T23:57:56"/>
    </cacheField>
    <cacheField name="Order Number" numFmtId="0">
      <sharedItems containsBlank="1"/>
    </cacheField>
    <cacheField name="Product" numFmtId="0">
      <sharedItems containsBlank="1"/>
    </cacheField>
    <cacheField name="Quantity" numFmtId="0">
      <sharedItems containsString="0" containsBlank="1" containsNumber="1" containsInteger="1" minValue="1" maxValue="20" count="21">
        <n v="15"/>
        <n v="8"/>
        <n v="13"/>
        <n v="4"/>
        <n v="2"/>
        <n v="3"/>
        <n v="6"/>
        <n v="11"/>
        <n v="14"/>
        <n v="20"/>
        <n v="5"/>
        <n v="16"/>
        <n v="7"/>
        <n v="10"/>
        <n v="12"/>
        <n v="17"/>
        <n v="9"/>
        <n v="1"/>
        <n v="18"/>
        <n v="19"/>
        <m/>
      </sharedItems>
    </cacheField>
    <cacheField name="Price Per Unit" numFmtId="0">
      <sharedItems containsString="0" containsBlank="1" containsNumber="1" containsInteger="1" minValue="30" maxValue="384"/>
    </cacheField>
    <cacheField name="Cost per Unit" numFmtId="0">
      <sharedItems containsString="0" containsBlank="1" containsNumber="1" containsInteger="1" minValue="15" maxValue="96"/>
    </cacheField>
    <cacheField name="Revenue" numFmtId="0">
      <sharedItems containsString="0" containsBlank="1" containsNumber="1" containsInteger="1" minValue="30" maxValue="7680"/>
    </cacheField>
    <cacheField name="Costs" numFmtId="0">
      <sharedItems containsString="0" containsBlank="1" containsNumber="1" containsInteger="1" minValue="15" maxValue="1920"/>
    </cacheField>
    <cacheField name="Profit" numFmtId="0">
      <sharedItems containsString="0" containsBlank="1" containsNumber="1" containsInteger="1" minValue="15" maxValue="5760"/>
    </cacheField>
    <cacheField name="Customer ID" numFmtId="0">
      <sharedItems containsBlank="1" count="295">
        <s v="CP-2167"/>
        <s v="CP-2216"/>
        <s v="FE-6557"/>
        <s v="FE-6685"/>
        <s v="EE-4169"/>
        <s v="HS-7790"/>
        <s v="CT-3882"/>
        <s v="HS-7242"/>
        <s v="SR-9557"/>
        <s v="SR-9989"/>
        <s v="EE-4770"/>
        <s v="CT-3754"/>
        <s v="CT-3949"/>
        <s v="SR-9729"/>
        <s v="CT-3881"/>
        <s v="CG-1547"/>
        <s v="SR-9132"/>
        <s v="EE-46"/>
        <s v="SR-955"/>
        <s v="CG-151"/>
        <s v="EE-4774"/>
        <s v="FE-6410"/>
        <s v="SR-9880"/>
        <s v="HS-7440"/>
        <s v="SR-9497"/>
        <s v="SR-9668"/>
        <s v="SR-9563"/>
        <s v="HS-7291"/>
        <s v="SR-9632"/>
        <s v="FE-6617"/>
        <s v="CP-295"/>
        <s v="CP-2330"/>
        <s v="FE-621"/>
        <s v="HS-7220"/>
        <s v="SR-9797"/>
        <s v="SR-9639"/>
        <s v="CT-3363"/>
        <s v="CP-2962"/>
        <s v="FE-6919"/>
        <s v="CT-3600"/>
        <s v="CP-2862"/>
        <s v="CG-1606"/>
        <s v="CG-1762"/>
        <s v="CP-2204"/>
        <s v="CP-2101"/>
        <s v="SR-9320"/>
        <s v="HS-7751"/>
        <s v="HS-7865"/>
        <s v="CT-3518"/>
        <s v="CT-3443"/>
        <s v="CT-317"/>
        <s v="FE-6323"/>
        <s v="FE-6562"/>
        <s v="EE-4990"/>
        <s v="CG-168"/>
        <s v="CT-3608"/>
        <s v="CP-2647"/>
        <s v="FE-6639"/>
        <s v="CT-3618"/>
        <s v="CT-3779"/>
        <s v="CT-3891"/>
        <s v="EE-4565"/>
        <s v="EE-40"/>
        <s v="SR-9536"/>
        <s v="CP-258"/>
        <s v="HS-7652"/>
        <s v="FE-6999"/>
        <s v="CG-1369"/>
        <s v="SR-9872"/>
        <s v="HS-7827"/>
        <s v="CG-1446"/>
        <s v="CP-2430"/>
        <s v="CG-1316"/>
        <s v="CT-3321"/>
        <s v="EE-4569"/>
        <s v="HS-7838"/>
        <s v="CG-137"/>
        <s v="FE-6898"/>
        <s v="EE-4917"/>
        <s v="FE-6669"/>
        <s v="EE-423"/>
        <s v="CG-1992"/>
        <s v="CT-3235"/>
        <s v="SR-9883"/>
        <s v="CP-2582"/>
        <s v="CT-3971"/>
        <s v="CG-1908"/>
        <s v="EE-4140"/>
        <s v="FE-6350"/>
        <s v="CG-1923"/>
        <s v="HS-7533"/>
        <s v="CT-3721"/>
        <s v="EE-4648"/>
        <s v="FE-6752"/>
        <s v="CP-2671"/>
        <s v="FE-6765"/>
        <s v="HS-7526"/>
        <s v="CP-261"/>
        <s v="CT-3174"/>
        <s v="HS-770"/>
        <s v="SR-9666"/>
        <s v="SR-9808"/>
        <s v="FE-6190"/>
        <s v="EE-4869"/>
        <s v="FE-6482"/>
        <s v="CP-2613"/>
        <s v="FE-6944"/>
        <s v="CG-1828"/>
        <s v="SR-9757"/>
        <s v="SR-9846"/>
        <s v="SR-930"/>
        <s v="SR-9400"/>
        <s v="CT-3371"/>
        <s v="CG-1672"/>
        <s v="HS-7862"/>
        <s v="SR-9312"/>
        <s v="EE-434"/>
        <s v="CP-2702"/>
        <s v="CG-1367"/>
        <s v="EE-4858"/>
        <s v="EE-4400"/>
        <s v="CT-3342"/>
        <s v="CT-3242"/>
        <s v="FE-6249"/>
        <s v="SR-9393"/>
        <s v="SR-9315"/>
        <s v="CT-3590"/>
        <s v="FE-6753"/>
        <s v="HS-7741"/>
        <s v="CG-1269"/>
        <s v="HS-7227"/>
        <s v="CP-2325"/>
        <s v="EE-4438"/>
        <s v="CP-2549"/>
        <s v="SR-9695"/>
        <s v="CP-2690"/>
        <s v="CT-39"/>
        <s v="FE-6615"/>
        <s v="HS-7461"/>
        <s v="CT-3229"/>
        <s v="EE-4752"/>
        <s v="FE-6341"/>
        <s v="HS-7863"/>
        <s v="CG-1729"/>
        <s v="EE-4646"/>
        <s v="SR-9853"/>
        <s v="CT-3648"/>
        <s v="CP-2279"/>
        <s v="HS-7694"/>
        <s v="FE-629"/>
        <s v="EE-4293"/>
        <s v="SR-9223"/>
        <s v="SR-9307"/>
        <s v="CP-2795"/>
        <s v="SR-9904"/>
        <s v="CT-3737"/>
        <s v="HS-7802"/>
        <s v="CP-2753"/>
        <s v="CT-3796"/>
        <s v="CG-1565"/>
        <s v="CT-3169"/>
        <s v="CP-2251"/>
        <s v="CT-3613"/>
        <s v="CP-2543"/>
        <s v="EE-4655"/>
        <s v="CT-3932"/>
        <s v="HS-7129"/>
        <s v="HS-7746"/>
        <s v="HS-7586"/>
        <s v="HS-7273"/>
        <s v="SR-9981"/>
        <s v="EE-4661"/>
        <s v="HS-7607"/>
        <s v="EE-4669"/>
        <s v="CP-2694"/>
        <s v="CT-3715"/>
        <s v="CP-2735"/>
        <s v="CT-3920"/>
        <s v="EE-4361"/>
        <s v="CT-3464"/>
        <s v="CG-1804"/>
        <s v="SR-9105"/>
        <s v="SR-9566"/>
        <s v="CT-3439"/>
        <s v="CG-1580"/>
        <s v="EE-4357"/>
        <s v="EE-450"/>
        <s v="CT-3693"/>
        <s v="HS-735"/>
        <s v="CG-1701"/>
        <s v="CP-2380"/>
        <s v="CP-2393"/>
        <s v="HS-7670"/>
        <s v="CP-2574"/>
        <s v="CG-1535"/>
        <s v="CG-1114"/>
        <s v="CG-1197"/>
        <s v="CG-1465"/>
        <s v="CP-2749"/>
        <s v="HS-7367"/>
        <s v="CG-1983"/>
        <s v="CG-1618"/>
        <s v="CG-1833"/>
        <s v="CT-3960"/>
        <s v="CP-2889"/>
        <s v="FE-6470"/>
        <s v="CG-1210"/>
        <s v="EE-4585"/>
        <s v="CG-1527"/>
        <s v="FE-685"/>
        <s v="CP-2629"/>
        <s v="HS-7993"/>
        <s v="SR-9198"/>
        <s v="HS-7997"/>
        <s v="CP-2468"/>
        <s v="FE-6892"/>
        <s v="CP-2555"/>
        <s v="EE-4671"/>
        <s v="FE-652"/>
        <s v="FE-6260"/>
        <s v="EE-4649"/>
        <s v="CG-1514"/>
        <s v="CG-1835"/>
        <s v="EE-4771"/>
        <s v="CT-3697"/>
        <s v="HS-7204"/>
        <s v="CG-1393"/>
        <s v="CT-3184"/>
        <s v="CP-2846"/>
        <s v="SR-9351"/>
        <s v="CG-1416"/>
        <s v="FE-6287"/>
        <s v="CP-2758"/>
        <s v="EE-4797"/>
        <s v="CT-3465"/>
        <s v="FE-6404"/>
        <s v="CT-3105"/>
        <s v="CT-3225"/>
        <s v="EE-4580"/>
        <s v="FE-6818"/>
        <s v="SR-9332"/>
        <s v="CG-1627"/>
        <s v="CP-2960"/>
        <s v="CT-3375"/>
        <s v="CT-3497"/>
        <s v="SR-9274"/>
        <s v="FE-6339"/>
        <s v="FE-6591"/>
        <s v="CT-3955"/>
        <s v="CP-2510"/>
        <s v="CG-1634"/>
        <s v="CT-3690"/>
        <s v="CG-1543"/>
        <s v="FE-6254"/>
        <s v="CP-2926"/>
        <s v="CG-13"/>
        <s v="CT-3606"/>
        <s v="CT-363"/>
        <s v="CP-2488"/>
        <s v="EE-4613"/>
        <s v="CT-3498"/>
        <s v="SR-9975"/>
        <s v="HS-7475"/>
        <s v="FE-6631"/>
        <s v="EE-4409"/>
        <s v="CP-260"/>
        <s v="CP-2824"/>
        <s v="HS-7161"/>
        <s v="SR-9732"/>
        <s v="CP-2218"/>
        <s v="EE-4370"/>
        <s v="SR-9180"/>
        <s v="FE-6981"/>
        <s v="CP-2865"/>
        <s v="CT-3966"/>
        <s v="HS-712"/>
        <s v="EE-4308"/>
        <s v="SR-9468"/>
        <s v="FE-6150"/>
        <s v="CP-2264"/>
        <s v="EE-4253"/>
        <s v="CG-1264"/>
        <s v="CG-1839"/>
        <s v="CT-3121"/>
        <s v="FE-6119"/>
        <s v="HS-7136"/>
        <s v="CG-1557"/>
        <s v="CG-142"/>
        <s v="SR-9362"/>
        <s v="CG-1145"/>
        <s v="CG-1339"/>
        <s v="FE-6918"/>
        <s v="CT-3471"/>
        <s v="CT-3910"/>
        <m/>
      </sharedItems>
    </cacheField>
    <cacheField name="Customer Category" numFmtId="0">
      <sharedItems containsBlank="1"/>
    </cacheField>
    <cacheField name="Customer Tenure" numFmtId="0">
      <sharedItems containsString="0" containsBlank="1" containsNumber="1" minValue="5.9872353338051019" maxValue="16.695690968264284"/>
    </cacheField>
    <cacheField name="Order Survey Response" numFmtId="0">
      <sharedItems containsBlank="1"/>
    </cacheField>
    <cacheField name="Discretized Survey Score"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3">
  <r>
    <d v="2024-09-19T15:07:55"/>
    <s v="24-3624"/>
    <s v="P026"/>
    <x v="0"/>
    <n v="280"/>
    <n v="70"/>
    <n v="4200"/>
    <n v="1050"/>
    <n v="3150"/>
    <x v="0"/>
    <s v="Corporate &amp; Professional"/>
    <n v="10.278063859084313"/>
    <s v="Dissatisfied"/>
    <n v="1"/>
  </r>
  <r>
    <d v="2018-10-15T03:42:05"/>
    <s v="18-3596"/>
    <s v="P089"/>
    <x v="1"/>
    <n v="102"/>
    <n v="51"/>
    <n v="816"/>
    <n v="408"/>
    <n v="408"/>
    <x v="1"/>
    <s v="Corporate &amp; Professional"/>
    <n v="13.299525114817991"/>
    <s v="Neither"/>
    <n v="5"/>
  </r>
  <r>
    <d v="2018-12-29T01:58:08"/>
    <s v="18-1394"/>
    <s v="P100"/>
    <x v="2"/>
    <n v="46"/>
    <n v="23"/>
    <n v="598"/>
    <n v="299"/>
    <n v="299"/>
    <x v="2"/>
    <s v="Facilities &amp; Services"/>
    <n v="9.3226775515721787"/>
    <s v="Dissatisfied"/>
    <n v="1"/>
  </r>
  <r>
    <d v="2021-12-11T18:39:49"/>
    <s v="21-2559"/>
    <s v="P034"/>
    <x v="3"/>
    <n v="114"/>
    <n v="57"/>
    <n v="456"/>
    <n v="228"/>
    <n v="228"/>
    <x v="3"/>
    <s v="Facilities &amp; Services"/>
    <n v="10.06992029407844"/>
    <s v="Neither"/>
    <n v="5"/>
  </r>
  <r>
    <d v="2022-08-16T20:40:11"/>
    <s v="22-4827"/>
    <s v="P064"/>
    <x v="4"/>
    <n v="231"/>
    <n v="77"/>
    <n v="462"/>
    <n v="154"/>
    <n v="308"/>
    <x v="4"/>
    <s v="Education"/>
    <n v="15.24190997853951"/>
    <s v="Neither"/>
    <n v="5"/>
  </r>
  <r>
    <d v="2020-09-26T11:31:32"/>
    <s v="20-3867"/>
    <s v="P040"/>
    <x v="5"/>
    <n v="160"/>
    <n v="80"/>
    <n v="480"/>
    <n v="240"/>
    <n v="240"/>
    <x v="5"/>
    <s v="Healthcare &amp; Safety"/>
    <n v="12.169266722245851"/>
    <s v="Satisfied"/>
    <n v="10"/>
  </r>
  <r>
    <d v="2018-02-21T13:21:18"/>
    <s v="18-1317"/>
    <s v="P006"/>
    <x v="6"/>
    <n v="38"/>
    <n v="19"/>
    <n v="228"/>
    <n v="114"/>
    <n v="114"/>
    <x v="6"/>
    <s v="Creative &amp; Technology"/>
    <n v="11.749993886708426"/>
    <s v="Neither"/>
    <n v="5"/>
  </r>
  <r>
    <d v="2020-01-12T21:32:24"/>
    <s v="20-3505"/>
    <s v="P006"/>
    <x v="7"/>
    <n v="38"/>
    <n v="19"/>
    <n v="418"/>
    <n v="209"/>
    <n v="209"/>
    <x v="7"/>
    <s v="Healthcare &amp; Safety"/>
    <n v="11.048444680405545"/>
    <s v="Neither"/>
    <n v="5"/>
  </r>
  <r>
    <d v="2021-10-05T18:11:47"/>
    <s v="21-4413"/>
    <s v="P094"/>
    <x v="3"/>
    <n v="80"/>
    <n v="20"/>
    <n v="320"/>
    <n v="80"/>
    <n v="240"/>
    <x v="8"/>
    <s v="Sports &amp; Recreation"/>
    <n v="10.988762477277161"/>
    <s v="Neither"/>
    <n v="5"/>
  </r>
  <r>
    <d v="2021-01-22T18:33:18"/>
    <s v="21-3023"/>
    <s v="P054"/>
    <x v="8"/>
    <n v="144"/>
    <n v="48"/>
    <n v="2016"/>
    <n v="672"/>
    <n v="1344"/>
    <x v="9"/>
    <s v="Sports &amp; Recreation"/>
    <n v="15.602184182549776"/>
    <s v="Neither"/>
    <n v="5"/>
  </r>
  <r>
    <d v="2020-03-08T11:16:24"/>
    <s v="20-4356"/>
    <s v="P043"/>
    <x v="9"/>
    <n v="184"/>
    <n v="92"/>
    <n v="3680"/>
    <n v="1840"/>
    <n v="1840"/>
    <x v="10"/>
    <s v="Education"/>
    <n v="12.957303170959879"/>
    <s v="Satisfied"/>
    <n v="10"/>
  </r>
  <r>
    <d v="2020-09-11T09:49:58"/>
    <s v="20-3883"/>
    <s v="P052"/>
    <x v="4"/>
    <n v="352"/>
    <n v="88"/>
    <n v="704"/>
    <n v="176"/>
    <n v="528"/>
    <x v="11"/>
    <s v="Creative &amp; Technology"/>
    <n v="8.2871811249429097"/>
    <s v="Satisfied"/>
    <n v="10"/>
  </r>
  <r>
    <d v="2019-07-25T01:36:08"/>
    <s v="19-3629"/>
    <s v="P005"/>
    <x v="10"/>
    <n v="76"/>
    <n v="19"/>
    <n v="380"/>
    <n v="95"/>
    <n v="285"/>
    <x v="12"/>
    <s v="Creative &amp; Technology"/>
    <n v="9.8384363471888783"/>
    <s v="Neither"/>
    <n v="5"/>
  </r>
  <r>
    <d v="2020-06-15T16:41:15"/>
    <s v="20-2783"/>
    <s v="P076"/>
    <x v="8"/>
    <n v="94"/>
    <n v="47"/>
    <n v="1316"/>
    <n v="658"/>
    <n v="658"/>
    <x v="13"/>
    <s v="Sports &amp; Recreation"/>
    <n v="12.163730387337393"/>
    <s v="Neither"/>
    <n v="5"/>
  </r>
  <r>
    <d v="2021-01-28T23:25:08"/>
    <s v="21-3864"/>
    <s v="P014"/>
    <x v="11"/>
    <n v="166"/>
    <n v="83"/>
    <n v="2656"/>
    <n v="1328"/>
    <n v="1328"/>
    <x v="14"/>
    <s v="Creative &amp; Technology"/>
    <n v="13.45980057156361"/>
    <s v="Satisfied"/>
    <n v="10"/>
  </r>
  <r>
    <d v="2020-10-13T01:13:13"/>
    <s v="20-1968"/>
    <s v="P023"/>
    <x v="12"/>
    <n v="126"/>
    <n v="42"/>
    <n v="882"/>
    <n v="294"/>
    <n v="588"/>
    <x v="15"/>
    <s v="Community &amp; Government"/>
    <n v="11.631646244583138"/>
    <s v="Dissatisfied"/>
    <n v="1"/>
  </r>
  <r>
    <d v="2020-01-04T21:34:59"/>
    <s v="20-1980"/>
    <s v="P071"/>
    <x v="13"/>
    <n v="210"/>
    <n v="70"/>
    <n v="2100"/>
    <n v="700"/>
    <n v="1400"/>
    <x v="16"/>
    <s v="Sports &amp; Recreation"/>
    <n v="12.865074657680612"/>
    <s v="Neither"/>
    <n v="5"/>
  </r>
  <r>
    <d v="2021-05-04T07:09:29"/>
    <s v="21-4557"/>
    <s v="P060"/>
    <x v="6"/>
    <n v="300"/>
    <n v="75"/>
    <n v="1800"/>
    <n v="450"/>
    <n v="1350"/>
    <x v="9"/>
    <s v="Sports &amp; Recreation"/>
    <n v="15.602184182549776"/>
    <s v="Neither"/>
    <n v="5"/>
  </r>
  <r>
    <d v="2018-06-02T06:23:12"/>
    <s v="18-4105"/>
    <s v="P091"/>
    <x v="14"/>
    <n v="204"/>
    <n v="51"/>
    <n v="2448"/>
    <n v="612"/>
    <n v="1836"/>
    <x v="17"/>
    <s v="Education"/>
    <n v="9.8238489437106278"/>
    <s v="Neither"/>
    <n v="5"/>
  </r>
  <r>
    <d v="2019-02-03T18:06:55"/>
    <s v="19-4897"/>
    <s v="P094"/>
    <x v="5"/>
    <n v="80"/>
    <n v="20"/>
    <n v="240"/>
    <n v="60"/>
    <n v="180"/>
    <x v="18"/>
    <s v="Sports &amp; Recreation"/>
    <n v="12.072414596936037"/>
    <s v="Satisfied"/>
    <n v="10"/>
  </r>
  <r>
    <d v="2020-10-21T05:42:53"/>
    <s v="20-4960"/>
    <s v="P028"/>
    <x v="15"/>
    <n v="156"/>
    <n v="78"/>
    <n v="2652"/>
    <n v="1326"/>
    <n v="1326"/>
    <x v="19"/>
    <s v="Community &amp; Government"/>
    <n v="15.140903556171683"/>
    <s v="Neither"/>
    <n v="5"/>
  </r>
  <r>
    <d v="2021-06-10T15:03:33"/>
    <s v="21-2115"/>
    <s v="P065"/>
    <x v="16"/>
    <n v="50"/>
    <n v="25"/>
    <n v="450"/>
    <n v="225"/>
    <n v="225"/>
    <x v="20"/>
    <s v="Education"/>
    <n v="15.12637675023732"/>
    <s v="Dissatisfied"/>
    <n v="1"/>
  </r>
  <r>
    <d v="2022-09-03T00:41:52"/>
    <s v="22-4758"/>
    <s v="P026"/>
    <x v="17"/>
    <n v="280"/>
    <n v="70"/>
    <n v="280"/>
    <n v="70"/>
    <n v="210"/>
    <x v="5"/>
    <s v="Healthcare &amp; Safety"/>
    <n v="12.169266722245851"/>
    <s v="Neither"/>
    <n v="5"/>
  </r>
  <r>
    <d v="2017-11-29T00:03:00"/>
    <s v="17-1449"/>
    <s v="P098"/>
    <x v="10"/>
    <n v="201"/>
    <n v="67"/>
    <n v="1005"/>
    <n v="335"/>
    <n v="670"/>
    <x v="21"/>
    <s v="Facilities &amp; Services"/>
    <n v="13.717776078041958"/>
    <s v="Satisfied"/>
    <n v="10"/>
  </r>
  <r>
    <d v="2020-08-23T22:28:47"/>
    <s v="20-2961"/>
    <s v="P023"/>
    <x v="5"/>
    <n v="126"/>
    <n v="42"/>
    <n v="378"/>
    <n v="126"/>
    <n v="252"/>
    <x v="22"/>
    <s v="Sports &amp; Recreation"/>
    <n v="9.7467096260695598"/>
    <s v="Dissatisfied"/>
    <n v="1"/>
  </r>
  <r>
    <d v="2019-05-23T12:55:36"/>
    <s v="19-3898"/>
    <s v="P002"/>
    <x v="14"/>
    <n v="144"/>
    <n v="36"/>
    <n v="1728"/>
    <n v="432"/>
    <n v="1296"/>
    <x v="23"/>
    <s v="Healthcare &amp; Safety"/>
    <n v="13.407340878370247"/>
    <s v="Satisfied"/>
    <n v="10"/>
  </r>
  <r>
    <d v="2019-06-08T13:16:52"/>
    <s v="19-4584"/>
    <s v="P024"/>
    <x v="10"/>
    <n v="66"/>
    <n v="33"/>
    <n v="330"/>
    <n v="165"/>
    <n v="165"/>
    <x v="23"/>
    <s v="Healthcare &amp; Safety"/>
    <n v="13.407340878370247"/>
    <s v="Neither"/>
    <n v="5"/>
  </r>
  <r>
    <d v="2020-05-01T23:48:16"/>
    <s v="20-4784"/>
    <s v="P030"/>
    <x v="8"/>
    <n v="81"/>
    <n v="27"/>
    <n v="1134"/>
    <n v="378"/>
    <n v="756"/>
    <x v="24"/>
    <s v="Sports &amp; Recreation"/>
    <n v="14.697745043716761"/>
    <s v="Neither"/>
    <n v="5"/>
  </r>
  <r>
    <d v="2021-02-21T04:56:27"/>
    <s v="21-2025"/>
    <s v="P043"/>
    <x v="18"/>
    <n v="184"/>
    <n v="92"/>
    <n v="3312"/>
    <n v="1656"/>
    <n v="1656"/>
    <x v="25"/>
    <s v="Sports &amp; Recreation"/>
    <n v="11.128721898968678"/>
    <s v="Satisfied"/>
    <n v="10"/>
  </r>
  <r>
    <d v="2019-09-09T14:02:16"/>
    <s v="19-3656"/>
    <s v="P048"/>
    <x v="3"/>
    <n v="252"/>
    <n v="63"/>
    <n v="1008"/>
    <n v="252"/>
    <n v="756"/>
    <x v="26"/>
    <s v="Sports &amp; Recreation"/>
    <n v="14.16303548174143"/>
    <s v="Neither"/>
    <n v="5"/>
  </r>
  <r>
    <d v="2018-12-13T14:27:20"/>
    <s v="18-1412"/>
    <s v="P071"/>
    <x v="13"/>
    <n v="210"/>
    <n v="70"/>
    <n v="2100"/>
    <n v="700"/>
    <n v="1400"/>
    <x v="27"/>
    <s v="Healthcare &amp; Safety"/>
    <n v="10.42743035829395"/>
    <s v="Neither"/>
    <n v="5"/>
  </r>
  <r>
    <d v="2018-11-09T15:37:56"/>
    <s v="18-3342"/>
    <s v="P087"/>
    <x v="14"/>
    <n v="176"/>
    <n v="88"/>
    <n v="2112"/>
    <n v="1056"/>
    <n v="1056"/>
    <x v="28"/>
    <s v="Sports &amp; Recreation"/>
    <n v="11.006397834696006"/>
    <s v="Neither"/>
    <n v="5"/>
  </r>
  <r>
    <d v="2021-01-17T03:30:04"/>
    <s v="21-2874"/>
    <s v="P043"/>
    <x v="0"/>
    <n v="184"/>
    <n v="92"/>
    <n v="2760"/>
    <n v="1380"/>
    <n v="1380"/>
    <x v="29"/>
    <s v="Facilities &amp; Services"/>
    <n v="15.487214309603928"/>
    <s v="Neither"/>
    <n v="5"/>
  </r>
  <r>
    <d v="2020-03-17T00:26:41"/>
    <s v="20-1831"/>
    <s v="P096"/>
    <x v="15"/>
    <n v="144"/>
    <n v="48"/>
    <n v="2448"/>
    <n v="816"/>
    <n v="1632"/>
    <x v="30"/>
    <s v="Corporate &amp; Professional"/>
    <n v="12.844063202784817"/>
    <s v="Neither"/>
    <n v="5"/>
  </r>
  <r>
    <d v="2019-08-27T16:17:42"/>
    <s v="19-2562"/>
    <s v="P003"/>
    <x v="12"/>
    <n v="189"/>
    <n v="63"/>
    <n v="1323"/>
    <n v="441"/>
    <n v="882"/>
    <x v="31"/>
    <s v="Corporate &amp; Professional"/>
    <n v="9.4200113153305907"/>
    <s v="Dissatisfied"/>
    <n v="1"/>
  </r>
  <r>
    <d v="2021-06-11T01:57:59"/>
    <s v="21-4466"/>
    <s v="P084"/>
    <x v="12"/>
    <n v="154"/>
    <n v="77"/>
    <n v="1078"/>
    <n v="539"/>
    <n v="539"/>
    <x v="32"/>
    <s v="Facilities &amp; Services"/>
    <n v="11.410471033945758"/>
    <s v="Neither"/>
    <n v="5"/>
  </r>
  <r>
    <d v="2021-03-30T18:02:53"/>
    <s v="21-3075"/>
    <s v="P085"/>
    <x v="18"/>
    <n v="320"/>
    <n v="80"/>
    <n v="5760"/>
    <n v="1440"/>
    <n v="4320"/>
    <x v="33"/>
    <s v="Healthcare &amp; Safety"/>
    <n v="7.1104128275166252"/>
    <s v="Satisfied"/>
    <n v="10"/>
  </r>
  <r>
    <d v="2021-09-28T09:47:22"/>
    <s v="21-3988"/>
    <s v="P025"/>
    <x v="7"/>
    <n v="210"/>
    <n v="70"/>
    <n v="2310"/>
    <n v="770"/>
    <n v="1540"/>
    <x v="34"/>
    <s v="Sports &amp; Recreation"/>
    <n v="11.406233913305266"/>
    <s v="Satisfied"/>
    <n v="10"/>
  </r>
  <r>
    <d v="2018-08-24T16:48:11"/>
    <s v="18-2953"/>
    <s v="P021"/>
    <x v="17"/>
    <n v="207"/>
    <n v="69"/>
    <n v="207"/>
    <n v="69"/>
    <n v="138"/>
    <x v="35"/>
    <s v="Sports &amp; Recreation"/>
    <n v="12.487915239531313"/>
    <s v="Neither"/>
    <n v="5"/>
  </r>
  <r>
    <d v="2019-08-13T21:09:00"/>
    <s v="19-4687"/>
    <s v="P067"/>
    <x v="15"/>
    <n v="144"/>
    <n v="36"/>
    <n v="2448"/>
    <n v="612"/>
    <n v="1836"/>
    <x v="36"/>
    <s v="Creative &amp; Technology"/>
    <n v="8.1085102757869372"/>
    <s v="Neither"/>
    <n v="5"/>
  </r>
  <r>
    <d v="2019-07-16T02:19:18"/>
    <s v="19-2414"/>
    <s v="P022"/>
    <x v="6"/>
    <n v="153"/>
    <n v="51"/>
    <n v="918"/>
    <n v="306"/>
    <n v="612"/>
    <x v="37"/>
    <s v="Corporate &amp; Professional"/>
    <n v="11.749038185128619"/>
    <s v="Neither"/>
    <n v="5"/>
  </r>
  <r>
    <d v="2020-10-28T10:15:54"/>
    <s v="20-3269"/>
    <s v="P019"/>
    <x v="0"/>
    <n v="308"/>
    <n v="77"/>
    <n v="4620"/>
    <n v="1155"/>
    <n v="3465"/>
    <x v="38"/>
    <s v="Facilities &amp; Services"/>
    <n v="13.378080355059918"/>
    <s v="Neither"/>
    <n v="5"/>
  </r>
  <r>
    <d v="2021-05-04T03:37:36"/>
    <s v="21-2837"/>
    <s v="P053"/>
    <x v="8"/>
    <n v="50"/>
    <n v="25"/>
    <n v="700"/>
    <n v="350"/>
    <n v="350"/>
    <x v="39"/>
    <s v="Creative &amp; Technology"/>
    <n v="11.841063669683448"/>
    <s v="Neither"/>
    <n v="5"/>
  </r>
  <r>
    <d v="2021-08-27T16:52:17"/>
    <s v="21-3029"/>
    <s v="P099"/>
    <x v="0"/>
    <n v="132"/>
    <n v="33"/>
    <n v="1980"/>
    <n v="495"/>
    <n v="1485"/>
    <x v="40"/>
    <s v="Corporate &amp; Professional"/>
    <n v="14.370283356317486"/>
    <s v="Neither"/>
    <n v="5"/>
  </r>
  <r>
    <d v="2020-06-23T17:04:36"/>
    <s v="20-4975"/>
    <s v="P001"/>
    <x v="16"/>
    <n v="108"/>
    <n v="36"/>
    <n v="972"/>
    <n v="324"/>
    <n v="648"/>
    <x v="41"/>
    <s v="Community &amp; Government"/>
    <n v="12.452986387489583"/>
    <s v="Dissatisfied"/>
    <n v="1"/>
  </r>
  <r>
    <d v="2017-12-23T04:57:18"/>
    <s v="17-2409"/>
    <s v="P001"/>
    <x v="7"/>
    <n v="108"/>
    <n v="36"/>
    <n v="1188"/>
    <n v="396"/>
    <n v="792"/>
    <x v="16"/>
    <s v="Sports &amp; Recreation"/>
    <n v="12.865074657680612"/>
    <s v="Satisfied"/>
    <n v="10"/>
  </r>
  <r>
    <d v="2021-10-17T06:38:50"/>
    <s v="21-4384"/>
    <s v="P040"/>
    <x v="19"/>
    <n v="160"/>
    <n v="80"/>
    <n v="3040"/>
    <n v="1520"/>
    <n v="1520"/>
    <x v="42"/>
    <s v="Community &amp; Government"/>
    <n v="10.216282609482219"/>
    <s v="Neither"/>
    <n v="5"/>
  </r>
  <r>
    <d v="2020-02-11T13:15:34"/>
    <s v="20-2456"/>
    <s v="P005"/>
    <x v="1"/>
    <n v="76"/>
    <n v="19"/>
    <n v="608"/>
    <n v="152"/>
    <n v="456"/>
    <x v="43"/>
    <s v="Corporate &amp; Professional"/>
    <n v="15.121383064708469"/>
    <s v="Dissatisfied"/>
    <n v="1"/>
  </r>
  <r>
    <d v="2021-02-02T16:01:17"/>
    <s v="21-2798"/>
    <s v="P008"/>
    <x v="14"/>
    <n v="225"/>
    <n v="75"/>
    <n v="2700"/>
    <n v="900"/>
    <n v="1800"/>
    <x v="44"/>
    <s v="Corporate &amp; Professional"/>
    <n v="9.9311000381363836"/>
    <s v="Dissatisfied"/>
    <n v="1"/>
  </r>
  <r>
    <d v="2019-12-15T09:16:47"/>
    <s v="19-4348"/>
    <s v="P006"/>
    <x v="0"/>
    <n v="38"/>
    <n v="19"/>
    <n v="570"/>
    <n v="285"/>
    <n v="285"/>
    <x v="13"/>
    <s v="Sports &amp; Recreation"/>
    <n v="12.163730387337393"/>
    <s v="Neither"/>
    <n v="5"/>
  </r>
  <r>
    <d v="2022-03-27T13:53:25"/>
    <s v="22-1555"/>
    <s v="P046"/>
    <x v="17"/>
    <n v="38"/>
    <n v="19"/>
    <n v="38"/>
    <n v="19"/>
    <n v="19"/>
    <x v="45"/>
    <s v="Sports &amp; Recreation"/>
    <n v="12.1334991293512"/>
    <s v="Neither"/>
    <n v="5"/>
  </r>
  <r>
    <d v="2020-12-20T08:28:19"/>
    <s v="20-4454"/>
    <s v="P004"/>
    <x v="11"/>
    <n v="189"/>
    <n v="63"/>
    <n v="3024"/>
    <n v="1008"/>
    <n v="2016"/>
    <x v="46"/>
    <s v="Healthcare &amp; Safety"/>
    <n v="11.36085047138285"/>
    <s v="Neither"/>
    <n v="5"/>
  </r>
  <r>
    <d v="2021-08-28T22:09:48"/>
    <s v="21-3857"/>
    <s v="P071"/>
    <x v="16"/>
    <n v="210"/>
    <n v="70"/>
    <n v="1890"/>
    <n v="630"/>
    <n v="1260"/>
    <x v="47"/>
    <s v="Healthcare &amp; Safety"/>
    <n v="11.727497850343074"/>
    <s v="Neither"/>
    <n v="5"/>
  </r>
  <r>
    <d v="2022-03-08T20:15:14"/>
    <s v="22-3797"/>
    <s v="P026"/>
    <x v="0"/>
    <n v="280"/>
    <n v="70"/>
    <n v="4200"/>
    <n v="1050"/>
    <n v="3150"/>
    <x v="48"/>
    <s v="Creative &amp; Technology"/>
    <n v="11.939773463335372"/>
    <s v="Satisfied"/>
    <n v="10"/>
  </r>
  <r>
    <d v="2019-10-09T11:44:13"/>
    <s v="19-2441"/>
    <s v="P031"/>
    <x v="0"/>
    <n v="146"/>
    <n v="73"/>
    <n v="2190"/>
    <n v="1095"/>
    <n v="1095"/>
    <x v="49"/>
    <s v="Creative &amp; Technology"/>
    <n v="11.31221475547909"/>
    <s v="Neither"/>
    <n v="5"/>
  </r>
  <r>
    <d v="2019-07-08T06:23:23"/>
    <s v="19-4589"/>
    <s v="P044"/>
    <x v="18"/>
    <n v="368"/>
    <n v="92"/>
    <n v="6624"/>
    <n v="1656"/>
    <n v="4968"/>
    <x v="50"/>
    <s v="Creative &amp; Technology"/>
    <n v="12.551203838971933"/>
    <s v="Satisfied"/>
    <n v="10"/>
  </r>
  <r>
    <d v="2022-09-01T04:04:42"/>
    <s v="22-1984"/>
    <s v="P030"/>
    <x v="7"/>
    <n v="81"/>
    <n v="27"/>
    <n v="891"/>
    <n v="297"/>
    <n v="594"/>
    <x v="51"/>
    <s v="Facilities &amp; Services"/>
    <n v="10.523527521613014"/>
    <s v="Neither"/>
    <n v="5"/>
  </r>
  <r>
    <d v="2020-03-31T01:58:49"/>
    <s v="20-3458"/>
    <s v="P062"/>
    <x v="11"/>
    <n v="348"/>
    <n v="87"/>
    <n v="5568"/>
    <n v="1392"/>
    <n v="4176"/>
    <x v="52"/>
    <s v="Facilities &amp; Services"/>
    <n v="14.573178107544177"/>
    <s v="Satisfied"/>
    <n v="10"/>
  </r>
  <r>
    <d v="2019-12-31T19:12:40"/>
    <s v="19-3647"/>
    <s v="P088"/>
    <x v="16"/>
    <n v="192"/>
    <n v="96"/>
    <n v="1728"/>
    <n v="864"/>
    <n v="864"/>
    <x v="53"/>
    <s v="Education"/>
    <n v="13.288482149665386"/>
    <s v="Neither"/>
    <n v="5"/>
  </r>
  <r>
    <d v="2020-06-19T09:17:30"/>
    <s v="20-2780"/>
    <s v="P096"/>
    <x v="2"/>
    <n v="144"/>
    <n v="48"/>
    <n v="1872"/>
    <n v="624"/>
    <n v="1248"/>
    <x v="54"/>
    <s v="Community &amp; Government"/>
    <n v="13.890275354050972"/>
    <s v="Neither"/>
    <n v="5"/>
  </r>
  <r>
    <d v="2020-11-16T15:31:32"/>
    <s v="20-3980"/>
    <s v="P012"/>
    <x v="0"/>
    <n v="30"/>
    <n v="15"/>
    <n v="450"/>
    <n v="225"/>
    <n v="225"/>
    <x v="55"/>
    <s v="Creative &amp; Technology"/>
    <n v="13.765798454641494"/>
    <s v="Neither"/>
    <n v="5"/>
  </r>
  <r>
    <d v="2019-12-14T18:34:44"/>
    <s v="19-3215"/>
    <s v="P033"/>
    <x v="2"/>
    <n v="57"/>
    <n v="19"/>
    <n v="741"/>
    <n v="247"/>
    <n v="494"/>
    <x v="56"/>
    <s v="Corporate &amp; Professional"/>
    <n v="12.007834550770397"/>
    <s v="Neither"/>
    <n v="5"/>
  </r>
  <r>
    <d v="2022-07-16T17:07:06"/>
    <s v="22-4552"/>
    <s v="P022"/>
    <x v="12"/>
    <n v="153"/>
    <n v="51"/>
    <n v="1071"/>
    <n v="357"/>
    <n v="714"/>
    <x v="57"/>
    <s v="Facilities &amp; Services"/>
    <n v="12.177709716438097"/>
    <s v="Neither"/>
    <n v="5"/>
  </r>
  <r>
    <d v="2019-05-18T00:31:07"/>
    <s v="19-3308"/>
    <s v="P069"/>
    <x v="15"/>
    <n v="150"/>
    <n v="75"/>
    <n v="2550"/>
    <n v="1275"/>
    <n v="1275"/>
    <x v="58"/>
    <s v="Creative &amp; Technology"/>
    <n v="11.995406972581796"/>
    <s v="Neither"/>
    <n v="5"/>
  </r>
  <r>
    <d v="2020-10-03T05:42:34"/>
    <s v="20-3048"/>
    <s v="P029"/>
    <x v="19"/>
    <n v="300"/>
    <n v="75"/>
    <n v="5700"/>
    <n v="1425"/>
    <n v="4275"/>
    <x v="59"/>
    <s v="Creative &amp; Technology"/>
    <n v="10.980884286450312"/>
    <s v="Satisfied"/>
    <n v="10"/>
  </r>
  <r>
    <d v="2021-09-10T06:08:54"/>
    <s v="21-4381"/>
    <s v="P015"/>
    <x v="3"/>
    <n v="176"/>
    <n v="88"/>
    <n v="704"/>
    <n v="352"/>
    <n v="352"/>
    <x v="60"/>
    <s v="Creative &amp; Technology"/>
    <n v="15.556812309269255"/>
    <s v="Neither"/>
    <n v="5"/>
  </r>
  <r>
    <d v="2018-03-07T09:37:49"/>
    <s v="18-2659"/>
    <s v="P061"/>
    <x v="4"/>
    <n v="264"/>
    <n v="88"/>
    <n v="528"/>
    <n v="176"/>
    <n v="352"/>
    <x v="61"/>
    <s v="Education"/>
    <n v="13.697485557052493"/>
    <s v="Neither"/>
    <n v="5"/>
  </r>
  <r>
    <d v="2018-04-04T22:08:57"/>
    <s v="18-3836"/>
    <s v="P089"/>
    <x v="17"/>
    <n v="102"/>
    <n v="51"/>
    <n v="102"/>
    <n v="51"/>
    <n v="51"/>
    <x v="62"/>
    <s v="Education"/>
    <n v="12.396052160428608"/>
    <s v="Neither"/>
    <n v="5"/>
  </r>
  <r>
    <d v="2020-01-19T15:18:02"/>
    <s v="20-2983"/>
    <s v="P053"/>
    <x v="14"/>
    <n v="50"/>
    <n v="25"/>
    <n v="600"/>
    <n v="300"/>
    <n v="300"/>
    <x v="63"/>
    <s v="Sports &amp; Recreation"/>
    <n v="14.030594525378042"/>
    <s v="Dissatisfied"/>
    <n v="1"/>
  </r>
  <r>
    <d v="2019-04-21T19:17:17"/>
    <s v="19-3463"/>
    <s v="P008"/>
    <x v="5"/>
    <n v="225"/>
    <n v="75"/>
    <n v="675"/>
    <n v="225"/>
    <n v="450"/>
    <x v="64"/>
    <s v="Corporate &amp; Professional"/>
    <n v="11.083482342133532"/>
    <s v="Neither"/>
    <n v="5"/>
  </r>
  <r>
    <d v="2021-01-25T06:03:04"/>
    <s v="21-4937"/>
    <s v="P035"/>
    <x v="18"/>
    <n v="144"/>
    <n v="48"/>
    <n v="2592"/>
    <n v="864"/>
    <n v="1728"/>
    <x v="65"/>
    <s v="Healthcare &amp; Safety"/>
    <n v="14.377134310720955"/>
    <s v="Dissatisfied"/>
    <n v="1"/>
  </r>
  <r>
    <d v="2018-11-23T08:50:29"/>
    <s v="18-4366"/>
    <s v="P005"/>
    <x v="11"/>
    <n v="76"/>
    <n v="19"/>
    <n v="1216"/>
    <n v="304"/>
    <n v="912"/>
    <x v="66"/>
    <s v="Facilities &amp; Services"/>
    <n v="12.172922939334034"/>
    <s v="Satisfied"/>
    <n v="10"/>
  </r>
  <r>
    <d v="2018-02-09T07:08:16"/>
    <s v="18-1699"/>
    <s v="P012"/>
    <x v="6"/>
    <n v="30"/>
    <n v="15"/>
    <n v="180"/>
    <n v="90"/>
    <n v="90"/>
    <x v="67"/>
    <s v="Community &amp; Government"/>
    <n v="11.346510807401776"/>
    <s v="Neither"/>
    <n v="5"/>
  </r>
  <r>
    <d v="2021-05-06T19:15:49"/>
    <s v="21-4584"/>
    <s v="P028"/>
    <x v="4"/>
    <n v="156"/>
    <n v="78"/>
    <n v="312"/>
    <n v="156"/>
    <n v="156"/>
    <x v="68"/>
    <s v="Sports &amp; Recreation"/>
    <n v="12.200533931675887"/>
    <s v="Neither"/>
    <n v="5"/>
  </r>
  <r>
    <d v="2018-06-10T18:49:28"/>
    <s v="18-3352"/>
    <s v="P098"/>
    <x v="14"/>
    <n v="201"/>
    <n v="67"/>
    <n v="2412"/>
    <n v="804"/>
    <n v="1608"/>
    <x v="69"/>
    <s v="Healthcare &amp; Safety"/>
    <n v="9.3014286057233697"/>
    <s v="Satisfied"/>
    <n v="10"/>
  </r>
  <r>
    <d v="2022-10-01T14:46:53"/>
    <s v="22-4831"/>
    <s v="P040"/>
    <x v="9"/>
    <n v="160"/>
    <n v="80"/>
    <n v="3200"/>
    <n v="1600"/>
    <n v="1600"/>
    <x v="70"/>
    <s v="Community &amp; Government"/>
    <n v="14.593670394271927"/>
    <s v="Dissatisfied"/>
    <n v="1"/>
  </r>
  <r>
    <d v="2019-08-03T17:39:39"/>
    <s v="19-4143"/>
    <s v="P018"/>
    <x v="18"/>
    <n v="108"/>
    <n v="54"/>
    <n v="1944"/>
    <n v="972"/>
    <n v="972"/>
    <x v="71"/>
    <s v="Corporate &amp; Professional"/>
    <n v="11.274864741138284"/>
    <s v="Neither"/>
    <n v="5"/>
  </r>
  <r>
    <d v="2019-09-18T07:40:40"/>
    <s v="19-3106"/>
    <s v="P083"/>
    <x v="13"/>
    <n v="90"/>
    <n v="45"/>
    <n v="900"/>
    <n v="450"/>
    <n v="450"/>
    <x v="72"/>
    <s v="Community &amp; Government"/>
    <n v="15.458859683514467"/>
    <s v="Neither"/>
    <n v="5"/>
  </r>
  <r>
    <d v="2020-11-12T12:16:49"/>
    <s v="20-2673"/>
    <s v="P054"/>
    <x v="19"/>
    <n v="144"/>
    <n v="48"/>
    <n v="2736"/>
    <n v="912"/>
    <n v="1824"/>
    <x v="73"/>
    <s v="Creative &amp; Technology"/>
    <n v="15.234329552872023"/>
    <s v="Dissatisfied"/>
    <n v="1"/>
  </r>
  <r>
    <d v="2019-10-13T18:30:59"/>
    <s v="19-1622"/>
    <s v="P072"/>
    <x v="4"/>
    <n v="132"/>
    <n v="44"/>
    <n v="264"/>
    <n v="88"/>
    <n v="176"/>
    <x v="74"/>
    <s v="Education"/>
    <n v="12.699346182652626"/>
    <s v="Neither"/>
    <n v="5"/>
  </r>
  <r>
    <d v="2021-08-28T16:34:14"/>
    <s v="21-2880"/>
    <s v="P099"/>
    <x v="17"/>
    <n v="132"/>
    <n v="33"/>
    <n v="132"/>
    <n v="33"/>
    <n v="99"/>
    <x v="49"/>
    <s v="Creative &amp; Technology"/>
    <n v="11.31221475547909"/>
    <s v="Neither"/>
    <n v="5"/>
  </r>
  <r>
    <d v="2021-08-12T04:14:55"/>
    <s v="21-3439"/>
    <s v="P057"/>
    <x v="19"/>
    <n v="252"/>
    <n v="63"/>
    <n v="4788"/>
    <n v="1197"/>
    <n v="3591"/>
    <x v="75"/>
    <s v="Healthcare &amp; Safety"/>
    <n v="13.918153610259502"/>
    <s v="Dissatisfied"/>
    <n v="1"/>
  </r>
  <r>
    <d v="2022-01-28T08:29:10"/>
    <s v="22-4693"/>
    <s v="P027"/>
    <x v="17"/>
    <n v="140"/>
    <n v="70"/>
    <n v="140"/>
    <n v="70"/>
    <n v="70"/>
    <x v="45"/>
    <s v="Sports &amp; Recreation"/>
    <n v="12.1334991293512"/>
    <s v="Neither"/>
    <n v="5"/>
  </r>
  <r>
    <d v="2020-10-13T03:42:38"/>
    <s v="20-3308"/>
    <s v="P037"/>
    <x v="19"/>
    <n v="160"/>
    <n v="80"/>
    <n v="3040"/>
    <n v="1520"/>
    <n v="1520"/>
    <x v="32"/>
    <s v="Facilities &amp; Services"/>
    <n v="11.410471033945758"/>
    <s v="Satisfied"/>
    <n v="10"/>
  </r>
  <r>
    <d v="2020-04-01T22:21:11"/>
    <s v="20-1527"/>
    <s v="P039"/>
    <x v="4"/>
    <n v="270"/>
    <n v="90"/>
    <n v="540"/>
    <n v="180"/>
    <n v="360"/>
    <x v="23"/>
    <s v="Healthcare &amp; Safety"/>
    <n v="13.407340878370247"/>
    <s v="Neither"/>
    <n v="5"/>
  </r>
  <r>
    <d v="2021-03-17T00:44:11"/>
    <s v="21-2318"/>
    <s v="P032"/>
    <x v="2"/>
    <n v="92"/>
    <n v="46"/>
    <n v="1196"/>
    <n v="598"/>
    <n v="598"/>
    <x v="76"/>
    <s v="Community &amp; Government"/>
    <n v="12.796588406005421"/>
    <s v="Neither"/>
    <n v="5"/>
  </r>
  <r>
    <d v="2018-09-07T11:48:56"/>
    <s v="18-2068"/>
    <s v="P046"/>
    <x v="7"/>
    <n v="38"/>
    <n v="19"/>
    <n v="418"/>
    <n v="209"/>
    <n v="209"/>
    <x v="77"/>
    <s v="Facilities &amp; Services"/>
    <n v="12.514998090845811"/>
    <s v="Satisfied"/>
    <n v="10"/>
  </r>
  <r>
    <d v="2020-10-11T19:22:42"/>
    <s v="20-4090"/>
    <s v="P081"/>
    <x v="3"/>
    <n v="50"/>
    <n v="25"/>
    <n v="200"/>
    <n v="100"/>
    <n v="100"/>
    <x v="71"/>
    <s v="Corporate &amp; Professional"/>
    <n v="11.274864741138284"/>
    <s v="Neither"/>
    <n v="5"/>
  </r>
  <r>
    <d v="2020-08-12T13:57:45"/>
    <s v="20-4835"/>
    <s v="P094"/>
    <x v="6"/>
    <n v="80"/>
    <n v="20"/>
    <n v="480"/>
    <n v="120"/>
    <n v="360"/>
    <x v="78"/>
    <s v="Education"/>
    <n v="11.756374828790458"/>
    <s v="Satisfied"/>
    <n v="10"/>
  </r>
  <r>
    <d v="2020-11-14T15:30:48"/>
    <s v="20-4525"/>
    <s v="P022"/>
    <x v="18"/>
    <n v="153"/>
    <n v="51"/>
    <n v="2754"/>
    <n v="918"/>
    <n v="1836"/>
    <x v="79"/>
    <s v="Facilities &amp; Services"/>
    <n v="12.661538237835474"/>
    <s v="Neither"/>
    <n v="5"/>
  </r>
  <r>
    <d v="2019-08-25T16:23:26"/>
    <s v="19-1106"/>
    <s v="P061"/>
    <x v="11"/>
    <n v="264"/>
    <n v="88"/>
    <n v="4224"/>
    <n v="1408"/>
    <n v="2816"/>
    <x v="80"/>
    <s v="Education"/>
    <n v="12.503632939408062"/>
    <s v="Satisfied"/>
    <n v="10"/>
  </r>
  <r>
    <d v="2022-01-24T01:01:16"/>
    <s v="22-3861"/>
    <s v="P037"/>
    <x v="4"/>
    <n v="160"/>
    <n v="80"/>
    <n v="320"/>
    <n v="160"/>
    <n v="160"/>
    <x v="81"/>
    <s v="Community &amp; Government"/>
    <n v="9.821882845934784"/>
    <s v="Neither"/>
    <n v="5"/>
  </r>
  <r>
    <d v="2022-03-03T22:26:48"/>
    <s v="22-3095"/>
    <s v="P090"/>
    <x v="1"/>
    <n v="57"/>
    <n v="19"/>
    <n v="456"/>
    <n v="152"/>
    <n v="304"/>
    <x v="82"/>
    <s v="Creative &amp; Technology"/>
    <n v="11.883396013219548"/>
    <s v="Dissatisfied"/>
    <n v="1"/>
  </r>
  <r>
    <d v="2019-10-09T14:50:22"/>
    <s v="19-1753"/>
    <s v="P024"/>
    <x v="15"/>
    <n v="66"/>
    <n v="33"/>
    <n v="1122"/>
    <n v="561"/>
    <n v="561"/>
    <x v="83"/>
    <s v="Sports &amp; Recreation"/>
    <n v="11.504886852416154"/>
    <s v="Neither"/>
    <n v="5"/>
  </r>
  <r>
    <d v="2021-03-11T21:37:31"/>
    <s v="21-4842"/>
    <s v="P052"/>
    <x v="17"/>
    <n v="352"/>
    <n v="88"/>
    <n v="352"/>
    <n v="88"/>
    <n v="264"/>
    <x v="84"/>
    <s v="Corporate &amp; Professional"/>
    <n v="11.428575823958646"/>
    <s v="Satisfied"/>
    <n v="10"/>
  </r>
  <r>
    <d v="2022-04-21T08:25:40"/>
    <s v="22-4766"/>
    <s v="P041"/>
    <x v="3"/>
    <n v="144"/>
    <n v="36"/>
    <n v="576"/>
    <n v="144"/>
    <n v="432"/>
    <x v="85"/>
    <s v="Creative &amp; Technology"/>
    <n v="10.570474361325047"/>
    <s v="Dissatisfied"/>
    <n v="1"/>
  </r>
  <r>
    <d v="2018-12-07T09:33:04"/>
    <s v="18-3191"/>
    <s v="P066"/>
    <x v="12"/>
    <n v="34"/>
    <n v="17"/>
    <n v="238"/>
    <n v="119"/>
    <n v="119"/>
    <x v="67"/>
    <s v="Community &amp; Government"/>
    <n v="11.346510807401776"/>
    <s v="Dissatisfied"/>
    <n v="1"/>
  </r>
  <r>
    <d v="2020-01-18T09:07:25"/>
    <s v="20-4379"/>
    <s v="P073"/>
    <x v="8"/>
    <n v="48"/>
    <n v="24"/>
    <n v="672"/>
    <n v="336"/>
    <n v="336"/>
    <x v="32"/>
    <s v="Facilities &amp; Services"/>
    <n v="11.410471033945758"/>
    <s v="Satisfied"/>
    <n v="10"/>
  </r>
  <r>
    <d v="2021-09-04T15:34:17"/>
    <s v="21-3280"/>
    <s v="P073"/>
    <x v="19"/>
    <n v="48"/>
    <n v="24"/>
    <n v="912"/>
    <n v="456"/>
    <n v="456"/>
    <x v="86"/>
    <s v="Community &amp; Government"/>
    <n v="12.758430621858414"/>
    <s v="Neither"/>
    <n v="5"/>
  </r>
  <r>
    <d v="2022-06-24T03:16:57"/>
    <s v="22-4458"/>
    <s v="P099"/>
    <x v="10"/>
    <n v="132"/>
    <n v="33"/>
    <n v="660"/>
    <n v="165"/>
    <n v="495"/>
    <x v="87"/>
    <s v="Education"/>
    <n v="11.710935611749917"/>
    <s v="Satisfied"/>
    <n v="10"/>
  </r>
  <r>
    <d v="2021-08-23T10:16:44"/>
    <s v="21-3234"/>
    <s v="P033"/>
    <x v="18"/>
    <n v="57"/>
    <n v="19"/>
    <n v="1026"/>
    <n v="342"/>
    <n v="684"/>
    <x v="59"/>
    <s v="Creative &amp; Technology"/>
    <n v="10.980884286450312"/>
    <s v="Neither"/>
    <n v="5"/>
  </r>
  <r>
    <d v="2020-11-17T18:09:10"/>
    <s v="20-2285"/>
    <s v="P094"/>
    <x v="2"/>
    <n v="80"/>
    <n v="20"/>
    <n v="1040"/>
    <n v="260"/>
    <n v="780"/>
    <x v="88"/>
    <s v="Facilities &amp; Services"/>
    <n v="14.906846445071711"/>
    <s v="Satisfied"/>
    <n v="10"/>
  </r>
  <r>
    <d v="2022-07-14T03:15:15"/>
    <s v="22-2292"/>
    <s v="P050"/>
    <x v="17"/>
    <n v="108"/>
    <n v="36"/>
    <n v="108"/>
    <n v="36"/>
    <n v="72"/>
    <x v="50"/>
    <s v="Creative &amp; Technology"/>
    <n v="12.551203838971933"/>
    <s v="Neither"/>
    <n v="5"/>
  </r>
  <r>
    <d v="2021-10-27T20:49:13"/>
    <s v="21-4122"/>
    <s v="P078"/>
    <x v="2"/>
    <n v="225"/>
    <n v="75"/>
    <n v="2925"/>
    <n v="975"/>
    <n v="1950"/>
    <x v="23"/>
    <s v="Healthcare &amp; Safety"/>
    <n v="13.407340878370247"/>
    <s v="Neither"/>
    <n v="5"/>
  </r>
  <r>
    <d v="2020-03-12T11:39:41"/>
    <s v="20-3708"/>
    <s v="P079"/>
    <x v="8"/>
    <n v="188"/>
    <n v="94"/>
    <n v="2632"/>
    <n v="1316"/>
    <n v="1316"/>
    <x v="45"/>
    <s v="Sports &amp; Recreation"/>
    <n v="12.1334991293512"/>
    <s v="Dissatisfied"/>
    <n v="1"/>
  </r>
  <r>
    <d v="2022-01-16T01:52:58"/>
    <s v="22-1244"/>
    <s v="P024"/>
    <x v="19"/>
    <n v="66"/>
    <n v="33"/>
    <n v="1254"/>
    <n v="627"/>
    <n v="627"/>
    <x v="82"/>
    <s v="Creative &amp; Technology"/>
    <n v="11.883396013219548"/>
    <s v="Satisfied"/>
    <n v="10"/>
  </r>
  <r>
    <d v="2022-11-24T11:21:40"/>
    <s v="22-4955"/>
    <s v="P095"/>
    <x v="6"/>
    <n v="116"/>
    <n v="29"/>
    <n v="696"/>
    <n v="174"/>
    <n v="522"/>
    <x v="89"/>
    <s v="Community &amp; Government"/>
    <n v="10.317615395419679"/>
    <s v="Dissatisfied"/>
    <n v="1"/>
  </r>
  <r>
    <d v="2021-01-30T03:09:08"/>
    <s v="21-4751"/>
    <s v="P066"/>
    <x v="6"/>
    <n v="34"/>
    <n v="17"/>
    <n v="204"/>
    <n v="102"/>
    <n v="102"/>
    <x v="90"/>
    <s v="Healthcare &amp; Safety"/>
    <n v="7.0114620475168028"/>
    <s v="Dissatisfied"/>
    <n v="1"/>
  </r>
  <r>
    <d v="2019-10-18T17:20:07"/>
    <s v="19-1829"/>
    <s v="P021"/>
    <x v="4"/>
    <n v="207"/>
    <n v="69"/>
    <n v="414"/>
    <n v="138"/>
    <n v="276"/>
    <x v="70"/>
    <s v="Community &amp; Government"/>
    <n v="14.593670394271927"/>
    <s v="Dissatisfied"/>
    <n v="1"/>
  </r>
  <r>
    <d v="2019-12-27T03:26:37"/>
    <s v="19-3014"/>
    <s v="P052"/>
    <x v="19"/>
    <n v="352"/>
    <n v="88"/>
    <n v="6688"/>
    <n v="1672"/>
    <n v="5016"/>
    <x v="91"/>
    <s v="Creative &amp; Technology"/>
    <n v="11.03324198943719"/>
    <s v="Neither"/>
    <n v="5"/>
  </r>
  <r>
    <d v="2020-09-02T10:43:13"/>
    <s v="20-3101"/>
    <s v="P038"/>
    <x v="2"/>
    <n v="240"/>
    <n v="80"/>
    <n v="3120"/>
    <n v="1040"/>
    <n v="2080"/>
    <x v="92"/>
    <s v="Education"/>
    <n v="11.99399163482429"/>
    <s v="Neither"/>
    <n v="5"/>
  </r>
  <r>
    <d v="2022-11-11T09:26:11"/>
    <s v="22-4697"/>
    <s v="P100"/>
    <x v="12"/>
    <n v="46"/>
    <n v="23"/>
    <n v="322"/>
    <n v="161"/>
    <n v="161"/>
    <x v="93"/>
    <s v="Facilities &amp; Services"/>
    <n v="10.966283117837653"/>
    <s v="Dissatisfied"/>
    <n v="1"/>
  </r>
  <r>
    <d v="2021-09-01T08:58:27"/>
    <s v="21-3306"/>
    <s v="P086"/>
    <x v="6"/>
    <n v="352"/>
    <n v="88"/>
    <n v="2112"/>
    <n v="528"/>
    <n v="1584"/>
    <x v="94"/>
    <s v="Corporate &amp; Professional"/>
    <n v="9.0350666811770921"/>
    <s v="Dissatisfied"/>
    <n v="1"/>
  </r>
  <r>
    <d v="2021-10-09T01:35:29"/>
    <s v="21-2003"/>
    <s v="P036"/>
    <x v="14"/>
    <n v="280"/>
    <n v="70"/>
    <n v="3360"/>
    <n v="840"/>
    <n v="2520"/>
    <x v="95"/>
    <s v="Facilities &amp; Services"/>
    <n v="7.7337149713827413"/>
    <s v="Neither"/>
    <n v="5"/>
  </r>
  <r>
    <d v="2019-11-14T00:34:10"/>
    <s v="19-1748"/>
    <s v="P044"/>
    <x v="17"/>
    <n v="368"/>
    <n v="92"/>
    <n v="368"/>
    <n v="92"/>
    <n v="276"/>
    <x v="96"/>
    <s v="Healthcare &amp; Safety"/>
    <n v="11.221666113009938"/>
    <s v="Neither"/>
    <n v="5"/>
  </r>
  <r>
    <d v="2019-04-07T11:09:07"/>
    <s v="19-2305"/>
    <s v="P044"/>
    <x v="17"/>
    <n v="368"/>
    <n v="92"/>
    <n v="368"/>
    <n v="92"/>
    <n v="276"/>
    <x v="12"/>
    <s v="Creative &amp; Technology"/>
    <n v="9.8384363471888783"/>
    <s v="Satisfied"/>
    <n v="10"/>
  </r>
  <r>
    <d v="2018-04-18T05:13:34"/>
    <s v="18-2707"/>
    <s v="P064"/>
    <x v="13"/>
    <n v="231"/>
    <n v="77"/>
    <n v="2310"/>
    <n v="770"/>
    <n v="1540"/>
    <x v="21"/>
    <s v="Facilities &amp; Services"/>
    <n v="13.717776078041958"/>
    <s v="Neither"/>
    <n v="5"/>
  </r>
  <r>
    <d v="2019-04-11T20:54:53"/>
    <s v="19-2607"/>
    <s v="P035"/>
    <x v="5"/>
    <n v="144"/>
    <n v="48"/>
    <n v="432"/>
    <n v="144"/>
    <n v="288"/>
    <x v="89"/>
    <s v="Community &amp; Government"/>
    <n v="10.317615395419679"/>
    <s v="Neither"/>
    <n v="5"/>
  </r>
  <r>
    <d v="2019-01-10T04:56:34"/>
    <s v="19-4713"/>
    <s v="P092"/>
    <x v="2"/>
    <n v="124"/>
    <n v="62"/>
    <n v="1612"/>
    <n v="806"/>
    <n v="806"/>
    <x v="97"/>
    <s v="Corporate &amp; Professional"/>
    <n v="12.545140403858928"/>
    <s v="Neither"/>
    <n v="5"/>
  </r>
  <r>
    <d v="2020-12-31T03:39:41"/>
    <s v="20-3799"/>
    <s v="P002"/>
    <x v="17"/>
    <n v="144"/>
    <n v="36"/>
    <n v="144"/>
    <n v="36"/>
    <n v="108"/>
    <x v="98"/>
    <s v="Creative &amp; Technology"/>
    <n v="15.18789248529443"/>
    <s v="Neither"/>
    <n v="5"/>
  </r>
  <r>
    <d v="2019-02-10T03:40:07"/>
    <s v="19-3152"/>
    <s v="P003"/>
    <x v="2"/>
    <n v="189"/>
    <n v="63"/>
    <n v="2457"/>
    <n v="819"/>
    <n v="1638"/>
    <x v="31"/>
    <s v="Corporate &amp; Professional"/>
    <n v="9.4200113153305907"/>
    <s v="Dissatisfied"/>
    <n v="1"/>
  </r>
  <r>
    <d v="2019-02-16T18:17:18"/>
    <s v="19-3636"/>
    <s v="P084"/>
    <x v="9"/>
    <n v="154"/>
    <n v="77"/>
    <n v="3080"/>
    <n v="1540"/>
    <n v="1540"/>
    <x v="64"/>
    <s v="Corporate &amp; Professional"/>
    <n v="11.083482342133532"/>
    <s v="Neither"/>
    <n v="5"/>
  </r>
  <r>
    <d v="2022-05-17T15:30:30"/>
    <s v="22-2082"/>
    <s v="P060"/>
    <x v="16"/>
    <n v="300"/>
    <n v="75"/>
    <n v="2700"/>
    <n v="675"/>
    <n v="2025"/>
    <x v="99"/>
    <s v="Healthcare &amp; Safety"/>
    <n v="12.148236977735172"/>
    <s v="Neither"/>
    <n v="5"/>
  </r>
  <r>
    <d v="2018-03-31T14:56:59"/>
    <s v="18-1444"/>
    <s v="P051"/>
    <x v="13"/>
    <n v="135"/>
    <n v="45"/>
    <n v="1350"/>
    <n v="450"/>
    <n v="900"/>
    <x v="100"/>
    <s v="Sports &amp; Recreation"/>
    <n v="10.132922049221957"/>
    <s v="Satisfied"/>
    <n v="10"/>
  </r>
  <r>
    <d v="2019-03-22T09:34:24"/>
    <s v="19-4549"/>
    <s v="P020"/>
    <x v="17"/>
    <n v="180"/>
    <n v="45"/>
    <n v="180"/>
    <n v="45"/>
    <n v="135"/>
    <x v="101"/>
    <s v="Sports &amp; Recreation"/>
    <n v="10.816866337473218"/>
    <s v="Satisfied"/>
    <n v="10"/>
  </r>
  <r>
    <d v="2021-01-30T15:17:12"/>
    <s v="21-4714"/>
    <s v="P061"/>
    <x v="11"/>
    <n v="264"/>
    <n v="88"/>
    <n v="4224"/>
    <n v="1408"/>
    <n v="2816"/>
    <x v="102"/>
    <s v="Facilities &amp; Services"/>
    <n v="9.8928038181361391"/>
    <s v="Neither"/>
    <n v="5"/>
  </r>
  <r>
    <d v="2018-08-07T00:51:54"/>
    <s v="18-2308"/>
    <s v="P092"/>
    <x v="3"/>
    <n v="124"/>
    <n v="62"/>
    <n v="496"/>
    <n v="248"/>
    <n v="248"/>
    <x v="103"/>
    <s v="Education"/>
    <n v="14.687857652112591"/>
    <s v="Neither"/>
    <n v="5"/>
  </r>
  <r>
    <d v="2021-10-30T09:33:58"/>
    <s v="21-4999"/>
    <s v="P005"/>
    <x v="13"/>
    <n v="76"/>
    <n v="19"/>
    <n v="760"/>
    <n v="190"/>
    <n v="570"/>
    <x v="59"/>
    <s v="Creative &amp; Technology"/>
    <n v="10.980884286450312"/>
    <s v="Neither"/>
    <n v="5"/>
  </r>
  <r>
    <d v="2021-08-30T04:34:53"/>
    <s v="21-3057"/>
    <s v="P020"/>
    <x v="7"/>
    <n v="180"/>
    <n v="45"/>
    <n v="1980"/>
    <n v="495"/>
    <n v="1485"/>
    <x v="104"/>
    <s v="Facilities &amp; Services"/>
    <n v="11.769293993029555"/>
    <s v="Satisfied"/>
    <n v="10"/>
  </r>
  <r>
    <d v="2019-06-22T03:22:21"/>
    <s v="19-2646"/>
    <s v="P040"/>
    <x v="6"/>
    <n v="160"/>
    <n v="80"/>
    <n v="960"/>
    <n v="480"/>
    <n v="480"/>
    <x v="66"/>
    <s v="Facilities &amp; Services"/>
    <n v="12.172922939334034"/>
    <s v="Neither"/>
    <n v="5"/>
  </r>
  <r>
    <d v="2018-04-06T14:53:02"/>
    <s v="18-2035"/>
    <s v="P088"/>
    <x v="13"/>
    <n v="192"/>
    <n v="96"/>
    <n v="1920"/>
    <n v="960"/>
    <n v="960"/>
    <x v="105"/>
    <s v="Corporate &amp; Professional"/>
    <n v="11.070908141213383"/>
    <s v="Neither"/>
    <n v="5"/>
  </r>
  <r>
    <d v="2020-02-05T21:40:09"/>
    <s v="20-2151"/>
    <s v="P015"/>
    <x v="8"/>
    <n v="176"/>
    <n v="88"/>
    <n v="2464"/>
    <n v="1232"/>
    <n v="1232"/>
    <x v="56"/>
    <s v="Corporate &amp; Professional"/>
    <n v="12.007834550770397"/>
    <s v="Neither"/>
    <n v="5"/>
  </r>
  <r>
    <d v="2019-12-10T04:15:46"/>
    <s v="19-3155"/>
    <s v="P034"/>
    <x v="18"/>
    <n v="114"/>
    <n v="57"/>
    <n v="2052"/>
    <n v="1026"/>
    <n v="1026"/>
    <x v="106"/>
    <s v="Facilities &amp; Services"/>
    <n v="13.518413464873573"/>
    <s v="Neither"/>
    <n v="5"/>
  </r>
  <r>
    <d v="2020-04-20T12:35:23"/>
    <s v="20-4885"/>
    <s v="P049"/>
    <x v="4"/>
    <n v="356"/>
    <n v="89"/>
    <n v="712"/>
    <n v="178"/>
    <n v="534"/>
    <x v="107"/>
    <s v="Community &amp; Government"/>
    <n v="11.986565560885863"/>
    <s v="Dissatisfied"/>
    <n v="1"/>
  </r>
  <r>
    <d v="2019-12-25T18:35:31"/>
    <s v="19-3600"/>
    <s v="P046"/>
    <x v="3"/>
    <n v="38"/>
    <n v="19"/>
    <n v="152"/>
    <n v="76"/>
    <n v="76"/>
    <x v="108"/>
    <s v="Sports &amp; Recreation"/>
    <n v="11.970975110943924"/>
    <s v="Neither"/>
    <n v="5"/>
  </r>
  <r>
    <d v="2020-10-03T13:58:01"/>
    <s v="20-2180"/>
    <s v="P062"/>
    <x v="18"/>
    <n v="348"/>
    <n v="87"/>
    <n v="6264"/>
    <n v="1566"/>
    <n v="4698"/>
    <x v="109"/>
    <s v="Sports &amp; Recreation"/>
    <n v="13.092530646074781"/>
    <s v="Satisfied"/>
    <n v="10"/>
  </r>
  <r>
    <d v="2019-05-16T01:35:58"/>
    <s v="19-3117"/>
    <s v="P026"/>
    <x v="19"/>
    <n v="280"/>
    <n v="70"/>
    <n v="5320"/>
    <n v="1330"/>
    <n v="3990"/>
    <x v="110"/>
    <s v="Sports &amp; Recreation"/>
    <n v="14.690198582365463"/>
    <s v="Satisfied"/>
    <n v="10"/>
  </r>
  <r>
    <d v="2020-06-10T05:10:17"/>
    <s v="20-4317"/>
    <s v="P009"/>
    <x v="0"/>
    <n v="255"/>
    <n v="85"/>
    <n v="3825"/>
    <n v="1275"/>
    <n v="2550"/>
    <x v="111"/>
    <s v="Sports &amp; Recreation"/>
    <n v="12.342715162719054"/>
    <s v="Satisfied"/>
    <n v="10"/>
  </r>
  <r>
    <d v="2019-04-28T02:13:48"/>
    <s v="19-3042"/>
    <s v="P029"/>
    <x v="9"/>
    <n v="300"/>
    <n v="75"/>
    <n v="6000"/>
    <n v="1500"/>
    <n v="4500"/>
    <x v="92"/>
    <s v="Education"/>
    <n v="11.99399163482429"/>
    <s v="Satisfied"/>
    <n v="10"/>
  </r>
  <r>
    <d v="2020-12-18T13:31:44"/>
    <s v="20-3661"/>
    <s v="P072"/>
    <x v="8"/>
    <n v="132"/>
    <n v="44"/>
    <n v="1848"/>
    <n v="616"/>
    <n v="1232"/>
    <x v="72"/>
    <s v="Community &amp; Government"/>
    <n v="15.458859683514467"/>
    <s v="Neither"/>
    <n v="5"/>
  </r>
  <r>
    <d v="2023-06-13T22:00:40"/>
    <s v="23-1793"/>
    <s v="P010"/>
    <x v="4"/>
    <n v="144"/>
    <n v="36"/>
    <n v="288"/>
    <n v="72"/>
    <n v="216"/>
    <x v="112"/>
    <s v="Creative &amp; Technology"/>
    <n v="12.004541523616258"/>
    <s v="Neither"/>
    <n v="5"/>
  </r>
  <r>
    <d v="2019-06-21T03:10:57"/>
    <s v="19-4497"/>
    <s v="P099"/>
    <x v="15"/>
    <n v="132"/>
    <n v="33"/>
    <n v="2244"/>
    <n v="561"/>
    <n v="1683"/>
    <x v="3"/>
    <s v="Facilities &amp; Services"/>
    <n v="10.06992029407844"/>
    <s v="Neither"/>
    <n v="5"/>
  </r>
  <r>
    <d v="2020-04-08T14:46:05"/>
    <s v="20-3267"/>
    <s v="P006"/>
    <x v="4"/>
    <n v="38"/>
    <n v="19"/>
    <n v="76"/>
    <n v="38"/>
    <n v="38"/>
    <x v="47"/>
    <s v="Healthcare &amp; Safety"/>
    <n v="11.727497850343074"/>
    <s v="Neither"/>
    <n v="5"/>
  </r>
  <r>
    <d v="2020-11-07T22:07:12"/>
    <s v="20-4268"/>
    <s v="P055"/>
    <x v="11"/>
    <n v="360"/>
    <n v="90"/>
    <n v="5760"/>
    <n v="1440"/>
    <n v="4320"/>
    <x v="113"/>
    <s v="Community &amp; Government"/>
    <n v="11.655355879643379"/>
    <s v="Neither"/>
    <n v="5"/>
  </r>
  <r>
    <d v="2017-12-31T19:14:33"/>
    <s v="17-2848"/>
    <s v="P018"/>
    <x v="18"/>
    <n v="108"/>
    <n v="54"/>
    <n v="1944"/>
    <n v="972"/>
    <n v="972"/>
    <x v="114"/>
    <s v="Healthcare &amp; Safety"/>
    <n v="14.423322704129969"/>
    <s v="Neither"/>
    <n v="5"/>
  </r>
  <r>
    <d v="2020-07-26T20:13:33"/>
    <s v="20-3024"/>
    <s v="P034"/>
    <x v="3"/>
    <n v="114"/>
    <n v="57"/>
    <n v="456"/>
    <n v="228"/>
    <n v="228"/>
    <x v="115"/>
    <s v="Sports &amp; Recreation"/>
    <n v="11.416048240262977"/>
    <s v="Neither"/>
    <n v="5"/>
  </r>
  <r>
    <d v="2019-12-04T08:40:15"/>
    <s v="19-2337"/>
    <s v="P043"/>
    <x v="18"/>
    <n v="184"/>
    <n v="92"/>
    <n v="3312"/>
    <n v="1656"/>
    <n v="1656"/>
    <x v="116"/>
    <s v="Education"/>
    <n v="12.299779975023837"/>
    <s v="Neither"/>
    <n v="5"/>
  </r>
  <r>
    <d v="2019-08-03T05:57:30"/>
    <s v="19-1157"/>
    <s v="P085"/>
    <x v="16"/>
    <n v="320"/>
    <n v="80"/>
    <n v="2880"/>
    <n v="720"/>
    <n v="2160"/>
    <x v="117"/>
    <s v="Corporate &amp; Professional"/>
    <n v="11.687634894637348"/>
    <s v="Satisfied"/>
    <n v="10"/>
  </r>
  <r>
    <d v="2018-12-06T22:37:03"/>
    <s v="18-3334"/>
    <s v="P016"/>
    <x v="13"/>
    <n v="110"/>
    <n v="55"/>
    <n v="1100"/>
    <n v="550"/>
    <n v="550"/>
    <x v="118"/>
    <s v="Community &amp; Government"/>
    <n v="15.60430546146185"/>
    <s v="Neither"/>
    <n v="5"/>
  </r>
  <r>
    <d v="2018-01-12T13:08:35"/>
    <s v="18-2724"/>
    <s v="P062"/>
    <x v="4"/>
    <n v="348"/>
    <n v="87"/>
    <n v="696"/>
    <n v="174"/>
    <n v="522"/>
    <x v="105"/>
    <s v="Corporate &amp; Professional"/>
    <n v="11.070908141213383"/>
    <s v="Neither"/>
    <n v="5"/>
  </r>
  <r>
    <d v="2018-12-09T19:41:57"/>
    <s v="18-3939"/>
    <s v="P032"/>
    <x v="5"/>
    <n v="92"/>
    <n v="46"/>
    <n v="276"/>
    <n v="138"/>
    <n v="138"/>
    <x v="48"/>
    <s v="Creative &amp; Technology"/>
    <n v="11.939773463335372"/>
    <s v="Neither"/>
    <n v="5"/>
  </r>
  <r>
    <d v="2017-12-04T16:14:06"/>
    <s v="17-3471"/>
    <s v="P047"/>
    <x v="3"/>
    <n v="72"/>
    <n v="36"/>
    <n v="288"/>
    <n v="144"/>
    <n v="144"/>
    <x v="119"/>
    <s v="Education"/>
    <n v="12.456740895640767"/>
    <s v="Neither"/>
    <n v="5"/>
  </r>
  <r>
    <d v="2017-08-21T07:04:39"/>
    <s v="17-1392"/>
    <s v="P013"/>
    <x v="11"/>
    <n v="58"/>
    <n v="29"/>
    <n v="928"/>
    <n v="464"/>
    <n v="464"/>
    <x v="1"/>
    <s v="Corporate &amp; Professional"/>
    <n v="13.299525114817991"/>
    <s v="Satisfied"/>
    <n v="10"/>
  </r>
  <r>
    <d v="2022-02-10T15:56:09"/>
    <s v="22-2366"/>
    <s v="P018"/>
    <x v="5"/>
    <n v="108"/>
    <n v="54"/>
    <n v="324"/>
    <n v="162"/>
    <n v="162"/>
    <x v="9"/>
    <s v="Sports &amp; Recreation"/>
    <n v="15.602184182549776"/>
    <s v="Satisfied"/>
    <n v="10"/>
  </r>
  <r>
    <d v="2021-03-16T13:35:32"/>
    <s v="21-4989"/>
    <s v="P038"/>
    <x v="17"/>
    <n v="240"/>
    <n v="80"/>
    <n v="240"/>
    <n v="80"/>
    <n v="160"/>
    <x v="120"/>
    <s v="Education"/>
    <n v="9.4239783062860578"/>
    <s v="Neither"/>
    <n v="5"/>
  </r>
  <r>
    <d v="2019-12-11T03:49:16"/>
    <s v="19-2707"/>
    <s v="P075"/>
    <x v="15"/>
    <n v="160"/>
    <n v="80"/>
    <n v="2720"/>
    <n v="1360"/>
    <n v="1360"/>
    <x v="27"/>
    <s v="Healthcare &amp; Safety"/>
    <n v="10.42743035829395"/>
    <s v="Neither"/>
    <n v="5"/>
  </r>
  <r>
    <d v="2020-11-25T10:01:29"/>
    <s v="20-2206"/>
    <s v="P079"/>
    <x v="3"/>
    <n v="188"/>
    <n v="94"/>
    <n v="752"/>
    <n v="376"/>
    <n v="376"/>
    <x v="121"/>
    <s v="Creative &amp; Technology"/>
    <n v="11.394777319422785"/>
    <s v="Satisfied"/>
    <n v="10"/>
  </r>
  <r>
    <d v="2020-08-23T22:29:51"/>
    <s v="20-1071"/>
    <s v="P019"/>
    <x v="5"/>
    <n v="308"/>
    <n v="77"/>
    <n v="924"/>
    <n v="231"/>
    <n v="693"/>
    <x v="9"/>
    <s v="Sports &amp; Recreation"/>
    <n v="15.602184182549776"/>
    <s v="Dissatisfied"/>
    <n v="1"/>
  </r>
  <r>
    <d v="2019-09-06T20:28:04"/>
    <s v="19-3835"/>
    <s v="P006"/>
    <x v="7"/>
    <n v="38"/>
    <n v="19"/>
    <n v="418"/>
    <n v="209"/>
    <n v="209"/>
    <x v="68"/>
    <s v="Sports &amp; Recreation"/>
    <n v="12.200533931675887"/>
    <s v="Neither"/>
    <n v="5"/>
  </r>
  <r>
    <d v="2020-06-14T12:55:34"/>
    <s v="20-2984"/>
    <s v="P069"/>
    <x v="18"/>
    <n v="150"/>
    <n v="75"/>
    <n v="2700"/>
    <n v="1350"/>
    <n v="1350"/>
    <x v="17"/>
    <s v="Education"/>
    <n v="9.8238489437106278"/>
    <s v="Neither"/>
    <n v="5"/>
  </r>
  <r>
    <d v="2019-05-15T01:48:50"/>
    <s v="19-3790"/>
    <s v="P094"/>
    <x v="0"/>
    <n v="80"/>
    <n v="20"/>
    <n v="1200"/>
    <n v="300"/>
    <n v="900"/>
    <x v="122"/>
    <s v="Creative &amp; Technology"/>
    <n v="11.082295381980092"/>
    <s v="Neither"/>
    <n v="5"/>
  </r>
  <r>
    <d v="2021-03-08T08:37:59"/>
    <s v="21-2621"/>
    <s v="P005"/>
    <x v="11"/>
    <n v="76"/>
    <n v="19"/>
    <n v="1216"/>
    <n v="304"/>
    <n v="912"/>
    <x v="123"/>
    <s v="Facilities &amp; Services"/>
    <n v="9.1877733607656964"/>
    <s v="Satisfied"/>
    <n v="10"/>
  </r>
  <r>
    <d v="2020-07-02T12:34:23"/>
    <s v="20-4827"/>
    <s v="P070"/>
    <x v="10"/>
    <n v="84"/>
    <n v="21"/>
    <n v="420"/>
    <n v="105"/>
    <n v="315"/>
    <x v="124"/>
    <s v="Sports &amp; Recreation"/>
    <n v="13.115597690631557"/>
    <s v="Neither"/>
    <n v="5"/>
  </r>
  <r>
    <d v="2019-04-16T02:30:09"/>
    <s v="19-1064"/>
    <s v="P064"/>
    <x v="18"/>
    <n v="231"/>
    <n v="77"/>
    <n v="4158"/>
    <n v="1386"/>
    <n v="2772"/>
    <x v="125"/>
    <s v="Sports &amp; Recreation"/>
    <n v="12.682358648534777"/>
    <s v="Neither"/>
    <n v="5"/>
  </r>
  <r>
    <d v="2019-12-02T23:18:01"/>
    <s v="19-2869"/>
    <s v="P054"/>
    <x v="3"/>
    <n v="144"/>
    <n v="48"/>
    <n v="576"/>
    <n v="192"/>
    <n v="384"/>
    <x v="85"/>
    <s v="Creative &amp; Technology"/>
    <n v="10.570474361325047"/>
    <s v="Dissatisfied"/>
    <n v="1"/>
  </r>
  <r>
    <d v="2018-01-21T15:39:44"/>
    <s v="18-1888"/>
    <s v="P098"/>
    <x v="3"/>
    <n v="201"/>
    <n v="67"/>
    <n v="804"/>
    <n v="268"/>
    <n v="536"/>
    <x v="126"/>
    <s v="Creative &amp; Technology"/>
    <n v="12.399050786131125"/>
    <s v="Satisfied"/>
    <n v="10"/>
  </r>
  <r>
    <d v="2020-07-28T19:44:11"/>
    <s v="20-2056"/>
    <s v="P018"/>
    <x v="11"/>
    <n v="108"/>
    <n v="54"/>
    <n v="1728"/>
    <n v="864"/>
    <n v="864"/>
    <x v="127"/>
    <s v="Facilities &amp; Services"/>
    <n v="11.644564584314265"/>
    <s v="Dissatisfied"/>
    <n v="1"/>
  </r>
  <r>
    <d v="2018-12-02T05:46:48"/>
    <s v="18-3514"/>
    <s v="P077"/>
    <x v="10"/>
    <n v="162"/>
    <n v="54"/>
    <n v="810"/>
    <n v="270"/>
    <n v="540"/>
    <x v="128"/>
    <s v="Healthcare &amp; Safety"/>
    <n v="10.96230865592911"/>
    <s v="Neither"/>
    <n v="5"/>
  </r>
  <r>
    <d v="2020-05-21T09:58:14"/>
    <s v="20-2427"/>
    <s v="P096"/>
    <x v="10"/>
    <n v="144"/>
    <n v="48"/>
    <n v="720"/>
    <n v="240"/>
    <n v="480"/>
    <x v="129"/>
    <s v="Community &amp; Government"/>
    <n v="10.813269600021069"/>
    <s v="Neither"/>
    <n v="5"/>
  </r>
  <r>
    <d v="2019-05-15T08:28:08"/>
    <s v="19-3810"/>
    <s v="P074"/>
    <x v="7"/>
    <n v="352"/>
    <n v="88"/>
    <n v="3872"/>
    <n v="968"/>
    <n v="2904"/>
    <x v="130"/>
    <s v="Healthcare &amp; Safety"/>
    <n v="13.923194761258239"/>
    <s v="Neither"/>
    <n v="5"/>
  </r>
  <r>
    <d v="2019-09-20T22:39:02"/>
    <s v="19-1464"/>
    <s v="P061"/>
    <x v="19"/>
    <n v="264"/>
    <n v="88"/>
    <n v="5016"/>
    <n v="1672"/>
    <n v="3344"/>
    <x v="118"/>
    <s v="Community &amp; Government"/>
    <n v="15.60430546146185"/>
    <s v="Neither"/>
    <n v="5"/>
  </r>
  <r>
    <d v="2020-07-11T01:03:25"/>
    <s v="20-1847"/>
    <s v="P025"/>
    <x v="10"/>
    <n v="210"/>
    <n v="70"/>
    <n v="1050"/>
    <n v="350"/>
    <n v="700"/>
    <x v="131"/>
    <s v="Corporate &amp; Professional"/>
    <n v="11.701919153133453"/>
    <s v="Neither"/>
    <n v="5"/>
  </r>
  <r>
    <d v="2021-03-20T23:15:51"/>
    <s v="21-2812"/>
    <s v="P058"/>
    <x v="10"/>
    <n v="356"/>
    <n v="89"/>
    <n v="1780"/>
    <n v="445"/>
    <n v="1335"/>
    <x v="132"/>
    <s v="Education"/>
    <n v="13.857835104514242"/>
    <s v="Neither"/>
    <n v="5"/>
  </r>
  <r>
    <d v="2020-07-15T23:18:27"/>
    <s v="20-1826"/>
    <s v="P014"/>
    <x v="15"/>
    <n v="166"/>
    <n v="83"/>
    <n v="2822"/>
    <n v="1411"/>
    <n v="1411"/>
    <x v="77"/>
    <s v="Facilities &amp; Services"/>
    <n v="12.514998090845811"/>
    <s v="Satisfied"/>
    <n v="10"/>
  </r>
  <r>
    <d v="2020-04-25T15:02:49"/>
    <s v="20-2642"/>
    <s v="P026"/>
    <x v="9"/>
    <n v="280"/>
    <n v="70"/>
    <n v="5600"/>
    <n v="1400"/>
    <n v="4200"/>
    <x v="133"/>
    <s v="Corporate &amp; Professional"/>
    <n v="5.9872353338051019"/>
    <s v="Neither"/>
    <n v="5"/>
  </r>
  <r>
    <d v="2022-04-05T18:27:30"/>
    <s v="22-4653"/>
    <s v="P088"/>
    <x v="3"/>
    <n v="192"/>
    <n v="96"/>
    <n v="768"/>
    <n v="384"/>
    <n v="384"/>
    <x v="43"/>
    <s v="Corporate &amp; Professional"/>
    <n v="15.121383064708469"/>
    <s v="Neither"/>
    <n v="5"/>
  </r>
  <r>
    <d v="2020-03-31T16:04:00"/>
    <s v="20-3327"/>
    <s v="P071"/>
    <x v="14"/>
    <n v="210"/>
    <n v="70"/>
    <n v="2520"/>
    <n v="840"/>
    <n v="1680"/>
    <x v="134"/>
    <s v="Sports &amp; Recreation"/>
    <n v="12.532428411174646"/>
    <s v="Neither"/>
    <n v="5"/>
  </r>
  <r>
    <d v="2020-06-02T09:02:45"/>
    <s v="20-4208"/>
    <s v="P067"/>
    <x v="13"/>
    <n v="144"/>
    <n v="36"/>
    <n v="1440"/>
    <n v="360"/>
    <n v="1080"/>
    <x v="135"/>
    <s v="Corporate &amp; Professional"/>
    <n v="10.408704992688252"/>
    <s v="Neither"/>
    <n v="5"/>
  </r>
  <r>
    <d v="2021-09-24T16:07:19"/>
    <s v="21-1637"/>
    <s v="P086"/>
    <x v="0"/>
    <n v="352"/>
    <n v="88"/>
    <n v="5280"/>
    <n v="1320"/>
    <n v="3960"/>
    <x v="136"/>
    <s v="Creative &amp; Technology"/>
    <n v="16.429355109701351"/>
    <s v="Dissatisfied"/>
    <n v="1"/>
  </r>
  <r>
    <d v="2021-03-12T07:31:12"/>
    <s v="21-1449"/>
    <s v="P021"/>
    <x v="12"/>
    <n v="207"/>
    <n v="69"/>
    <n v="1449"/>
    <n v="483"/>
    <n v="966"/>
    <x v="137"/>
    <s v="Facilities &amp; Services"/>
    <n v="15.861056998489449"/>
    <s v="Satisfied"/>
    <n v="10"/>
  </r>
  <r>
    <d v="2021-08-28T13:00:20"/>
    <s v="21-3455"/>
    <s v="P031"/>
    <x v="1"/>
    <n v="146"/>
    <n v="73"/>
    <n v="1168"/>
    <n v="584"/>
    <n v="584"/>
    <x v="138"/>
    <s v="Healthcare &amp; Safety"/>
    <n v="12.85215703546821"/>
    <s v="Neither"/>
    <n v="5"/>
  </r>
  <r>
    <d v="2018-12-29T23:28:56"/>
    <s v="18-2461"/>
    <s v="P049"/>
    <x v="6"/>
    <n v="356"/>
    <n v="89"/>
    <n v="2136"/>
    <n v="534"/>
    <n v="1602"/>
    <x v="139"/>
    <s v="Creative &amp; Technology"/>
    <n v="15.770846827234339"/>
    <s v="Dissatisfied"/>
    <n v="1"/>
  </r>
  <r>
    <d v="2022-10-24T23:30:03"/>
    <s v="22-3574"/>
    <s v="P067"/>
    <x v="15"/>
    <n v="144"/>
    <n v="36"/>
    <n v="2448"/>
    <n v="612"/>
    <n v="1836"/>
    <x v="140"/>
    <s v="Education"/>
    <n v="13.332534707865639"/>
    <s v="Neither"/>
    <n v="5"/>
  </r>
  <r>
    <d v="2021-01-11T08:48:11"/>
    <s v="21-1997"/>
    <s v="P002"/>
    <x v="2"/>
    <n v="144"/>
    <n v="36"/>
    <n v="1872"/>
    <n v="468"/>
    <n v="1404"/>
    <x v="121"/>
    <s v="Creative &amp; Technology"/>
    <n v="11.394777319422785"/>
    <s v="Satisfied"/>
    <n v="10"/>
  </r>
  <r>
    <d v="2019-11-24T00:23:16"/>
    <s v="19-2601"/>
    <s v="P074"/>
    <x v="8"/>
    <n v="352"/>
    <n v="88"/>
    <n v="4928"/>
    <n v="1232"/>
    <n v="3696"/>
    <x v="141"/>
    <s v="Facilities &amp; Services"/>
    <n v="13.104576594826185"/>
    <s v="Satisfied"/>
    <n v="10"/>
  </r>
  <r>
    <d v="2020-08-02T05:50:49"/>
    <s v="20-2078"/>
    <s v="P033"/>
    <x v="16"/>
    <n v="57"/>
    <n v="19"/>
    <n v="513"/>
    <n v="171"/>
    <n v="342"/>
    <x v="142"/>
    <s v="Healthcare &amp; Safety"/>
    <n v="13.574227261506472"/>
    <s v="Neither"/>
    <n v="5"/>
  </r>
  <r>
    <d v="2020-05-17T09:50:14"/>
    <s v="20-2413"/>
    <s v="P095"/>
    <x v="11"/>
    <n v="116"/>
    <n v="29"/>
    <n v="1856"/>
    <n v="464"/>
    <n v="1392"/>
    <x v="87"/>
    <s v="Education"/>
    <n v="11.710935611749917"/>
    <s v="Neither"/>
    <n v="5"/>
  </r>
  <r>
    <d v="2020-05-04T07:17:00"/>
    <s v="20-3779"/>
    <s v="P033"/>
    <x v="7"/>
    <n v="57"/>
    <n v="19"/>
    <n v="627"/>
    <n v="209"/>
    <n v="418"/>
    <x v="109"/>
    <s v="Sports &amp; Recreation"/>
    <n v="13.092530646074781"/>
    <s v="Satisfied"/>
    <n v="10"/>
  </r>
  <r>
    <d v="2022-04-11T18:38:36"/>
    <s v="22-2767"/>
    <s v="P100"/>
    <x v="6"/>
    <n v="46"/>
    <n v="23"/>
    <n v="276"/>
    <n v="138"/>
    <n v="138"/>
    <x v="5"/>
    <s v="Healthcare &amp; Safety"/>
    <n v="12.169266722245851"/>
    <s v="Neither"/>
    <n v="5"/>
  </r>
  <r>
    <d v="2021-02-07T20:55:28"/>
    <s v="21-4095"/>
    <s v="P055"/>
    <x v="18"/>
    <n v="360"/>
    <n v="90"/>
    <n v="6480"/>
    <n v="1620"/>
    <n v="4860"/>
    <x v="1"/>
    <s v="Corporate &amp; Professional"/>
    <n v="13.299525114817991"/>
    <s v="Satisfied"/>
    <n v="10"/>
  </r>
  <r>
    <d v="2020-07-17T06:07:10"/>
    <s v="20-4148"/>
    <s v="P086"/>
    <x v="18"/>
    <n v="352"/>
    <n v="88"/>
    <n v="6336"/>
    <n v="1584"/>
    <n v="4752"/>
    <x v="29"/>
    <s v="Facilities &amp; Services"/>
    <n v="15.487214309603928"/>
    <s v="Neither"/>
    <n v="5"/>
  </r>
  <r>
    <d v="2021-11-12T09:47:44"/>
    <s v="21-2616"/>
    <s v="P005"/>
    <x v="19"/>
    <n v="76"/>
    <n v="19"/>
    <n v="1444"/>
    <n v="361"/>
    <n v="1083"/>
    <x v="143"/>
    <s v="Community &amp; Government"/>
    <n v="12.732640267350657"/>
    <s v="Neither"/>
    <n v="5"/>
  </r>
  <r>
    <d v="2020-02-04T22:38:27"/>
    <s v="20-1008"/>
    <s v="P002"/>
    <x v="8"/>
    <n v="144"/>
    <n v="36"/>
    <n v="2016"/>
    <n v="504"/>
    <n v="1512"/>
    <x v="44"/>
    <s v="Corporate &amp; Professional"/>
    <n v="9.9311000381363836"/>
    <s v="Dissatisfied"/>
    <n v="1"/>
  </r>
  <r>
    <d v="2020-01-15T16:06:12"/>
    <s v="20-3702"/>
    <s v="P062"/>
    <x v="3"/>
    <n v="348"/>
    <n v="87"/>
    <n v="1392"/>
    <n v="348"/>
    <n v="1044"/>
    <x v="11"/>
    <s v="Creative &amp; Technology"/>
    <n v="8.2871811249429097"/>
    <s v="Neither"/>
    <n v="5"/>
  </r>
  <r>
    <d v="2020-05-12T07:00:42"/>
    <s v="20-4236"/>
    <s v="P025"/>
    <x v="13"/>
    <n v="210"/>
    <n v="70"/>
    <n v="2100"/>
    <n v="700"/>
    <n v="1400"/>
    <x v="144"/>
    <s v="Education"/>
    <n v="16.368863536738775"/>
    <s v="Dissatisfied"/>
    <n v="1"/>
  </r>
  <r>
    <d v="2019-08-25T14:22:08"/>
    <s v="19-4805"/>
    <s v="P012"/>
    <x v="9"/>
    <n v="30"/>
    <n v="15"/>
    <n v="600"/>
    <n v="300"/>
    <n v="300"/>
    <x v="13"/>
    <s v="Sports &amp; Recreation"/>
    <n v="12.163730387337393"/>
    <s v="Neither"/>
    <n v="5"/>
  </r>
  <r>
    <d v="2020-07-25T19:48:56"/>
    <s v="20-3610"/>
    <s v="P061"/>
    <x v="16"/>
    <n v="264"/>
    <n v="88"/>
    <n v="2376"/>
    <n v="792"/>
    <n v="1584"/>
    <x v="145"/>
    <s v="Sports &amp; Recreation"/>
    <n v="7.9963422143733238"/>
    <s v="Neither"/>
    <n v="5"/>
  </r>
  <r>
    <d v="2017-11-13T07:54:03"/>
    <s v="17-2067"/>
    <s v="P055"/>
    <x v="11"/>
    <n v="360"/>
    <n v="90"/>
    <n v="5760"/>
    <n v="1440"/>
    <n v="4320"/>
    <x v="146"/>
    <s v="Creative &amp; Technology"/>
    <n v="10.764293826791503"/>
    <s v="Satisfied"/>
    <n v="10"/>
  </r>
  <r>
    <d v="2022-04-24T04:12:51"/>
    <s v="22-1438"/>
    <s v="P056"/>
    <x v="4"/>
    <n v="72"/>
    <n v="36"/>
    <n v="144"/>
    <n v="72"/>
    <n v="72"/>
    <x v="147"/>
    <s v="Corporate &amp; Professional"/>
    <n v="9.629298039722805"/>
    <s v="Neither"/>
    <n v="5"/>
  </r>
  <r>
    <d v="2020-01-20T10:19:44"/>
    <s v="20-4984"/>
    <s v="P065"/>
    <x v="11"/>
    <n v="50"/>
    <n v="25"/>
    <n v="800"/>
    <n v="400"/>
    <n v="400"/>
    <x v="103"/>
    <s v="Education"/>
    <n v="14.687857652112591"/>
    <s v="Neither"/>
    <n v="5"/>
  </r>
  <r>
    <d v="2023-12-15T19:42:44"/>
    <s v="23-1444"/>
    <s v="P029"/>
    <x v="4"/>
    <n v="300"/>
    <n v="75"/>
    <n v="600"/>
    <n v="150"/>
    <n v="450"/>
    <x v="148"/>
    <s v="Healthcare &amp; Safety"/>
    <n v="14.845213075061906"/>
    <s v="Neither"/>
    <n v="5"/>
  </r>
  <r>
    <d v="2021-07-11T05:16:25"/>
    <s v="21-2375"/>
    <s v="P044"/>
    <x v="5"/>
    <n v="368"/>
    <n v="92"/>
    <n v="1104"/>
    <n v="276"/>
    <n v="828"/>
    <x v="28"/>
    <s v="Sports &amp; Recreation"/>
    <n v="11.006397834696006"/>
    <s v="Satisfied"/>
    <n v="10"/>
  </r>
  <r>
    <d v="2019-04-18T12:02:39"/>
    <s v="19-4448"/>
    <s v="P078"/>
    <x v="6"/>
    <n v="225"/>
    <n v="75"/>
    <n v="1350"/>
    <n v="450"/>
    <n v="900"/>
    <x v="11"/>
    <s v="Creative &amp; Technology"/>
    <n v="8.2871811249429097"/>
    <s v="Neither"/>
    <n v="5"/>
  </r>
  <r>
    <d v="2020-12-11T17:30:38"/>
    <s v="20-4014"/>
    <s v="P003"/>
    <x v="10"/>
    <n v="189"/>
    <n v="63"/>
    <n v="945"/>
    <n v="315"/>
    <n v="630"/>
    <x v="56"/>
    <s v="Corporate &amp; Professional"/>
    <n v="12.007834550770397"/>
    <s v="Satisfied"/>
    <n v="10"/>
  </r>
  <r>
    <d v="2021-03-17T20:02:15"/>
    <s v="21-2042"/>
    <s v="P047"/>
    <x v="10"/>
    <n v="72"/>
    <n v="36"/>
    <n v="360"/>
    <n v="180"/>
    <n v="180"/>
    <x v="149"/>
    <s v="Facilities &amp; Services"/>
    <n v="11.311040680082275"/>
    <s v="Dissatisfied"/>
    <n v="1"/>
  </r>
  <r>
    <d v="2020-02-21T07:27:24"/>
    <s v="20-1197"/>
    <s v="P031"/>
    <x v="3"/>
    <n v="146"/>
    <n v="73"/>
    <n v="584"/>
    <n v="292"/>
    <n v="292"/>
    <x v="87"/>
    <s v="Education"/>
    <n v="11.710935611749917"/>
    <s v="Neither"/>
    <n v="5"/>
  </r>
  <r>
    <d v="2020-11-15T00:58:05"/>
    <s v="20-3480"/>
    <s v="P005"/>
    <x v="12"/>
    <n v="76"/>
    <n v="19"/>
    <n v="532"/>
    <n v="133"/>
    <n v="399"/>
    <x v="150"/>
    <s v="Education"/>
    <n v="12.889576147248359"/>
    <s v="Neither"/>
    <n v="5"/>
  </r>
  <r>
    <d v="2021-07-16T15:43:23"/>
    <s v="21-2211"/>
    <s v="P011"/>
    <x v="5"/>
    <n v="264"/>
    <n v="88"/>
    <n v="792"/>
    <n v="264"/>
    <n v="528"/>
    <x v="151"/>
    <s v="Sports &amp; Recreation"/>
    <n v="9.458617986208397"/>
    <s v="Satisfied"/>
    <n v="10"/>
  </r>
  <r>
    <d v="2021-05-29T08:17:05"/>
    <s v="21-3344"/>
    <s v="P028"/>
    <x v="9"/>
    <n v="156"/>
    <n v="78"/>
    <n v="3120"/>
    <n v="1560"/>
    <n v="1560"/>
    <x v="152"/>
    <s v="Sports &amp; Recreation"/>
    <n v="11.249825090458803"/>
    <s v="Neither"/>
    <n v="5"/>
  </r>
  <r>
    <d v="2019-04-09T05:41:54"/>
    <s v="19-2305"/>
    <s v="P069"/>
    <x v="1"/>
    <n v="150"/>
    <n v="75"/>
    <n v="1200"/>
    <n v="600"/>
    <n v="600"/>
    <x v="111"/>
    <s v="Sports &amp; Recreation"/>
    <n v="12.342715162719054"/>
    <s v="Dissatisfied"/>
    <n v="1"/>
  </r>
  <r>
    <d v="2020-08-06T08:18:39"/>
    <s v="20-3706"/>
    <s v="P043"/>
    <x v="12"/>
    <n v="184"/>
    <n v="92"/>
    <n v="1288"/>
    <n v="644"/>
    <n v="644"/>
    <x v="153"/>
    <s v="Corporate &amp; Professional"/>
    <n v="11.799431383856128"/>
    <s v="Satisfied"/>
    <n v="10"/>
  </r>
  <r>
    <d v="2017-08-13T21:59:55"/>
    <s v="17-3732"/>
    <s v="P031"/>
    <x v="6"/>
    <n v="146"/>
    <n v="73"/>
    <n v="876"/>
    <n v="438"/>
    <n v="438"/>
    <x v="118"/>
    <s v="Community &amp; Government"/>
    <n v="15.60430546146185"/>
    <s v="Neither"/>
    <n v="5"/>
  </r>
  <r>
    <d v="2021-02-11T00:24:57"/>
    <s v="21-4145"/>
    <s v="P061"/>
    <x v="9"/>
    <n v="264"/>
    <n v="88"/>
    <n v="5280"/>
    <n v="1760"/>
    <n v="3520"/>
    <x v="154"/>
    <s v="Sports &amp; Recreation"/>
    <n v="8.8878868765808274"/>
    <s v="Satisfied"/>
    <n v="10"/>
  </r>
  <r>
    <d v="2023-02-06T11:58:22"/>
    <s v="23-2687"/>
    <s v="P086"/>
    <x v="17"/>
    <n v="352"/>
    <n v="88"/>
    <n v="352"/>
    <n v="88"/>
    <n v="264"/>
    <x v="134"/>
    <s v="Sports &amp; Recreation"/>
    <n v="12.532428411174646"/>
    <s v="Satisfied"/>
    <n v="10"/>
  </r>
  <r>
    <d v="2019-01-13T05:14:24"/>
    <s v="19-3887"/>
    <s v="P041"/>
    <x v="16"/>
    <n v="144"/>
    <n v="36"/>
    <n v="1296"/>
    <n v="324"/>
    <n v="972"/>
    <x v="155"/>
    <s v="Creative &amp; Technology"/>
    <n v="8.0758315802191021"/>
    <s v="Neither"/>
    <n v="5"/>
  </r>
  <r>
    <d v="2021-05-27T22:03:08"/>
    <s v="21-2164"/>
    <s v="P015"/>
    <x v="11"/>
    <n v="176"/>
    <n v="88"/>
    <n v="2816"/>
    <n v="1408"/>
    <n v="1408"/>
    <x v="4"/>
    <s v="Education"/>
    <n v="15.24190997853951"/>
    <s v="Dissatisfied"/>
    <n v="1"/>
  </r>
  <r>
    <d v="2021-11-25T12:13:42"/>
    <s v="21-3205"/>
    <s v="P025"/>
    <x v="14"/>
    <n v="210"/>
    <n v="70"/>
    <n v="2520"/>
    <n v="840"/>
    <n v="1680"/>
    <x v="105"/>
    <s v="Corporate &amp; Professional"/>
    <n v="11.070908141213383"/>
    <s v="Satisfied"/>
    <n v="10"/>
  </r>
  <r>
    <d v="2020-01-13T18:21:28"/>
    <s v="20-1484"/>
    <s v="P056"/>
    <x v="16"/>
    <n v="72"/>
    <n v="36"/>
    <n v="648"/>
    <n v="324"/>
    <n v="324"/>
    <x v="44"/>
    <s v="Corporate &amp; Professional"/>
    <n v="9.9311000381363836"/>
    <s v="Neither"/>
    <n v="5"/>
  </r>
  <r>
    <d v="2018-03-25T07:20:22"/>
    <s v="18-2868"/>
    <s v="P042"/>
    <x v="3"/>
    <n v="50"/>
    <n v="25"/>
    <n v="200"/>
    <n v="100"/>
    <n v="100"/>
    <x v="156"/>
    <s v="Healthcare &amp; Safety"/>
    <n v="12.801144805697081"/>
    <s v="Satisfied"/>
    <n v="10"/>
  </r>
  <r>
    <d v="2021-08-29T17:52:38"/>
    <s v="21-4082"/>
    <s v="P066"/>
    <x v="19"/>
    <n v="34"/>
    <n v="17"/>
    <n v="646"/>
    <n v="323"/>
    <n v="323"/>
    <x v="157"/>
    <s v="Corporate &amp; Professional"/>
    <n v="13.917704159139552"/>
    <s v="Neither"/>
    <n v="5"/>
  </r>
  <r>
    <d v="2018-01-17T04:14:01"/>
    <s v="18-2368"/>
    <s v="P075"/>
    <x v="18"/>
    <n v="160"/>
    <n v="80"/>
    <n v="2880"/>
    <n v="1440"/>
    <n v="1440"/>
    <x v="68"/>
    <s v="Sports &amp; Recreation"/>
    <n v="12.200533931675887"/>
    <s v="Dissatisfied"/>
    <n v="1"/>
  </r>
  <r>
    <d v="2019-09-06T04:26:14"/>
    <s v="19-3355"/>
    <s v="P084"/>
    <x v="1"/>
    <n v="154"/>
    <n v="77"/>
    <n v="1232"/>
    <n v="616"/>
    <n v="616"/>
    <x v="49"/>
    <s v="Creative &amp; Technology"/>
    <n v="11.31221475547909"/>
    <s v="Satisfied"/>
    <n v="10"/>
  </r>
  <r>
    <d v="2022-11-29T15:00:20"/>
    <s v="22-1219"/>
    <s v="P041"/>
    <x v="7"/>
    <n v="144"/>
    <n v="36"/>
    <n v="1584"/>
    <n v="396"/>
    <n v="1188"/>
    <x v="102"/>
    <s v="Facilities &amp; Services"/>
    <n v="9.8928038181361391"/>
    <s v="Satisfied"/>
    <n v="10"/>
  </r>
  <r>
    <d v="2020-03-30T17:38:00"/>
    <s v="20-4084"/>
    <s v="P065"/>
    <x v="11"/>
    <n v="50"/>
    <n v="25"/>
    <n v="800"/>
    <n v="400"/>
    <n v="400"/>
    <x v="106"/>
    <s v="Facilities &amp; Services"/>
    <n v="13.518413464873573"/>
    <s v="Satisfied"/>
    <n v="10"/>
  </r>
  <r>
    <d v="2021-09-09T15:52:12"/>
    <s v="21-1499"/>
    <s v="P052"/>
    <x v="9"/>
    <n v="352"/>
    <n v="88"/>
    <n v="7040"/>
    <n v="1760"/>
    <n v="5280"/>
    <x v="87"/>
    <s v="Education"/>
    <n v="11.710935611749917"/>
    <s v="Satisfied"/>
    <n v="10"/>
  </r>
  <r>
    <d v="2021-02-10T10:44:52"/>
    <s v="21-3828"/>
    <s v="P003"/>
    <x v="14"/>
    <n v="189"/>
    <n v="63"/>
    <n v="2268"/>
    <n v="756"/>
    <n v="1512"/>
    <x v="158"/>
    <s v="Creative &amp; Technology"/>
    <n v="15.207985888346794"/>
    <s v="Neither"/>
    <n v="5"/>
  </r>
  <r>
    <d v="2021-10-31T00:29:47"/>
    <s v="21-1855"/>
    <s v="P058"/>
    <x v="16"/>
    <n v="356"/>
    <n v="89"/>
    <n v="3204"/>
    <n v="801"/>
    <n v="2403"/>
    <x v="140"/>
    <s v="Education"/>
    <n v="13.332534707865639"/>
    <s v="Satisfied"/>
    <n v="10"/>
  </r>
  <r>
    <d v="2016-09-28T07:11:10"/>
    <s v="16-1896"/>
    <s v="P005"/>
    <x v="9"/>
    <n v="76"/>
    <n v="19"/>
    <n v="1520"/>
    <n v="380"/>
    <n v="1140"/>
    <x v="98"/>
    <s v="Creative &amp; Technology"/>
    <n v="15.18789248529443"/>
    <s v="Neither"/>
    <n v="5"/>
  </r>
  <r>
    <d v="2020-02-06T12:57:24"/>
    <s v="20-4662"/>
    <s v="P083"/>
    <x v="16"/>
    <n v="90"/>
    <n v="45"/>
    <n v="810"/>
    <n v="405"/>
    <n v="405"/>
    <x v="159"/>
    <s v="Community &amp; Government"/>
    <n v="13.57003172959007"/>
    <s v="Neither"/>
    <n v="5"/>
  </r>
  <r>
    <d v="2021-04-09T02:31:21"/>
    <s v="21-2733"/>
    <s v="P095"/>
    <x v="5"/>
    <n v="116"/>
    <n v="29"/>
    <n v="348"/>
    <n v="87"/>
    <n v="261"/>
    <x v="69"/>
    <s v="Healthcare &amp; Safety"/>
    <n v="9.3014286057233697"/>
    <s v="Satisfied"/>
    <n v="10"/>
  </r>
  <r>
    <d v="2020-10-19T14:52:35"/>
    <s v="20-3535"/>
    <s v="P092"/>
    <x v="4"/>
    <n v="124"/>
    <n v="62"/>
    <n v="248"/>
    <n v="124"/>
    <n v="124"/>
    <x v="123"/>
    <s v="Facilities &amp; Services"/>
    <n v="9.1877733607656964"/>
    <s v="Neither"/>
    <n v="5"/>
  </r>
  <r>
    <d v="2021-01-09T05:10:21"/>
    <s v="21-4645"/>
    <s v="P056"/>
    <x v="3"/>
    <n v="72"/>
    <n v="36"/>
    <n v="288"/>
    <n v="144"/>
    <n v="144"/>
    <x v="160"/>
    <s v="Creative &amp; Technology"/>
    <n v="8.8514729234790472"/>
    <s v="Neither"/>
    <n v="5"/>
  </r>
  <r>
    <d v="2020-10-11T16:43:32"/>
    <s v="20-3703"/>
    <s v="P097"/>
    <x v="15"/>
    <n v="92"/>
    <n v="46"/>
    <n v="1564"/>
    <n v="782"/>
    <n v="782"/>
    <x v="62"/>
    <s v="Education"/>
    <n v="12.396052160428608"/>
    <s v="Dissatisfied"/>
    <n v="1"/>
  </r>
  <r>
    <d v="2021-04-05T10:22:23"/>
    <s v="21-2629"/>
    <s v="P029"/>
    <x v="11"/>
    <n v="300"/>
    <n v="75"/>
    <n v="4800"/>
    <n v="1200"/>
    <n v="3600"/>
    <x v="106"/>
    <s v="Facilities &amp; Services"/>
    <n v="13.518413464873573"/>
    <s v="Dissatisfied"/>
    <n v="1"/>
  </r>
  <r>
    <d v="2021-04-04T00:25:24"/>
    <s v="21-4282"/>
    <s v="P079"/>
    <x v="16"/>
    <n v="188"/>
    <n v="94"/>
    <n v="1692"/>
    <n v="846"/>
    <n v="846"/>
    <x v="151"/>
    <s v="Sports &amp; Recreation"/>
    <n v="9.458617986208397"/>
    <s v="Neither"/>
    <n v="5"/>
  </r>
  <r>
    <d v="2021-01-25T08:17:36"/>
    <s v="21-2192"/>
    <s v="P090"/>
    <x v="10"/>
    <n v="57"/>
    <n v="19"/>
    <n v="285"/>
    <n v="95"/>
    <n v="190"/>
    <x v="9"/>
    <s v="Sports &amp; Recreation"/>
    <n v="15.602184182549776"/>
    <s v="Satisfied"/>
    <n v="10"/>
  </r>
  <r>
    <d v="2021-02-09T17:42:25"/>
    <s v="21-1654"/>
    <s v="P001"/>
    <x v="0"/>
    <n v="108"/>
    <n v="36"/>
    <n v="1620"/>
    <n v="540"/>
    <n v="1080"/>
    <x v="161"/>
    <s v="Corporate &amp; Professional"/>
    <n v="11.003496633574638"/>
    <s v="Satisfied"/>
    <n v="10"/>
  </r>
  <r>
    <d v="2021-04-17T23:42:06"/>
    <s v="21-1584"/>
    <s v="P079"/>
    <x v="15"/>
    <n v="188"/>
    <n v="94"/>
    <n v="3196"/>
    <n v="1598"/>
    <n v="1598"/>
    <x v="137"/>
    <s v="Facilities &amp; Services"/>
    <n v="15.861056998489449"/>
    <s v="Satisfied"/>
    <n v="10"/>
  </r>
  <r>
    <d v="2019-04-20T09:36:27"/>
    <s v="19-3780"/>
    <s v="P076"/>
    <x v="11"/>
    <n v="94"/>
    <n v="47"/>
    <n v="1504"/>
    <n v="752"/>
    <n v="752"/>
    <x v="162"/>
    <s v="Creative &amp; Technology"/>
    <n v="14.064516999204997"/>
    <s v="Neither"/>
    <n v="5"/>
  </r>
  <r>
    <d v="2020-06-16T13:38:40"/>
    <s v="20-1621"/>
    <s v="P018"/>
    <x v="15"/>
    <n v="108"/>
    <n v="54"/>
    <n v="1836"/>
    <n v="918"/>
    <n v="918"/>
    <x v="97"/>
    <s v="Corporate &amp; Professional"/>
    <n v="12.545140403858928"/>
    <s v="Dissatisfied"/>
    <n v="1"/>
  </r>
  <r>
    <d v="2020-12-04T05:08:20"/>
    <s v="20-2951"/>
    <s v="P065"/>
    <x v="3"/>
    <n v="50"/>
    <n v="25"/>
    <n v="200"/>
    <n v="100"/>
    <n v="100"/>
    <x v="49"/>
    <s v="Creative &amp; Technology"/>
    <n v="11.31221475547909"/>
    <s v="Dissatisfied"/>
    <n v="1"/>
  </r>
  <r>
    <d v="2022-06-20T08:05:01"/>
    <s v="22-3899"/>
    <s v="P014"/>
    <x v="19"/>
    <n v="166"/>
    <n v="83"/>
    <n v="3154"/>
    <n v="1577"/>
    <n v="1577"/>
    <x v="163"/>
    <s v="Corporate &amp; Professional"/>
    <n v="14.554851510602212"/>
    <s v="Satisfied"/>
    <n v="10"/>
  </r>
  <r>
    <d v="2021-09-23T17:13:12"/>
    <s v="21-1633"/>
    <s v="P074"/>
    <x v="12"/>
    <n v="352"/>
    <n v="88"/>
    <n v="2464"/>
    <n v="616"/>
    <n v="1848"/>
    <x v="63"/>
    <s v="Sports &amp; Recreation"/>
    <n v="14.030594525378042"/>
    <s v="Satisfied"/>
    <n v="10"/>
  </r>
  <r>
    <d v="2020-01-20T18:52:31"/>
    <s v="20-2538"/>
    <s v="P063"/>
    <x v="12"/>
    <n v="261"/>
    <n v="87"/>
    <n v="1827"/>
    <n v="609"/>
    <n v="1218"/>
    <x v="164"/>
    <s v="Education"/>
    <n v="10.954865572729823"/>
    <s v="Neither"/>
    <n v="5"/>
  </r>
  <r>
    <d v="2020-04-08T17:06:00"/>
    <s v="20-3996"/>
    <s v="P023"/>
    <x v="17"/>
    <n v="126"/>
    <n v="42"/>
    <n v="126"/>
    <n v="42"/>
    <n v="84"/>
    <x v="36"/>
    <s v="Creative &amp; Technology"/>
    <n v="8.1085102757869372"/>
    <s v="Neither"/>
    <n v="5"/>
  </r>
  <r>
    <d v="2018-11-30T03:14:21"/>
    <s v="18-1412"/>
    <s v="P001"/>
    <x v="7"/>
    <n v="108"/>
    <n v="36"/>
    <n v="1188"/>
    <n v="396"/>
    <n v="792"/>
    <x v="4"/>
    <s v="Education"/>
    <n v="15.24190997853951"/>
    <s v="Satisfied"/>
    <n v="10"/>
  </r>
  <r>
    <d v="2021-06-13T18:06:06"/>
    <s v="21-3431"/>
    <s v="P062"/>
    <x v="10"/>
    <n v="348"/>
    <n v="87"/>
    <n v="1740"/>
    <n v="435"/>
    <n v="1305"/>
    <x v="165"/>
    <s v="Creative &amp; Technology"/>
    <n v="13.929237493388955"/>
    <s v="Neither"/>
    <n v="5"/>
  </r>
  <r>
    <d v="2020-12-02T15:36:21"/>
    <s v="20-4752"/>
    <s v="P059"/>
    <x v="10"/>
    <n v="267"/>
    <n v="89"/>
    <n v="1335"/>
    <n v="445"/>
    <n v="890"/>
    <x v="166"/>
    <s v="Healthcare &amp; Safety"/>
    <n v="10.112765954734209"/>
    <s v="Neither"/>
    <n v="5"/>
  </r>
  <r>
    <d v="2019-03-01T01:58:05"/>
    <s v="19-1545"/>
    <s v="P068"/>
    <x v="15"/>
    <n v="300"/>
    <n v="75"/>
    <n v="5100"/>
    <n v="1275"/>
    <n v="3825"/>
    <x v="167"/>
    <s v="Healthcare &amp; Safety"/>
    <n v="16.695690968264284"/>
    <s v="Neither"/>
    <n v="5"/>
  </r>
  <r>
    <d v="2019-05-14T15:11:48"/>
    <s v="19-4025"/>
    <s v="P029"/>
    <x v="5"/>
    <n v="300"/>
    <n v="75"/>
    <n v="900"/>
    <n v="225"/>
    <n v="675"/>
    <x v="160"/>
    <s v="Creative &amp; Technology"/>
    <n v="8.8514729234790472"/>
    <s v="Dissatisfied"/>
    <n v="1"/>
  </r>
  <r>
    <d v="2021-03-16T17:12:31"/>
    <s v="21-1825"/>
    <s v="P071"/>
    <x v="11"/>
    <n v="210"/>
    <n v="70"/>
    <n v="3360"/>
    <n v="1120"/>
    <n v="2240"/>
    <x v="121"/>
    <s v="Creative &amp; Technology"/>
    <n v="11.394777319422785"/>
    <s v="Satisfied"/>
    <n v="10"/>
  </r>
  <r>
    <d v="2020-03-18T07:56:49"/>
    <s v="20-2208"/>
    <s v="P033"/>
    <x v="1"/>
    <n v="57"/>
    <n v="19"/>
    <n v="456"/>
    <n v="152"/>
    <n v="304"/>
    <x v="168"/>
    <s v="Healthcare &amp; Safety"/>
    <n v="9.74650548941427"/>
    <s v="Satisfied"/>
    <n v="10"/>
  </r>
  <r>
    <d v="2020-08-07T09:14:04"/>
    <s v="20-1495"/>
    <s v="P095"/>
    <x v="16"/>
    <n v="116"/>
    <n v="29"/>
    <n v="1044"/>
    <n v="261"/>
    <n v="783"/>
    <x v="51"/>
    <s v="Facilities &amp; Services"/>
    <n v="10.523527521613014"/>
    <s v="Neither"/>
    <n v="5"/>
  </r>
  <r>
    <d v="2021-06-07T06:22:53"/>
    <s v="21-2686"/>
    <s v="P052"/>
    <x v="16"/>
    <n v="352"/>
    <n v="88"/>
    <n v="3168"/>
    <n v="792"/>
    <n v="2376"/>
    <x v="169"/>
    <s v="Healthcare &amp; Safety"/>
    <n v="14.341195386574373"/>
    <s v="Satisfied"/>
    <n v="10"/>
  </r>
  <r>
    <d v="2022-01-03T21:41:48"/>
    <s v="22-1736"/>
    <s v="P078"/>
    <x v="17"/>
    <n v="225"/>
    <n v="75"/>
    <n v="225"/>
    <n v="75"/>
    <n v="150"/>
    <x v="170"/>
    <s v="Sports &amp; Recreation"/>
    <n v="10.037135914792184"/>
    <s v="Dissatisfied"/>
    <n v="1"/>
  </r>
  <r>
    <d v="2020-03-26T18:11:51"/>
    <s v="20-1322"/>
    <s v="P048"/>
    <x v="3"/>
    <n v="252"/>
    <n v="63"/>
    <n v="1008"/>
    <n v="252"/>
    <n v="756"/>
    <x v="151"/>
    <s v="Sports &amp; Recreation"/>
    <n v="9.458617986208397"/>
    <s v="Neither"/>
    <n v="5"/>
  </r>
  <r>
    <d v="2021-03-08T20:53:21"/>
    <s v="21-4296"/>
    <s v="P076"/>
    <x v="8"/>
    <n v="94"/>
    <n v="47"/>
    <n v="1316"/>
    <n v="658"/>
    <n v="658"/>
    <x v="37"/>
    <s v="Corporate &amp; Professional"/>
    <n v="11.749038185128619"/>
    <s v="Neither"/>
    <n v="5"/>
  </r>
  <r>
    <d v="2018-03-04T07:16:37"/>
    <s v="18-2592"/>
    <s v="P093"/>
    <x v="5"/>
    <n v="384"/>
    <n v="96"/>
    <n v="1152"/>
    <n v="288"/>
    <n v="864"/>
    <x v="171"/>
    <s v="Education"/>
    <n v="11.808681852148307"/>
    <s v="Neither"/>
    <n v="5"/>
  </r>
  <r>
    <d v="2018-01-10T15:12:48"/>
    <s v="18-3033"/>
    <s v="P059"/>
    <x v="16"/>
    <n v="267"/>
    <n v="89"/>
    <n v="2403"/>
    <n v="801"/>
    <n v="1602"/>
    <x v="172"/>
    <s v="Healthcare &amp; Safety"/>
    <n v="11.563724686003232"/>
    <s v="Satisfied"/>
    <n v="10"/>
  </r>
  <r>
    <d v="2019-08-16T03:54:13"/>
    <s v="19-2988"/>
    <s v="P028"/>
    <x v="9"/>
    <n v="156"/>
    <n v="78"/>
    <n v="3120"/>
    <n v="1560"/>
    <n v="1560"/>
    <x v="147"/>
    <s v="Corporate &amp; Professional"/>
    <n v="9.629298039722805"/>
    <s v="Neither"/>
    <n v="5"/>
  </r>
  <r>
    <d v="2022-03-21T20:41:49"/>
    <s v="22-1925"/>
    <s v="P039"/>
    <x v="0"/>
    <n v="270"/>
    <n v="90"/>
    <n v="4050"/>
    <n v="1350"/>
    <n v="2700"/>
    <x v="173"/>
    <s v="Education"/>
    <n v="12.147202500273634"/>
    <s v="Dissatisfied"/>
    <n v="1"/>
  </r>
  <r>
    <d v="2020-04-01T20:03:23"/>
    <s v="20-4953"/>
    <s v="P015"/>
    <x v="13"/>
    <n v="176"/>
    <n v="88"/>
    <n v="1760"/>
    <n v="880"/>
    <n v="880"/>
    <x v="174"/>
    <s v="Corporate &amp; Professional"/>
    <n v="12.921682080641304"/>
    <s v="Dissatisfied"/>
    <n v="1"/>
  </r>
  <r>
    <d v="2020-01-15T14:21:24"/>
    <s v="20-1731"/>
    <s v="P002"/>
    <x v="14"/>
    <n v="144"/>
    <n v="36"/>
    <n v="1728"/>
    <n v="432"/>
    <n v="1296"/>
    <x v="83"/>
    <s v="Sports &amp; Recreation"/>
    <n v="11.504886852416154"/>
    <s v="Neither"/>
    <n v="5"/>
  </r>
  <r>
    <d v="2018-02-22T10:35:58"/>
    <s v="18-4692"/>
    <s v="P039"/>
    <x v="4"/>
    <n v="270"/>
    <n v="90"/>
    <n v="540"/>
    <n v="180"/>
    <n v="360"/>
    <x v="143"/>
    <s v="Community &amp; Government"/>
    <n v="12.732640267350657"/>
    <s v="Neither"/>
    <n v="5"/>
  </r>
  <r>
    <d v="2019-01-13T09:02:53"/>
    <s v="19-4399"/>
    <s v="P040"/>
    <x v="3"/>
    <n v="160"/>
    <n v="80"/>
    <n v="640"/>
    <n v="320"/>
    <n v="320"/>
    <x v="151"/>
    <s v="Sports &amp; Recreation"/>
    <n v="9.458617986208397"/>
    <s v="Dissatisfied"/>
    <n v="1"/>
  </r>
  <r>
    <d v="2018-02-06T20:52:15"/>
    <s v="18-1634"/>
    <s v="P063"/>
    <x v="5"/>
    <n v="261"/>
    <n v="87"/>
    <n v="783"/>
    <n v="261"/>
    <n v="522"/>
    <x v="175"/>
    <s v="Creative &amp; Technology"/>
    <n v="13.150536103258979"/>
    <s v="Neither"/>
    <n v="5"/>
  </r>
  <r>
    <d v="2021-06-12T10:04:48"/>
    <s v="21-4314"/>
    <s v="P067"/>
    <x v="6"/>
    <n v="144"/>
    <n v="36"/>
    <n v="864"/>
    <n v="216"/>
    <n v="648"/>
    <x v="176"/>
    <s v="Corporate &amp; Professional"/>
    <n v="11.769937929618399"/>
    <s v="Neither"/>
    <n v="5"/>
  </r>
  <r>
    <d v="2018-10-03T18:11:00"/>
    <s v="18-2546"/>
    <s v="P046"/>
    <x v="14"/>
    <n v="38"/>
    <n v="19"/>
    <n v="456"/>
    <n v="228"/>
    <n v="228"/>
    <x v="5"/>
    <s v="Healthcare &amp; Safety"/>
    <n v="12.169266722245851"/>
    <s v="Neither"/>
    <n v="5"/>
  </r>
  <r>
    <d v="2020-02-03T04:36:39"/>
    <s v="20-1850"/>
    <s v="P029"/>
    <x v="11"/>
    <n v="300"/>
    <n v="75"/>
    <n v="4800"/>
    <n v="1200"/>
    <n v="3600"/>
    <x v="90"/>
    <s v="Healthcare &amp; Safety"/>
    <n v="7.0114620475168028"/>
    <s v="Neither"/>
    <n v="5"/>
  </r>
  <r>
    <d v="2016-10-30T23:18:02"/>
    <s v="16-3460"/>
    <s v="P083"/>
    <x v="4"/>
    <n v="90"/>
    <n v="45"/>
    <n v="180"/>
    <n v="90"/>
    <n v="90"/>
    <x v="177"/>
    <s v="Creative &amp; Technology"/>
    <n v="14.66147716237918"/>
    <s v="Satisfied"/>
    <n v="10"/>
  </r>
  <r>
    <d v="2019-10-10T07:49:36"/>
    <s v="19-4108"/>
    <s v="P021"/>
    <x v="0"/>
    <n v="207"/>
    <n v="69"/>
    <n v="3105"/>
    <n v="1035"/>
    <n v="2070"/>
    <x v="149"/>
    <s v="Facilities &amp; Services"/>
    <n v="11.311040680082275"/>
    <s v="Dissatisfied"/>
    <n v="1"/>
  </r>
  <r>
    <d v="2019-03-29T01:20:40"/>
    <s v="19-3266"/>
    <s v="P080"/>
    <x v="1"/>
    <n v="57"/>
    <n v="19"/>
    <n v="456"/>
    <n v="152"/>
    <n v="304"/>
    <x v="166"/>
    <s v="Healthcare &amp; Safety"/>
    <n v="10.112765954734209"/>
    <s v="Neither"/>
    <n v="5"/>
  </r>
  <r>
    <d v="2020-09-23T17:55:09"/>
    <s v="20-2505"/>
    <s v="P100"/>
    <x v="0"/>
    <n v="46"/>
    <n v="23"/>
    <n v="690"/>
    <n v="345"/>
    <n v="345"/>
    <x v="176"/>
    <s v="Corporate &amp; Professional"/>
    <n v="11.769937929618399"/>
    <s v="Dissatisfied"/>
    <n v="1"/>
  </r>
  <r>
    <d v="2021-01-13T12:13:13"/>
    <s v="21-2421"/>
    <s v="P078"/>
    <x v="9"/>
    <n v="225"/>
    <n v="75"/>
    <n v="4500"/>
    <n v="1500"/>
    <n v="3000"/>
    <x v="173"/>
    <s v="Education"/>
    <n v="12.147202500273634"/>
    <s v="Satisfied"/>
    <n v="10"/>
  </r>
  <r>
    <d v="2018-07-12T07:31:51"/>
    <s v="18-1174"/>
    <s v="P096"/>
    <x v="2"/>
    <n v="144"/>
    <n v="48"/>
    <n v="1872"/>
    <n v="624"/>
    <n v="1248"/>
    <x v="178"/>
    <s v="Education"/>
    <n v="14.760829371220243"/>
    <s v="Satisfied"/>
    <n v="10"/>
  </r>
  <r>
    <d v="2019-10-06T19:23:21"/>
    <s v="19-4268"/>
    <s v="P032"/>
    <x v="14"/>
    <n v="92"/>
    <n v="46"/>
    <n v="1104"/>
    <n v="552"/>
    <n v="552"/>
    <x v="179"/>
    <s v="Creative &amp; Technology"/>
    <n v="12.207242573430314"/>
    <s v="Dissatisfied"/>
    <n v="1"/>
  </r>
  <r>
    <d v="2021-03-11T20:11:00"/>
    <s v="21-1218"/>
    <s v="P081"/>
    <x v="4"/>
    <n v="50"/>
    <n v="25"/>
    <n v="100"/>
    <n v="50"/>
    <n v="50"/>
    <x v="114"/>
    <s v="Healthcare &amp; Safety"/>
    <n v="14.423322704129969"/>
    <s v="Satisfied"/>
    <n v="10"/>
  </r>
  <r>
    <d v="2021-03-14T22:48:49"/>
    <s v="21-4757"/>
    <s v="P082"/>
    <x v="17"/>
    <n v="312"/>
    <n v="78"/>
    <n v="312"/>
    <n v="78"/>
    <n v="234"/>
    <x v="90"/>
    <s v="Healthcare &amp; Safety"/>
    <n v="7.0114620475168028"/>
    <s v="Satisfied"/>
    <n v="10"/>
  </r>
  <r>
    <d v="2022-06-27T14:07:36"/>
    <s v="22-3754"/>
    <s v="P077"/>
    <x v="17"/>
    <n v="162"/>
    <n v="54"/>
    <n v="162"/>
    <n v="54"/>
    <n v="108"/>
    <x v="76"/>
    <s v="Community &amp; Government"/>
    <n v="12.796588406005421"/>
    <s v="Neither"/>
    <n v="5"/>
  </r>
  <r>
    <d v="2020-10-04T19:42:08"/>
    <s v="20-2162"/>
    <s v="P067"/>
    <x v="18"/>
    <n v="144"/>
    <n v="36"/>
    <n v="2592"/>
    <n v="648"/>
    <n v="1944"/>
    <x v="180"/>
    <s v="Community &amp; Government"/>
    <n v="12.045339240427111"/>
    <s v="Neither"/>
    <n v="5"/>
  </r>
  <r>
    <d v="2019-04-03T11:42:48"/>
    <s v="19-4800"/>
    <s v="P076"/>
    <x v="0"/>
    <n v="94"/>
    <n v="47"/>
    <n v="1410"/>
    <n v="705"/>
    <n v="705"/>
    <x v="134"/>
    <s v="Sports &amp; Recreation"/>
    <n v="12.532428411174646"/>
    <s v="Neither"/>
    <n v="5"/>
  </r>
  <r>
    <d v="2021-12-24T07:55:02"/>
    <s v="21-4167"/>
    <s v="P004"/>
    <x v="1"/>
    <n v="189"/>
    <n v="63"/>
    <n v="1512"/>
    <n v="504"/>
    <n v="1008"/>
    <x v="17"/>
    <s v="Education"/>
    <n v="9.8238489437106278"/>
    <s v="Neither"/>
    <n v="5"/>
  </r>
  <r>
    <d v="2021-04-28T20:42:21"/>
    <s v="21-2688"/>
    <s v="P047"/>
    <x v="4"/>
    <n v="72"/>
    <n v="36"/>
    <n v="144"/>
    <n v="72"/>
    <n v="72"/>
    <x v="82"/>
    <s v="Creative &amp; Technology"/>
    <n v="11.883396013219548"/>
    <s v="Neither"/>
    <n v="5"/>
  </r>
  <r>
    <d v="2021-07-18T16:14:56"/>
    <s v="21-3559"/>
    <s v="P049"/>
    <x v="11"/>
    <n v="356"/>
    <n v="89"/>
    <n v="5696"/>
    <n v="1424"/>
    <n v="4272"/>
    <x v="42"/>
    <s v="Community &amp; Government"/>
    <n v="10.216282609482219"/>
    <s v="Neither"/>
    <n v="5"/>
  </r>
  <r>
    <d v="2018-10-21T16:02:22"/>
    <s v="18-2740"/>
    <s v="P025"/>
    <x v="13"/>
    <n v="210"/>
    <n v="70"/>
    <n v="2100"/>
    <n v="700"/>
    <n v="1400"/>
    <x v="167"/>
    <s v="Healthcare &amp; Safety"/>
    <n v="16.695690968264284"/>
    <s v="Satisfied"/>
    <n v="10"/>
  </r>
  <r>
    <d v="2019-06-18T06:38:43"/>
    <s v="19-1004"/>
    <s v="P088"/>
    <x v="14"/>
    <n v="192"/>
    <n v="96"/>
    <n v="2304"/>
    <n v="1152"/>
    <n v="1152"/>
    <x v="55"/>
    <s v="Creative &amp; Technology"/>
    <n v="13.765798454641494"/>
    <s v="Neither"/>
    <n v="5"/>
  </r>
  <r>
    <d v="2018-12-20T02:12:22"/>
    <s v="18-4758"/>
    <s v="P019"/>
    <x v="12"/>
    <n v="308"/>
    <n v="77"/>
    <n v="2156"/>
    <n v="539"/>
    <n v="1617"/>
    <x v="181"/>
    <s v="Sports &amp; Recreation"/>
    <n v="11.072271050116964"/>
    <s v="Neither"/>
    <n v="5"/>
  </r>
  <r>
    <d v="2023-04-26T02:32:55"/>
    <s v="23-4205"/>
    <s v="P083"/>
    <x v="14"/>
    <n v="90"/>
    <n v="45"/>
    <n v="1080"/>
    <n v="540"/>
    <n v="540"/>
    <x v="45"/>
    <s v="Sports &amp; Recreation"/>
    <n v="12.1334991293512"/>
    <s v="Neither"/>
    <n v="5"/>
  </r>
  <r>
    <d v="2021-10-22T09:17:31"/>
    <s v="21-3908"/>
    <s v="P064"/>
    <x v="7"/>
    <n v="231"/>
    <n v="77"/>
    <n v="2541"/>
    <n v="847"/>
    <n v="1694"/>
    <x v="91"/>
    <s v="Creative &amp; Technology"/>
    <n v="11.03324198943719"/>
    <s v="Satisfied"/>
    <n v="10"/>
  </r>
  <r>
    <d v="2020-02-18T06:31:20"/>
    <s v="20-1735"/>
    <s v="P007"/>
    <x v="13"/>
    <n v="225"/>
    <n v="75"/>
    <n v="2250"/>
    <n v="750"/>
    <n v="1500"/>
    <x v="134"/>
    <s v="Sports &amp; Recreation"/>
    <n v="12.532428411174646"/>
    <s v="Dissatisfied"/>
    <n v="1"/>
  </r>
  <r>
    <d v="2017-04-12T07:11:02"/>
    <s v="17-4344"/>
    <s v="P083"/>
    <x v="7"/>
    <n v="90"/>
    <n v="45"/>
    <n v="990"/>
    <n v="495"/>
    <n v="495"/>
    <x v="182"/>
    <s v="Sports &amp; Recreation"/>
    <n v="12.564315242820944"/>
    <s v="Neither"/>
    <n v="5"/>
  </r>
  <r>
    <d v="2020-07-14T23:55:16"/>
    <s v="20-1767"/>
    <s v="P050"/>
    <x v="1"/>
    <n v="108"/>
    <n v="36"/>
    <n v="864"/>
    <n v="288"/>
    <n v="576"/>
    <x v="183"/>
    <s v="Creative &amp; Technology"/>
    <n v="7.8974070387684714"/>
    <s v="Dissatisfied"/>
    <n v="1"/>
  </r>
  <r>
    <d v="2021-04-29T23:26:23"/>
    <s v="21-3124"/>
    <s v="P054"/>
    <x v="18"/>
    <n v="144"/>
    <n v="48"/>
    <n v="2592"/>
    <n v="864"/>
    <n v="1728"/>
    <x v="184"/>
    <s v="Community &amp; Government"/>
    <n v="8.8169309002713945"/>
    <s v="Neither"/>
    <n v="5"/>
  </r>
  <r>
    <d v="2020-10-08T08:16:04"/>
    <s v="20-1157"/>
    <s v="P003"/>
    <x v="6"/>
    <n v="189"/>
    <n v="63"/>
    <n v="1134"/>
    <n v="378"/>
    <n v="756"/>
    <x v="95"/>
    <s v="Facilities &amp; Services"/>
    <n v="7.7337149713827413"/>
    <s v="Neither"/>
    <n v="5"/>
  </r>
  <r>
    <d v="2021-04-05T15:45:49"/>
    <s v="21-2499"/>
    <s v="P072"/>
    <x v="8"/>
    <n v="132"/>
    <n v="44"/>
    <n v="1848"/>
    <n v="616"/>
    <n v="1232"/>
    <x v="185"/>
    <s v="Education"/>
    <n v="13.466362789017223"/>
    <s v="Neither"/>
    <n v="5"/>
  </r>
  <r>
    <d v="2021-04-23T09:14:16"/>
    <s v="21-4429"/>
    <s v="P064"/>
    <x v="19"/>
    <n v="231"/>
    <n v="77"/>
    <n v="4389"/>
    <n v="1463"/>
    <n v="2926"/>
    <x v="136"/>
    <s v="Creative &amp; Technology"/>
    <n v="16.429355109701351"/>
    <s v="Neither"/>
    <n v="5"/>
  </r>
  <r>
    <d v="2020-12-11T10:57:17"/>
    <s v="20-2531"/>
    <s v="P057"/>
    <x v="19"/>
    <n v="252"/>
    <n v="63"/>
    <n v="4788"/>
    <n v="1197"/>
    <n v="3591"/>
    <x v="9"/>
    <s v="Sports &amp; Recreation"/>
    <n v="15.602184182549776"/>
    <s v="Neither"/>
    <n v="5"/>
  </r>
  <r>
    <d v="2017-09-20T03:45:21"/>
    <s v="17-2218"/>
    <s v="P021"/>
    <x v="12"/>
    <n v="207"/>
    <n v="69"/>
    <n v="1449"/>
    <n v="483"/>
    <n v="966"/>
    <x v="172"/>
    <s v="Healthcare &amp; Safety"/>
    <n v="11.563724686003232"/>
    <s v="Dissatisfied"/>
    <n v="1"/>
  </r>
  <r>
    <d v="2020-08-23T21:26:29"/>
    <s v="20-3981"/>
    <s v="P056"/>
    <x v="7"/>
    <n v="72"/>
    <n v="36"/>
    <n v="792"/>
    <n v="396"/>
    <n v="396"/>
    <x v="41"/>
    <s v="Community &amp; Government"/>
    <n v="12.452986387489583"/>
    <s v="Neither"/>
    <n v="5"/>
  </r>
  <r>
    <d v="2016-11-07T12:15:13"/>
    <s v="16-3455"/>
    <s v="P013"/>
    <x v="7"/>
    <n v="58"/>
    <n v="29"/>
    <n v="638"/>
    <n v="319"/>
    <n v="319"/>
    <x v="186"/>
    <s v="Education"/>
    <n v="8.3272837771733244"/>
    <s v="Neither"/>
    <n v="5"/>
  </r>
  <r>
    <d v="2018-07-29T01:18:20"/>
    <s v="18-4504"/>
    <s v="P060"/>
    <x v="19"/>
    <n v="300"/>
    <n v="75"/>
    <n v="5700"/>
    <n v="1425"/>
    <n v="4275"/>
    <x v="52"/>
    <s v="Facilities &amp; Services"/>
    <n v="14.573178107544177"/>
    <s v="Satisfied"/>
    <n v="10"/>
  </r>
  <r>
    <d v="2019-01-15T21:06:28"/>
    <s v="19-2552"/>
    <s v="P048"/>
    <x v="4"/>
    <n v="252"/>
    <n v="63"/>
    <n v="504"/>
    <n v="126"/>
    <n v="378"/>
    <x v="25"/>
    <s v="Sports &amp; Recreation"/>
    <n v="11.128721898968678"/>
    <s v="Neither"/>
    <n v="5"/>
  </r>
  <r>
    <d v="2021-10-29T07:10:17"/>
    <s v="21-1364"/>
    <s v="P023"/>
    <x v="15"/>
    <n v="126"/>
    <n v="42"/>
    <n v="2142"/>
    <n v="714"/>
    <n v="1428"/>
    <x v="187"/>
    <s v="Creative &amp; Technology"/>
    <n v="13.259563298324382"/>
    <s v="Neither"/>
    <n v="5"/>
  </r>
  <r>
    <d v="2019-11-27T09:51:55"/>
    <s v="19-2874"/>
    <s v="P020"/>
    <x v="3"/>
    <n v="180"/>
    <n v="45"/>
    <n v="720"/>
    <n v="180"/>
    <n v="540"/>
    <x v="93"/>
    <s v="Facilities &amp; Services"/>
    <n v="10.966283117837653"/>
    <s v="Dissatisfied"/>
    <n v="1"/>
  </r>
  <r>
    <d v="2018-02-18T04:06:56"/>
    <s v="18-4169"/>
    <s v="P046"/>
    <x v="17"/>
    <n v="38"/>
    <n v="19"/>
    <n v="38"/>
    <n v="19"/>
    <n v="19"/>
    <x v="188"/>
    <s v="Healthcare &amp; Safety"/>
    <n v="9.8892508156549788"/>
    <s v="Satisfied"/>
    <n v="10"/>
  </r>
  <r>
    <d v="2021-04-23T11:54:58"/>
    <s v="21-3725"/>
    <s v="P007"/>
    <x v="2"/>
    <n v="225"/>
    <n v="75"/>
    <n v="2925"/>
    <n v="975"/>
    <n v="1950"/>
    <x v="53"/>
    <s v="Education"/>
    <n v="13.288482149665386"/>
    <s v="Neither"/>
    <n v="5"/>
  </r>
  <r>
    <d v="2020-01-12T04:23:13"/>
    <s v="20-3547"/>
    <s v="P051"/>
    <x v="2"/>
    <n v="135"/>
    <n v="45"/>
    <n v="1755"/>
    <n v="585"/>
    <n v="1170"/>
    <x v="52"/>
    <s v="Facilities &amp; Services"/>
    <n v="14.573178107544177"/>
    <s v="Neither"/>
    <n v="5"/>
  </r>
  <r>
    <d v="2018-04-19T12:58:06"/>
    <s v="18-2098"/>
    <s v="P019"/>
    <x v="6"/>
    <n v="308"/>
    <n v="77"/>
    <n v="1848"/>
    <n v="462"/>
    <n v="1386"/>
    <x v="189"/>
    <s v="Community &amp; Government"/>
    <n v="12.954911944548844"/>
    <s v="Neither"/>
    <n v="5"/>
  </r>
  <r>
    <d v="2021-06-01T06:12:56"/>
    <s v="21-4188"/>
    <s v="P069"/>
    <x v="17"/>
    <n v="150"/>
    <n v="75"/>
    <n v="150"/>
    <n v="75"/>
    <n v="75"/>
    <x v="190"/>
    <s v="Corporate &amp; Professional"/>
    <n v="15.478388039566896"/>
    <s v="Neither"/>
    <n v="5"/>
  </r>
  <r>
    <d v="2022-05-02T13:30:36"/>
    <s v="22-1501"/>
    <s v="P035"/>
    <x v="17"/>
    <n v="144"/>
    <n v="48"/>
    <n v="144"/>
    <n v="48"/>
    <n v="96"/>
    <x v="85"/>
    <s v="Creative &amp; Technology"/>
    <n v="10.570474361325047"/>
    <s v="Neither"/>
    <n v="5"/>
  </r>
  <r>
    <d v="2022-02-07T01:53:20"/>
    <s v="22-2977"/>
    <s v="P049"/>
    <x v="2"/>
    <n v="356"/>
    <n v="89"/>
    <n v="4628"/>
    <n v="1157"/>
    <n v="3471"/>
    <x v="191"/>
    <s v="Corporate &amp; Professional"/>
    <n v="12.131375018945562"/>
    <s v="Dissatisfied"/>
    <n v="1"/>
  </r>
  <r>
    <d v="2021-06-08T09:44:24"/>
    <s v="21-4861"/>
    <s v="P074"/>
    <x v="13"/>
    <n v="352"/>
    <n v="88"/>
    <n v="3520"/>
    <n v="880"/>
    <n v="2640"/>
    <x v="192"/>
    <s v="Healthcare &amp; Safety"/>
    <n v="8.7741864171993527"/>
    <s v="Neither"/>
    <n v="5"/>
  </r>
  <r>
    <d v="2022-03-16T08:53:36"/>
    <s v="22-3716"/>
    <s v="P016"/>
    <x v="5"/>
    <n v="110"/>
    <n v="55"/>
    <n v="330"/>
    <n v="165"/>
    <n v="165"/>
    <x v="44"/>
    <s v="Corporate &amp; Professional"/>
    <n v="9.9311000381363836"/>
    <s v="Satisfied"/>
    <n v="10"/>
  </r>
  <r>
    <d v="2020-02-16T22:52:33"/>
    <s v="20-1280"/>
    <s v="P062"/>
    <x v="6"/>
    <n v="348"/>
    <n v="87"/>
    <n v="2088"/>
    <n v="522"/>
    <n v="1566"/>
    <x v="193"/>
    <s v="Corporate &amp; Professional"/>
    <n v="12.275875773922367"/>
    <s v="Neither"/>
    <n v="5"/>
  </r>
  <r>
    <d v="2020-12-16T15:07:14"/>
    <s v="20-4491"/>
    <s v="P011"/>
    <x v="4"/>
    <n v="264"/>
    <n v="88"/>
    <n v="528"/>
    <n v="176"/>
    <n v="352"/>
    <x v="194"/>
    <s v="Community &amp; Government"/>
    <n v="9.879282537628514"/>
    <s v="Satisfied"/>
    <n v="10"/>
  </r>
  <r>
    <d v="2020-09-08T04:29:28"/>
    <s v="20-1961"/>
    <s v="P066"/>
    <x v="10"/>
    <n v="34"/>
    <n v="17"/>
    <n v="170"/>
    <n v="85"/>
    <n v="85"/>
    <x v="17"/>
    <s v="Education"/>
    <n v="9.8238489437106278"/>
    <s v="Neither"/>
    <n v="5"/>
  </r>
  <r>
    <d v="2022-05-22T07:34:55"/>
    <s v="22-3066"/>
    <s v="P091"/>
    <x v="11"/>
    <n v="204"/>
    <n v="51"/>
    <n v="3264"/>
    <n v="816"/>
    <n v="2448"/>
    <x v="59"/>
    <s v="Creative &amp; Technology"/>
    <n v="10.980884286450312"/>
    <s v="Neither"/>
    <n v="5"/>
  </r>
  <r>
    <d v="2020-06-10T11:51:01"/>
    <s v="20-4003"/>
    <s v="P082"/>
    <x v="14"/>
    <n v="312"/>
    <n v="78"/>
    <n v="3744"/>
    <n v="936"/>
    <n v="2808"/>
    <x v="135"/>
    <s v="Corporate &amp; Professional"/>
    <n v="10.408704992688252"/>
    <s v="Dissatisfied"/>
    <n v="1"/>
  </r>
  <r>
    <d v="2021-04-01T07:26:12"/>
    <s v="21-4999"/>
    <s v="P035"/>
    <x v="2"/>
    <n v="144"/>
    <n v="48"/>
    <n v="1872"/>
    <n v="624"/>
    <n v="1248"/>
    <x v="17"/>
    <s v="Education"/>
    <n v="9.8238489437106278"/>
    <s v="Neither"/>
    <n v="5"/>
  </r>
  <r>
    <d v="2020-02-03T06:17:59"/>
    <s v="20-2743"/>
    <s v="P072"/>
    <x v="4"/>
    <n v="132"/>
    <n v="44"/>
    <n v="264"/>
    <n v="88"/>
    <n v="176"/>
    <x v="195"/>
    <s v="Community &amp; Government"/>
    <n v="12.679725647708608"/>
    <s v="Neither"/>
    <n v="5"/>
  </r>
  <r>
    <d v="2021-01-03T01:15:54"/>
    <s v="21-1279"/>
    <s v="P070"/>
    <x v="3"/>
    <n v="84"/>
    <n v="21"/>
    <n v="336"/>
    <n v="84"/>
    <n v="252"/>
    <x v="153"/>
    <s v="Corporate &amp; Professional"/>
    <n v="11.799431383856128"/>
    <s v="Dissatisfied"/>
    <n v="1"/>
  </r>
  <r>
    <d v="2019-08-20T09:24:29"/>
    <s v="19-1810"/>
    <s v="P077"/>
    <x v="1"/>
    <n v="162"/>
    <n v="54"/>
    <n v="1296"/>
    <n v="432"/>
    <n v="864"/>
    <x v="196"/>
    <s v="Community &amp; Government"/>
    <n v="12.869841591513939"/>
    <s v="Neither"/>
    <n v="5"/>
  </r>
  <r>
    <d v="2021-01-26T21:49:14"/>
    <s v="21-1575"/>
    <s v="P033"/>
    <x v="19"/>
    <n v="57"/>
    <n v="19"/>
    <n v="1083"/>
    <n v="361"/>
    <n v="722"/>
    <x v="170"/>
    <s v="Sports &amp; Recreation"/>
    <n v="10.037135914792184"/>
    <s v="Neither"/>
    <n v="5"/>
  </r>
  <r>
    <d v="2018-03-27T18:24:57"/>
    <s v="18-3412"/>
    <s v="P024"/>
    <x v="0"/>
    <n v="66"/>
    <n v="33"/>
    <n v="990"/>
    <n v="495"/>
    <n v="495"/>
    <x v="191"/>
    <s v="Corporate &amp; Professional"/>
    <n v="12.131375018945562"/>
    <s v="Neither"/>
    <n v="5"/>
  </r>
  <r>
    <d v="2019-02-13T10:22:36"/>
    <s v="19-1885"/>
    <s v="P009"/>
    <x v="11"/>
    <n v="255"/>
    <n v="85"/>
    <n v="4080"/>
    <n v="1360"/>
    <n v="2720"/>
    <x v="125"/>
    <s v="Sports &amp; Recreation"/>
    <n v="12.682358648534777"/>
    <s v="Dissatisfied"/>
    <n v="1"/>
  </r>
  <r>
    <d v="2021-02-02T07:13:13"/>
    <s v="21-4754"/>
    <s v="P090"/>
    <x v="17"/>
    <n v="57"/>
    <n v="19"/>
    <n v="57"/>
    <n v="19"/>
    <n v="38"/>
    <x v="42"/>
    <s v="Community &amp; Government"/>
    <n v="10.216282609482219"/>
    <s v="Satisfied"/>
    <n v="10"/>
  </r>
  <r>
    <d v="2021-01-05T01:57:27"/>
    <s v="21-2096"/>
    <s v="P062"/>
    <x v="10"/>
    <n v="348"/>
    <n v="87"/>
    <n v="1740"/>
    <n v="435"/>
    <n v="1305"/>
    <x v="94"/>
    <s v="Corporate &amp; Professional"/>
    <n v="9.0350666811770921"/>
    <s v="Neither"/>
    <n v="5"/>
  </r>
  <r>
    <d v="2021-04-07T22:52:30"/>
    <s v="21-1249"/>
    <s v="P053"/>
    <x v="9"/>
    <n v="50"/>
    <n v="25"/>
    <n v="1000"/>
    <n v="500"/>
    <n v="500"/>
    <x v="197"/>
    <s v="Community &amp; Government"/>
    <n v="10.163794912095831"/>
    <s v="Dissatisfied"/>
    <n v="1"/>
  </r>
  <r>
    <d v="2020-07-24T19:44:41"/>
    <s v="20-3126"/>
    <s v="P030"/>
    <x v="0"/>
    <n v="81"/>
    <n v="27"/>
    <n v="1215"/>
    <n v="405"/>
    <n v="810"/>
    <x v="75"/>
    <s v="Healthcare &amp; Safety"/>
    <n v="13.918153610259502"/>
    <s v="Satisfied"/>
    <n v="10"/>
  </r>
  <r>
    <d v="2021-06-18T01:24:37"/>
    <s v="21-4607"/>
    <s v="P067"/>
    <x v="7"/>
    <n v="144"/>
    <n v="36"/>
    <n v="1584"/>
    <n v="396"/>
    <n v="1188"/>
    <x v="90"/>
    <s v="Healthcare &amp; Safety"/>
    <n v="7.0114620475168028"/>
    <s v="Neither"/>
    <n v="5"/>
  </r>
  <r>
    <d v="2018-07-18T15:07:49"/>
    <s v="18-2157"/>
    <s v="P015"/>
    <x v="9"/>
    <n v="176"/>
    <n v="88"/>
    <n v="3520"/>
    <n v="1760"/>
    <n v="1760"/>
    <x v="12"/>
    <s v="Creative &amp; Technology"/>
    <n v="9.8384363471888783"/>
    <s v="Neither"/>
    <n v="5"/>
  </r>
  <r>
    <d v="2022-05-30T03:23:03"/>
    <s v="22-1010"/>
    <s v="P069"/>
    <x v="7"/>
    <n v="150"/>
    <n v="75"/>
    <n v="1650"/>
    <n v="825"/>
    <n v="825"/>
    <x v="198"/>
    <s v="Corporate &amp; Professional"/>
    <n v="6.9183250411917196"/>
    <s v="Neither"/>
    <n v="5"/>
  </r>
  <r>
    <d v="2022-06-21T17:44:49"/>
    <s v="22-1380"/>
    <s v="P071"/>
    <x v="0"/>
    <n v="210"/>
    <n v="70"/>
    <n v="3150"/>
    <n v="1050"/>
    <n v="2100"/>
    <x v="54"/>
    <s v="Community &amp; Government"/>
    <n v="13.890275354050972"/>
    <s v="Neither"/>
    <n v="5"/>
  </r>
  <r>
    <d v="2017-06-27T13:40:08"/>
    <s v="17-2043"/>
    <s v="P012"/>
    <x v="2"/>
    <n v="30"/>
    <n v="15"/>
    <n v="390"/>
    <n v="195"/>
    <n v="195"/>
    <x v="188"/>
    <s v="Healthcare &amp; Safety"/>
    <n v="9.8892508156549788"/>
    <s v="Satisfied"/>
    <n v="10"/>
  </r>
  <r>
    <d v="2020-10-23T09:21:44"/>
    <s v="20-1252"/>
    <s v="P062"/>
    <x v="14"/>
    <n v="348"/>
    <n v="87"/>
    <n v="4176"/>
    <n v="1044"/>
    <n v="3132"/>
    <x v="15"/>
    <s v="Community &amp; Government"/>
    <n v="11.631646244583138"/>
    <s v="Satisfied"/>
    <n v="10"/>
  </r>
  <r>
    <d v="2020-10-19T23:11:24"/>
    <s v="20-1359"/>
    <s v="P063"/>
    <x v="7"/>
    <n v="261"/>
    <n v="87"/>
    <n v="2871"/>
    <n v="957"/>
    <n v="1914"/>
    <x v="69"/>
    <s v="Healthcare &amp; Safety"/>
    <n v="9.3014286057233697"/>
    <s v="Dissatisfied"/>
    <n v="1"/>
  </r>
  <r>
    <d v="2022-05-15T22:16:28"/>
    <s v="22-4598"/>
    <s v="P044"/>
    <x v="8"/>
    <n v="368"/>
    <n v="92"/>
    <n v="5152"/>
    <n v="1288"/>
    <n v="3864"/>
    <x v="20"/>
    <s v="Education"/>
    <n v="15.12637675023732"/>
    <s v="Neither"/>
    <n v="5"/>
  </r>
  <r>
    <d v="2020-04-09T22:06:48"/>
    <s v="20-1293"/>
    <s v="P081"/>
    <x v="7"/>
    <n v="50"/>
    <n v="25"/>
    <n v="550"/>
    <n v="275"/>
    <n v="275"/>
    <x v="130"/>
    <s v="Healthcare &amp; Safety"/>
    <n v="13.923194761258239"/>
    <s v="Dissatisfied"/>
    <n v="1"/>
  </r>
  <r>
    <d v="2021-04-09T15:42:13"/>
    <s v="21-4262"/>
    <s v="P026"/>
    <x v="3"/>
    <n v="280"/>
    <n v="70"/>
    <n v="1120"/>
    <n v="280"/>
    <n v="840"/>
    <x v="199"/>
    <s v="Healthcare &amp; Safety"/>
    <n v="14.460020532456038"/>
    <s v="Neither"/>
    <n v="5"/>
  </r>
  <r>
    <d v="2021-06-07T16:56:55"/>
    <s v="21-2043"/>
    <s v="P047"/>
    <x v="13"/>
    <n v="72"/>
    <n v="36"/>
    <n v="720"/>
    <n v="360"/>
    <n v="360"/>
    <x v="163"/>
    <s v="Corporate &amp; Professional"/>
    <n v="14.554851510602212"/>
    <s v="Neither"/>
    <n v="5"/>
  </r>
  <r>
    <d v="2021-01-21T12:21:02"/>
    <s v="21-4317"/>
    <s v="P069"/>
    <x v="8"/>
    <n v="150"/>
    <n v="75"/>
    <n v="2100"/>
    <n v="1050"/>
    <n v="1050"/>
    <x v="90"/>
    <s v="Healthcare &amp; Safety"/>
    <n v="7.0114620475168028"/>
    <s v="Neither"/>
    <n v="5"/>
  </r>
  <r>
    <d v="2020-05-09T17:49:38"/>
    <s v="20-2709"/>
    <s v="P019"/>
    <x v="18"/>
    <n v="308"/>
    <n v="77"/>
    <n v="5544"/>
    <n v="1386"/>
    <n v="4158"/>
    <x v="23"/>
    <s v="Healthcare &amp; Safety"/>
    <n v="13.407340878370247"/>
    <s v="Neither"/>
    <n v="5"/>
  </r>
  <r>
    <d v="2023-01-27T20:22:15"/>
    <s v="23-1477"/>
    <s v="P070"/>
    <x v="9"/>
    <n v="84"/>
    <n v="21"/>
    <n v="1680"/>
    <n v="420"/>
    <n v="1260"/>
    <x v="200"/>
    <s v="Community &amp; Government"/>
    <n v="12.460490918487697"/>
    <s v="Dissatisfied"/>
    <n v="1"/>
  </r>
  <r>
    <d v="2023-02-12T17:52:22"/>
    <s v="23-2472"/>
    <s v="P021"/>
    <x v="10"/>
    <n v="207"/>
    <n v="69"/>
    <n v="1035"/>
    <n v="345"/>
    <n v="690"/>
    <x v="20"/>
    <s v="Education"/>
    <n v="15.12637675023732"/>
    <s v="Neither"/>
    <n v="5"/>
  </r>
  <r>
    <d v="2022-03-19T10:37:50"/>
    <s v="22-4780"/>
    <s v="P026"/>
    <x v="6"/>
    <n v="280"/>
    <n v="70"/>
    <n v="1680"/>
    <n v="420"/>
    <n v="1260"/>
    <x v="201"/>
    <s v="Community &amp; Government"/>
    <n v="8.1628930629234038"/>
    <s v="Dissatisfied"/>
    <n v="1"/>
  </r>
  <r>
    <d v="2021-08-12T15:20:41"/>
    <s v="21-4481"/>
    <s v="P084"/>
    <x v="8"/>
    <n v="154"/>
    <n v="77"/>
    <n v="2156"/>
    <n v="1078"/>
    <n v="1078"/>
    <x v="142"/>
    <s v="Healthcare &amp; Safety"/>
    <n v="13.574227261506472"/>
    <s v="Dissatisfied"/>
    <n v="1"/>
  </r>
  <r>
    <d v="2022-12-12T00:42:02"/>
    <s v="22-2445"/>
    <s v="P052"/>
    <x v="8"/>
    <n v="352"/>
    <n v="88"/>
    <n v="4928"/>
    <n v="1232"/>
    <n v="3696"/>
    <x v="191"/>
    <s v="Corporate &amp; Professional"/>
    <n v="12.131375018945562"/>
    <s v="Dissatisfied"/>
    <n v="1"/>
  </r>
  <r>
    <d v="2018-07-22T00:08:58"/>
    <s v="18-2995"/>
    <s v="P097"/>
    <x v="7"/>
    <n v="92"/>
    <n v="46"/>
    <n v="1012"/>
    <n v="506"/>
    <n v="506"/>
    <x v="48"/>
    <s v="Creative &amp; Technology"/>
    <n v="11.939773463335372"/>
    <s v="Neither"/>
    <n v="5"/>
  </r>
  <r>
    <d v="2022-02-13T12:38:55"/>
    <s v="22-2583"/>
    <s v="P012"/>
    <x v="17"/>
    <n v="30"/>
    <n v="15"/>
    <n v="30"/>
    <n v="15"/>
    <n v="15"/>
    <x v="202"/>
    <s v="Community &amp; Government"/>
    <n v="8.1595626482464514"/>
    <s v="Neither"/>
    <n v="5"/>
  </r>
  <r>
    <d v="2021-04-14T16:03:42"/>
    <s v="21-3092"/>
    <s v="P041"/>
    <x v="0"/>
    <n v="144"/>
    <n v="36"/>
    <n v="2160"/>
    <n v="540"/>
    <n v="1620"/>
    <x v="67"/>
    <s v="Community &amp; Government"/>
    <n v="11.346510807401776"/>
    <s v="Neither"/>
    <n v="5"/>
  </r>
  <r>
    <d v="2021-12-13T17:52:40"/>
    <s v="21-4294"/>
    <s v="P030"/>
    <x v="12"/>
    <n v="81"/>
    <n v="27"/>
    <n v="567"/>
    <n v="189"/>
    <n v="378"/>
    <x v="203"/>
    <s v="Creative &amp; Technology"/>
    <n v="13.486912834801583"/>
    <s v="Dissatisfied"/>
    <n v="1"/>
  </r>
  <r>
    <d v="2021-08-05T05:24:09"/>
    <s v="21-4730"/>
    <s v="P024"/>
    <x v="19"/>
    <n v="66"/>
    <n v="33"/>
    <n v="1254"/>
    <n v="627"/>
    <n v="627"/>
    <x v="204"/>
    <s v="Corporate &amp; Professional"/>
    <n v="10.248947386022252"/>
    <s v="Neither"/>
    <n v="5"/>
  </r>
  <r>
    <d v="2019-06-24T06:02:28"/>
    <s v="19-1470"/>
    <s v="P069"/>
    <x v="6"/>
    <n v="150"/>
    <n v="75"/>
    <n v="900"/>
    <n v="450"/>
    <n v="450"/>
    <x v="5"/>
    <s v="Healthcare &amp; Safety"/>
    <n v="12.169266722245851"/>
    <s v="Neither"/>
    <n v="5"/>
  </r>
  <r>
    <d v="2020-02-25T23:59:18"/>
    <s v="20-2581"/>
    <s v="P009"/>
    <x v="18"/>
    <n v="255"/>
    <n v="85"/>
    <n v="4590"/>
    <n v="1530"/>
    <n v="3060"/>
    <x v="123"/>
    <s v="Facilities &amp; Services"/>
    <n v="9.1877733607656964"/>
    <s v="Satisfied"/>
    <n v="10"/>
  </r>
  <r>
    <d v="2021-07-12T06:57:41"/>
    <s v="21-1717"/>
    <s v="P023"/>
    <x v="10"/>
    <n v="126"/>
    <n v="42"/>
    <n v="630"/>
    <n v="210"/>
    <n v="420"/>
    <x v="4"/>
    <s v="Education"/>
    <n v="15.24190997853951"/>
    <s v="Satisfied"/>
    <n v="10"/>
  </r>
  <r>
    <d v="2020-06-05T00:21:29"/>
    <s v="20-4394"/>
    <s v="P042"/>
    <x v="6"/>
    <n v="50"/>
    <n v="25"/>
    <n v="300"/>
    <n v="150"/>
    <n v="150"/>
    <x v="98"/>
    <s v="Creative &amp; Technology"/>
    <n v="15.18789248529443"/>
    <s v="Neither"/>
    <n v="5"/>
  </r>
  <r>
    <d v="2020-02-03T15:10:00"/>
    <s v="20-1471"/>
    <s v="P081"/>
    <x v="9"/>
    <n v="50"/>
    <n v="25"/>
    <n v="1000"/>
    <n v="500"/>
    <n v="500"/>
    <x v="183"/>
    <s v="Creative &amp; Technology"/>
    <n v="7.8974070387684714"/>
    <s v="Satisfied"/>
    <n v="10"/>
  </r>
  <r>
    <d v="2020-10-13T23:53:26"/>
    <s v="20-3723"/>
    <s v="P097"/>
    <x v="5"/>
    <n v="92"/>
    <n v="46"/>
    <n v="276"/>
    <n v="138"/>
    <n v="138"/>
    <x v="187"/>
    <s v="Creative &amp; Technology"/>
    <n v="13.259563298324382"/>
    <s v="Neither"/>
    <n v="5"/>
  </r>
  <r>
    <d v="2020-12-09T07:27:08"/>
    <s v="20-4315"/>
    <s v="P087"/>
    <x v="14"/>
    <n v="176"/>
    <n v="88"/>
    <n v="2112"/>
    <n v="1056"/>
    <n v="1056"/>
    <x v="126"/>
    <s v="Creative &amp; Technology"/>
    <n v="12.399050786131125"/>
    <s v="Satisfied"/>
    <n v="10"/>
  </r>
  <r>
    <d v="2019-08-14T06:15:18"/>
    <s v="19-2019"/>
    <s v="P042"/>
    <x v="6"/>
    <n v="50"/>
    <n v="25"/>
    <n v="300"/>
    <n v="150"/>
    <n v="150"/>
    <x v="89"/>
    <s v="Community &amp; Government"/>
    <n v="10.317615395419679"/>
    <s v="Neither"/>
    <n v="5"/>
  </r>
  <r>
    <d v="2020-09-19T11:47:13"/>
    <s v="20-3125"/>
    <s v="P001"/>
    <x v="8"/>
    <n v="108"/>
    <n v="36"/>
    <n v="1512"/>
    <n v="504"/>
    <n v="1008"/>
    <x v="205"/>
    <s v="Facilities &amp; Services"/>
    <n v="10.434860153112215"/>
    <s v="Dissatisfied"/>
    <n v="1"/>
  </r>
  <r>
    <d v="2019-05-24T17:20:43"/>
    <s v="19-3821"/>
    <s v="P050"/>
    <x v="19"/>
    <n v="108"/>
    <n v="36"/>
    <n v="2052"/>
    <n v="684"/>
    <n v="1368"/>
    <x v="151"/>
    <s v="Sports &amp; Recreation"/>
    <n v="9.458617986208397"/>
    <s v="Neither"/>
    <n v="5"/>
  </r>
  <r>
    <d v="2022-06-23T20:20:29"/>
    <s v="22-2104"/>
    <s v="P081"/>
    <x v="7"/>
    <n v="50"/>
    <n v="25"/>
    <n v="550"/>
    <n v="275"/>
    <n v="275"/>
    <x v="206"/>
    <s v="Community &amp; Government"/>
    <n v="12.699042739101285"/>
    <s v="Neither"/>
    <n v="5"/>
  </r>
  <r>
    <d v="2018-11-27T16:42:55"/>
    <s v="18-2593"/>
    <s v="P034"/>
    <x v="7"/>
    <n v="114"/>
    <n v="57"/>
    <n v="1254"/>
    <n v="627"/>
    <n v="627"/>
    <x v="69"/>
    <s v="Healthcare &amp; Safety"/>
    <n v="9.3014286057233697"/>
    <s v="Satisfied"/>
    <n v="10"/>
  </r>
  <r>
    <d v="2022-03-07T12:48:27"/>
    <s v="22-1653"/>
    <s v="P016"/>
    <x v="10"/>
    <n v="110"/>
    <n v="55"/>
    <n v="550"/>
    <n v="275"/>
    <n v="275"/>
    <x v="207"/>
    <s v="Education"/>
    <n v="11.779256317174871"/>
    <s v="Neither"/>
    <n v="5"/>
  </r>
  <r>
    <d v="2019-09-18T01:26:00"/>
    <s v="19-1939"/>
    <s v="P024"/>
    <x v="3"/>
    <n v="66"/>
    <n v="33"/>
    <n v="264"/>
    <n v="132"/>
    <n v="132"/>
    <x v="208"/>
    <s v="Community &amp; Government"/>
    <n v="12.658317415198635"/>
    <s v="Satisfied"/>
    <n v="10"/>
  </r>
  <r>
    <d v="2019-10-08T23:57:04"/>
    <s v="19-4659"/>
    <s v="P010"/>
    <x v="8"/>
    <n v="144"/>
    <n v="36"/>
    <n v="2016"/>
    <n v="504"/>
    <n v="1512"/>
    <x v="159"/>
    <s v="Community &amp; Government"/>
    <n v="13.57003172959007"/>
    <s v="Satisfied"/>
    <n v="10"/>
  </r>
  <r>
    <d v="2019-09-19T22:19:32"/>
    <s v="19-3186"/>
    <s v="P024"/>
    <x v="1"/>
    <n v="66"/>
    <n v="33"/>
    <n v="528"/>
    <n v="264"/>
    <n v="264"/>
    <x v="160"/>
    <s v="Creative &amp; Technology"/>
    <n v="8.8514729234790472"/>
    <s v="Satisfied"/>
    <n v="10"/>
  </r>
  <r>
    <d v="2020-06-17T14:50:01"/>
    <s v="20-2575"/>
    <s v="P089"/>
    <x v="2"/>
    <n v="102"/>
    <n v="51"/>
    <n v="1326"/>
    <n v="663"/>
    <n v="663"/>
    <x v="209"/>
    <s v="Facilities &amp; Services"/>
    <n v="10.956589836772277"/>
    <s v="Satisfied"/>
    <n v="10"/>
  </r>
  <r>
    <d v="2020-01-01T20:32:48"/>
    <s v="20-4754"/>
    <s v="P076"/>
    <x v="3"/>
    <n v="94"/>
    <n v="47"/>
    <n v="376"/>
    <n v="188"/>
    <n v="188"/>
    <x v="204"/>
    <s v="Corporate &amp; Professional"/>
    <n v="10.248947386022252"/>
    <s v="Dissatisfied"/>
    <n v="1"/>
  </r>
  <r>
    <d v="2016-12-16T05:51:47"/>
    <s v="16-1417"/>
    <s v="P081"/>
    <x v="9"/>
    <n v="50"/>
    <n v="25"/>
    <n v="1000"/>
    <n v="500"/>
    <n v="500"/>
    <x v="210"/>
    <s v="Corporate &amp; Professional"/>
    <n v="10.411813357023924"/>
    <s v="Neither"/>
    <n v="5"/>
  </r>
  <r>
    <d v="2021-04-16T15:23:34"/>
    <s v="21-4448"/>
    <s v="P012"/>
    <x v="6"/>
    <n v="30"/>
    <n v="15"/>
    <n v="180"/>
    <n v="90"/>
    <n v="90"/>
    <x v="110"/>
    <s v="Sports &amp; Recreation"/>
    <n v="14.690198582365463"/>
    <s v="Neither"/>
    <n v="5"/>
  </r>
  <r>
    <d v="2022-05-11T09:02:06"/>
    <s v="22-3183"/>
    <s v="P012"/>
    <x v="8"/>
    <n v="30"/>
    <n v="15"/>
    <n v="420"/>
    <n v="210"/>
    <n v="210"/>
    <x v="121"/>
    <s v="Creative &amp; Technology"/>
    <n v="11.394777319422785"/>
    <s v="Neither"/>
    <n v="5"/>
  </r>
  <r>
    <d v="2020-09-26T11:52:11"/>
    <s v="20-3673"/>
    <s v="P022"/>
    <x v="9"/>
    <n v="153"/>
    <n v="51"/>
    <n v="3060"/>
    <n v="1020"/>
    <n v="2040"/>
    <x v="211"/>
    <s v="Healthcare &amp; Safety"/>
    <n v="13.106678263594747"/>
    <s v="Dissatisfied"/>
    <n v="1"/>
  </r>
  <r>
    <d v="2017-09-07T06:49:09"/>
    <s v="17-3087"/>
    <s v="P020"/>
    <x v="11"/>
    <n v="180"/>
    <n v="45"/>
    <n v="2880"/>
    <n v="720"/>
    <n v="2160"/>
    <x v="11"/>
    <s v="Creative &amp; Technology"/>
    <n v="8.2871811249429097"/>
    <s v="Dissatisfied"/>
    <n v="1"/>
  </r>
  <r>
    <d v="2019-01-23T11:16:23"/>
    <s v="19-2203"/>
    <s v="P074"/>
    <x v="6"/>
    <n v="352"/>
    <n v="88"/>
    <n v="2112"/>
    <n v="528"/>
    <n v="1584"/>
    <x v="0"/>
    <s v="Corporate &amp; Professional"/>
    <n v="10.278063859084313"/>
    <s v="Neither"/>
    <n v="5"/>
  </r>
  <r>
    <d v="2020-04-22T21:50:38"/>
    <s v="20-3634"/>
    <s v="P023"/>
    <x v="8"/>
    <n v="126"/>
    <n v="42"/>
    <n v="1764"/>
    <n v="588"/>
    <n v="1176"/>
    <x v="152"/>
    <s v="Sports &amp; Recreation"/>
    <n v="11.249825090458803"/>
    <s v="Neither"/>
    <n v="5"/>
  </r>
  <r>
    <d v="2020-12-08T14:50:50"/>
    <s v="20-1798"/>
    <s v="P036"/>
    <x v="19"/>
    <n v="280"/>
    <n v="70"/>
    <n v="5320"/>
    <n v="1330"/>
    <n v="3990"/>
    <x v="197"/>
    <s v="Community &amp; Government"/>
    <n v="10.163794912095831"/>
    <s v="Neither"/>
    <n v="5"/>
  </r>
  <r>
    <d v="2020-07-26T20:10:45"/>
    <s v="20-3587"/>
    <s v="P009"/>
    <x v="2"/>
    <n v="255"/>
    <n v="85"/>
    <n v="3315"/>
    <n v="1105"/>
    <n v="2210"/>
    <x v="141"/>
    <s v="Facilities &amp; Services"/>
    <n v="13.104576594826185"/>
    <s v="Dissatisfied"/>
    <n v="1"/>
  </r>
  <r>
    <d v="2018-05-20T14:09:06"/>
    <s v="18-4977"/>
    <s v="P004"/>
    <x v="7"/>
    <n v="189"/>
    <n v="63"/>
    <n v="2079"/>
    <n v="693"/>
    <n v="1386"/>
    <x v="42"/>
    <s v="Community &amp; Government"/>
    <n v="10.216282609482219"/>
    <s v="Neither"/>
    <n v="5"/>
  </r>
  <r>
    <d v="2019-10-26T00:00:48"/>
    <s v="19-4054"/>
    <s v="P073"/>
    <x v="19"/>
    <n v="48"/>
    <n v="24"/>
    <n v="912"/>
    <n v="456"/>
    <n v="456"/>
    <x v="78"/>
    <s v="Education"/>
    <n v="11.756374828790458"/>
    <s v="Neither"/>
    <n v="5"/>
  </r>
  <r>
    <d v="2018-03-15T17:28:27"/>
    <s v="18-3442"/>
    <s v="P075"/>
    <x v="1"/>
    <n v="160"/>
    <n v="80"/>
    <n v="1280"/>
    <n v="640"/>
    <n v="640"/>
    <x v="212"/>
    <s v="Sports &amp; Recreation"/>
    <n v="11.443503623244197"/>
    <s v="Neither"/>
    <n v="5"/>
  </r>
  <r>
    <d v="2021-01-05T00:08:33"/>
    <s v="21-3061"/>
    <s v="P003"/>
    <x v="13"/>
    <n v="189"/>
    <n v="63"/>
    <n v="1890"/>
    <n v="630"/>
    <n v="1260"/>
    <x v="21"/>
    <s v="Facilities &amp; Services"/>
    <n v="13.717776078041958"/>
    <s v="Dissatisfied"/>
    <n v="1"/>
  </r>
  <r>
    <d v="2021-03-18T19:08:25"/>
    <s v="21-4712"/>
    <s v="P016"/>
    <x v="9"/>
    <n v="110"/>
    <n v="55"/>
    <n v="2200"/>
    <n v="1100"/>
    <n v="1100"/>
    <x v="40"/>
    <s v="Corporate &amp; Professional"/>
    <n v="14.370283356317486"/>
    <s v="Neither"/>
    <n v="5"/>
  </r>
  <r>
    <d v="2020-04-03T19:08:48"/>
    <s v="20-1858"/>
    <s v="P049"/>
    <x v="1"/>
    <n v="356"/>
    <n v="89"/>
    <n v="2848"/>
    <n v="712"/>
    <n v="2136"/>
    <x v="213"/>
    <s v="Healthcare &amp; Safety"/>
    <n v="16.148992525516267"/>
    <s v="Neither"/>
    <n v="5"/>
  </r>
  <r>
    <d v="2020-12-30T11:20:58"/>
    <s v="20-3939"/>
    <s v="P083"/>
    <x v="2"/>
    <n v="90"/>
    <n v="45"/>
    <n v="1170"/>
    <n v="585"/>
    <n v="585"/>
    <x v="28"/>
    <s v="Sports &amp; Recreation"/>
    <n v="11.006397834696006"/>
    <s v="Neither"/>
    <n v="5"/>
  </r>
  <r>
    <d v="2019-08-10T18:08:05"/>
    <s v="19-4688"/>
    <s v="P085"/>
    <x v="4"/>
    <n v="320"/>
    <n v="80"/>
    <n v="640"/>
    <n v="160"/>
    <n v="480"/>
    <x v="26"/>
    <s v="Sports &amp; Recreation"/>
    <n v="14.16303548174143"/>
    <s v="Neither"/>
    <n v="5"/>
  </r>
  <r>
    <d v="2019-06-15T22:06:07"/>
    <s v="19-1873"/>
    <s v="P049"/>
    <x v="12"/>
    <n v="356"/>
    <n v="89"/>
    <n v="2492"/>
    <n v="623"/>
    <n v="1869"/>
    <x v="164"/>
    <s v="Education"/>
    <n v="10.954865572729823"/>
    <s v="Satisfied"/>
    <n v="10"/>
  </r>
  <r>
    <d v="2019-09-09T01:02:27"/>
    <s v="19-3495"/>
    <s v="P042"/>
    <x v="15"/>
    <n v="50"/>
    <n v="25"/>
    <n v="850"/>
    <n v="425"/>
    <n v="425"/>
    <x v="214"/>
    <s v="Corporate &amp; Professional"/>
    <n v="12.985332015423809"/>
    <s v="Neither"/>
    <n v="5"/>
  </r>
  <r>
    <d v="2018-07-11T05:49:54"/>
    <s v="18-4263"/>
    <s v="P055"/>
    <x v="5"/>
    <n v="360"/>
    <n v="90"/>
    <n v="1080"/>
    <n v="270"/>
    <n v="810"/>
    <x v="144"/>
    <s v="Education"/>
    <n v="16.368863536738775"/>
    <s v="Neither"/>
    <n v="5"/>
  </r>
  <r>
    <d v="2018-11-28T17:10:05"/>
    <s v="18-2394"/>
    <s v="P051"/>
    <x v="4"/>
    <n v="135"/>
    <n v="45"/>
    <n v="270"/>
    <n v="90"/>
    <n v="180"/>
    <x v="215"/>
    <s v="Facilities &amp; Services"/>
    <n v="14.817898176328208"/>
    <s v="Neither"/>
    <n v="5"/>
  </r>
  <r>
    <d v="2021-06-26T16:47:08"/>
    <s v="21-2912"/>
    <s v="P020"/>
    <x v="7"/>
    <n v="180"/>
    <n v="45"/>
    <n v="1980"/>
    <n v="495"/>
    <n v="1485"/>
    <x v="96"/>
    <s v="Healthcare &amp; Safety"/>
    <n v="11.221666113009938"/>
    <s v="Neither"/>
    <n v="5"/>
  </r>
  <r>
    <d v="2020-06-20T15:54:58"/>
    <s v="20-4920"/>
    <s v="P079"/>
    <x v="6"/>
    <n v="188"/>
    <n v="94"/>
    <n v="1128"/>
    <n v="564"/>
    <n v="564"/>
    <x v="26"/>
    <s v="Sports &amp; Recreation"/>
    <n v="14.16303548174143"/>
    <s v="Neither"/>
    <n v="5"/>
  </r>
  <r>
    <d v="2018-12-18T06:20:07"/>
    <s v="18-3974"/>
    <s v="P099"/>
    <x v="18"/>
    <n v="132"/>
    <n v="33"/>
    <n v="2376"/>
    <n v="594"/>
    <n v="1782"/>
    <x v="216"/>
    <s v="Corporate &amp; Professional"/>
    <n v="9.1057685343725456"/>
    <s v="Neither"/>
    <n v="5"/>
  </r>
  <r>
    <d v="2018-11-12T13:57:00"/>
    <s v="18-2675"/>
    <s v="P090"/>
    <x v="12"/>
    <n v="57"/>
    <n v="19"/>
    <n v="399"/>
    <n v="133"/>
    <n v="266"/>
    <x v="6"/>
    <s v="Creative &amp; Technology"/>
    <n v="11.749993886708426"/>
    <s v="Dissatisfied"/>
    <n v="1"/>
  </r>
  <r>
    <d v="2020-08-29T02:31:34"/>
    <s v="20-3581"/>
    <s v="P026"/>
    <x v="18"/>
    <n v="280"/>
    <n v="70"/>
    <n v="5040"/>
    <n v="1260"/>
    <n v="3780"/>
    <x v="93"/>
    <s v="Facilities &amp; Services"/>
    <n v="10.966283117837653"/>
    <s v="Neither"/>
    <n v="5"/>
  </r>
  <r>
    <d v="2021-02-22T19:28:29"/>
    <s v="21-3773"/>
    <s v="P077"/>
    <x v="18"/>
    <n v="162"/>
    <n v="54"/>
    <n v="2916"/>
    <n v="972"/>
    <n v="1944"/>
    <x v="27"/>
    <s v="Healthcare &amp; Safety"/>
    <n v="10.42743035829395"/>
    <s v="Dissatisfied"/>
    <n v="1"/>
  </r>
  <r>
    <d v="2019-11-20T19:31:36"/>
    <s v="19-2601"/>
    <s v="P076"/>
    <x v="9"/>
    <n v="94"/>
    <n v="47"/>
    <n v="1880"/>
    <n v="940"/>
    <n v="940"/>
    <x v="172"/>
    <s v="Healthcare &amp; Safety"/>
    <n v="11.563724686003232"/>
    <s v="Neither"/>
    <n v="5"/>
  </r>
  <r>
    <d v="2018-01-17T16:35:43"/>
    <s v="18-3867"/>
    <s v="P022"/>
    <x v="14"/>
    <n v="153"/>
    <n v="51"/>
    <n v="1836"/>
    <n v="612"/>
    <n v="1224"/>
    <x v="21"/>
    <s v="Facilities &amp; Services"/>
    <n v="13.717776078041958"/>
    <s v="Neither"/>
    <n v="5"/>
  </r>
  <r>
    <d v="2020-07-03T02:57:58"/>
    <s v="20-2568"/>
    <s v="P078"/>
    <x v="5"/>
    <n v="225"/>
    <n v="75"/>
    <n v="675"/>
    <n v="225"/>
    <n v="450"/>
    <x v="108"/>
    <s v="Sports &amp; Recreation"/>
    <n v="11.970975110943924"/>
    <s v="Neither"/>
    <n v="5"/>
  </r>
  <r>
    <d v="2021-02-09T08:30:27"/>
    <s v="21-1642"/>
    <s v="P046"/>
    <x v="12"/>
    <n v="38"/>
    <n v="19"/>
    <n v="266"/>
    <n v="133"/>
    <n v="133"/>
    <x v="217"/>
    <s v="Education"/>
    <n v="11.862005526237752"/>
    <s v="Neither"/>
    <n v="5"/>
  </r>
  <r>
    <d v="2019-09-04T16:58:28"/>
    <s v="19-2444"/>
    <s v="P015"/>
    <x v="9"/>
    <n v="176"/>
    <n v="88"/>
    <n v="3520"/>
    <n v="1760"/>
    <n v="1760"/>
    <x v="218"/>
    <s v="Facilities &amp; Services"/>
    <n v="14.376986923104601"/>
    <s v="Dissatisfied"/>
    <n v="1"/>
  </r>
  <r>
    <d v="2020-09-05T17:36:42"/>
    <s v="20-2598"/>
    <s v="P081"/>
    <x v="3"/>
    <n v="50"/>
    <n v="25"/>
    <n v="200"/>
    <n v="100"/>
    <n v="100"/>
    <x v="115"/>
    <s v="Sports &amp; Recreation"/>
    <n v="11.416048240262977"/>
    <s v="Neither"/>
    <n v="5"/>
  </r>
  <r>
    <d v="2018-01-12T17:06:42"/>
    <s v="18-1877"/>
    <s v="P093"/>
    <x v="5"/>
    <n v="384"/>
    <n v="96"/>
    <n v="1152"/>
    <n v="288"/>
    <n v="864"/>
    <x v="11"/>
    <s v="Creative &amp; Technology"/>
    <n v="8.2871811249429097"/>
    <s v="Neither"/>
    <n v="5"/>
  </r>
  <r>
    <d v="2018-08-04T12:40:45"/>
    <s v="18-3586"/>
    <s v="P053"/>
    <x v="17"/>
    <n v="50"/>
    <n v="25"/>
    <n v="50"/>
    <n v="25"/>
    <n v="25"/>
    <x v="65"/>
    <s v="Healthcare &amp; Safety"/>
    <n v="14.377134310720955"/>
    <s v="Neither"/>
    <n v="5"/>
  </r>
  <r>
    <d v="2020-07-09T23:16:55"/>
    <s v="20-1634"/>
    <s v="P051"/>
    <x v="8"/>
    <n v="135"/>
    <n v="45"/>
    <n v="1890"/>
    <n v="630"/>
    <n v="1260"/>
    <x v="4"/>
    <s v="Education"/>
    <n v="15.24190997853951"/>
    <s v="Satisfied"/>
    <n v="10"/>
  </r>
  <r>
    <d v="2016-09-01T01:47:29"/>
    <s v="16-2604"/>
    <s v="P067"/>
    <x v="7"/>
    <n v="144"/>
    <n v="36"/>
    <n v="1584"/>
    <n v="396"/>
    <n v="1188"/>
    <x v="76"/>
    <s v="Community &amp; Government"/>
    <n v="12.796588406005421"/>
    <s v="Satisfied"/>
    <n v="10"/>
  </r>
  <r>
    <d v="2020-12-27T17:03:48"/>
    <s v="20-1131"/>
    <s v="P080"/>
    <x v="9"/>
    <n v="57"/>
    <n v="19"/>
    <n v="1140"/>
    <n v="380"/>
    <n v="760"/>
    <x v="144"/>
    <s v="Education"/>
    <n v="16.368863536738775"/>
    <s v="Neither"/>
    <n v="5"/>
  </r>
  <r>
    <d v="2020-12-18T23:07:33"/>
    <s v="20-4240"/>
    <s v="P066"/>
    <x v="1"/>
    <n v="34"/>
    <n v="17"/>
    <n v="272"/>
    <n v="136"/>
    <n v="136"/>
    <x v="162"/>
    <s v="Creative &amp; Technology"/>
    <n v="14.064516999204997"/>
    <s v="Neither"/>
    <n v="5"/>
  </r>
  <r>
    <d v="2020-08-18T15:37:23"/>
    <s v="20-4368"/>
    <s v="P011"/>
    <x v="12"/>
    <n v="264"/>
    <n v="88"/>
    <n v="1848"/>
    <n v="616"/>
    <n v="1232"/>
    <x v="149"/>
    <s v="Facilities &amp; Services"/>
    <n v="11.311040680082275"/>
    <s v="Dissatisfied"/>
    <n v="1"/>
  </r>
  <r>
    <d v="2018-01-03T13:30:38"/>
    <s v="18-1110"/>
    <s v="P013"/>
    <x v="11"/>
    <n v="58"/>
    <n v="29"/>
    <n v="928"/>
    <n v="464"/>
    <n v="464"/>
    <x v="15"/>
    <s v="Community &amp; Government"/>
    <n v="11.631646244583138"/>
    <s v="Dissatisfied"/>
    <n v="1"/>
  </r>
  <r>
    <d v="2020-10-31T21:02:11"/>
    <s v="20-2468"/>
    <s v="P029"/>
    <x v="9"/>
    <n v="300"/>
    <n v="75"/>
    <n v="6000"/>
    <n v="1500"/>
    <n v="4500"/>
    <x v="145"/>
    <s v="Sports &amp; Recreation"/>
    <n v="7.9963422143733238"/>
    <s v="Dissatisfied"/>
    <n v="1"/>
  </r>
  <r>
    <d v="2021-04-20T20:04:26"/>
    <s v="21-3827"/>
    <s v="P100"/>
    <x v="11"/>
    <n v="46"/>
    <n v="23"/>
    <n v="736"/>
    <n v="368"/>
    <n v="368"/>
    <x v="197"/>
    <s v="Community &amp; Government"/>
    <n v="10.163794912095831"/>
    <s v="Neither"/>
    <n v="5"/>
  </r>
  <r>
    <d v="2020-04-04T11:27:49"/>
    <s v="20-3339"/>
    <s v="P099"/>
    <x v="14"/>
    <n v="132"/>
    <n v="33"/>
    <n v="1584"/>
    <n v="396"/>
    <n v="1188"/>
    <x v="219"/>
    <s v="Facilities &amp; Services"/>
    <n v="11.289144410898391"/>
    <s v="Dissatisfied"/>
    <n v="1"/>
  </r>
  <r>
    <d v="2018-10-17T04:42:52"/>
    <s v="18-4196"/>
    <s v="P006"/>
    <x v="10"/>
    <n v="38"/>
    <n v="19"/>
    <n v="190"/>
    <n v="95"/>
    <n v="95"/>
    <x v="16"/>
    <s v="Sports &amp; Recreation"/>
    <n v="12.865074657680612"/>
    <s v="Dissatisfied"/>
    <n v="1"/>
  </r>
  <r>
    <d v="2019-05-09T14:26:39"/>
    <s v="19-3551"/>
    <s v="P073"/>
    <x v="18"/>
    <n v="48"/>
    <n v="24"/>
    <n v="864"/>
    <n v="432"/>
    <n v="432"/>
    <x v="106"/>
    <s v="Facilities &amp; Services"/>
    <n v="13.518413464873573"/>
    <s v="Neither"/>
    <n v="5"/>
  </r>
  <r>
    <d v="2022-04-05T12:43:28"/>
    <s v="22-4265"/>
    <s v="P060"/>
    <x v="3"/>
    <n v="300"/>
    <n v="75"/>
    <n v="1200"/>
    <n v="300"/>
    <n v="900"/>
    <x v="31"/>
    <s v="Corporate &amp; Professional"/>
    <n v="9.4200113153305907"/>
    <s v="Dissatisfied"/>
    <n v="1"/>
  </r>
  <r>
    <d v="2023-06-27T05:11:04"/>
    <s v="23-4605"/>
    <s v="P035"/>
    <x v="1"/>
    <n v="144"/>
    <n v="48"/>
    <n v="1152"/>
    <n v="384"/>
    <n v="768"/>
    <x v="7"/>
    <s v="Healthcare &amp; Safety"/>
    <n v="11.048444680405545"/>
    <s v="Neither"/>
    <n v="5"/>
  </r>
  <r>
    <d v="2020-03-07T06:56:47"/>
    <s v="20-2760"/>
    <s v="P008"/>
    <x v="9"/>
    <n v="225"/>
    <n v="75"/>
    <n v="4500"/>
    <n v="1500"/>
    <n v="3000"/>
    <x v="39"/>
    <s v="Creative &amp; Technology"/>
    <n v="11.841063669683448"/>
    <s v="Satisfied"/>
    <n v="10"/>
  </r>
  <r>
    <d v="2019-01-16T06:22:40"/>
    <s v="19-2327"/>
    <s v="P021"/>
    <x v="10"/>
    <n v="207"/>
    <n v="69"/>
    <n v="1035"/>
    <n v="345"/>
    <n v="690"/>
    <x v="220"/>
    <s v="Education"/>
    <n v="13.392447352247808"/>
    <s v="Dissatisfied"/>
    <n v="1"/>
  </r>
  <r>
    <d v="2019-12-30T17:32:14"/>
    <s v="19-2963"/>
    <s v="P084"/>
    <x v="9"/>
    <n v="154"/>
    <n v="77"/>
    <n v="3080"/>
    <n v="1540"/>
    <n v="1540"/>
    <x v="221"/>
    <s v="Community &amp; Government"/>
    <n v="13.611804647345796"/>
    <s v="Neither"/>
    <n v="5"/>
  </r>
  <r>
    <d v="2020-05-04T22:02:22"/>
    <s v="20-2842"/>
    <s v="P066"/>
    <x v="4"/>
    <n v="34"/>
    <n v="17"/>
    <n v="68"/>
    <n v="34"/>
    <n v="34"/>
    <x v="42"/>
    <s v="Community &amp; Government"/>
    <n v="10.216282609482219"/>
    <s v="Satisfied"/>
    <n v="10"/>
  </r>
  <r>
    <d v="2021-10-17T01:44:52"/>
    <s v="21-3335"/>
    <s v="P017"/>
    <x v="12"/>
    <n v="120"/>
    <n v="30"/>
    <n v="840"/>
    <n v="210"/>
    <n v="630"/>
    <x v="39"/>
    <s v="Creative &amp; Technology"/>
    <n v="11.841063669683448"/>
    <s v="Neither"/>
    <n v="5"/>
  </r>
  <r>
    <d v="2021-10-06T10:51:33"/>
    <s v="21-4965"/>
    <s v="P074"/>
    <x v="9"/>
    <n v="352"/>
    <n v="88"/>
    <n v="7040"/>
    <n v="1760"/>
    <n v="5280"/>
    <x v="39"/>
    <s v="Creative &amp; Technology"/>
    <n v="11.841063669683448"/>
    <s v="Neither"/>
    <n v="5"/>
  </r>
  <r>
    <d v="2021-02-14T11:08:26"/>
    <s v="21-3478"/>
    <s v="P027"/>
    <x v="10"/>
    <n v="140"/>
    <n v="70"/>
    <n v="700"/>
    <n v="350"/>
    <n v="350"/>
    <x v="31"/>
    <s v="Corporate &amp; Professional"/>
    <n v="9.4200113153305907"/>
    <s v="Neither"/>
    <n v="5"/>
  </r>
  <r>
    <d v="2021-05-04T16:37:43"/>
    <s v="21-1802"/>
    <s v="P047"/>
    <x v="16"/>
    <n v="72"/>
    <n v="36"/>
    <n v="648"/>
    <n v="324"/>
    <n v="324"/>
    <x v="10"/>
    <s v="Education"/>
    <n v="12.957303170959879"/>
    <s v="Neither"/>
    <n v="5"/>
  </r>
  <r>
    <d v="2020-08-28T07:29:02"/>
    <s v="20-2708"/>
    <s v="P056"/>
    <x v="2"/>
    <n v="72"/>
    <n v="36"/>
    <n v="936"/>
    <n v="468"/>
    <n v="468"/>
    <x v="77"/>
    <s v="Facilities &amp; Services"/>
    <n v="12.514998090845811"/>
    <s v="Neither"/>
    <n v="5"/>
  </r>
  <r>
    <d v="2022-11-18T08:12:34"/>
    <s v="22-3300"/>
    <s v="P004"/>
    <x v="11"/>
    <n v="189"/>
    <n v="63"/>
    <n v="3024"/>
    <n v="1008"/>
    <n v="2016"/>
    <x v="79"/>
    <s v="Facilities &amp; Services"/>
    <n v="12.661538237835474"/>
    <s v="Satisfied"/>
    <n v="10"/>
  </r>
  <r>
    <d v="2020-05-03T07:32:01"/>
    <s v="20-3340"/>
    <s v="P052"/>
    <x v="11"/>
    <n v="352"/>
    <n v="88"/>
    <n v="5632"/>
    <n v="1408"/>
    <n v="4224"/>
    <x v="222"/>
    <s v="Community &amp; Government"/>
    <n v="13.095446915421235"/>
    <s v="Neither"/>
    <n v="5"/>
  </r>
  <r>
    <d v="2020-10-07T11:51:39"/>
    <s v="20-4187"/>
    <s v="P045"/>
    <x v="14"/>
    <n v="100"/>
    <n v="25"/>
    <n v="1200"/>
    <n v="300"/>
    <n v="900"/>
    <x v="146"/>
    <s v="Creative &amp; Technology"/>
    <n v="10.764293826791503"/>
    <s v="Neither"/>
    <n v="5"/>
  </r>
  <r>
    <d v="2021-09-16T07:39:36"/>
    <s v="21-4544"/>
    <s v="P076"/>
    <x v="13"/>
    <n v="94"/>
    <n v="47"/>
    <n v="940"/>
    <n v="470"/>
    <n v="470"/>
    <x v="175"/>
    <s v="Creative &amp; Technology"/>
    <n v="13.150536103258979"/>
    <s v="Neither"/>
    <n v="5"/>
  </r>
  <r>
    <d v="2018-05-23T18:11:53"/>
    <s v="18-1859"/>
    <s v="P002"/>
    <x v="9"/>
    <n v="144"/>
    <n v="36"/>
    <n v="2880"/>
    <n v="720"/>
    <n v="2160"/>
    <x v="201"/>
    <s v="Community &amp; Government"/>
    <n v="8.1628930629234038"/>
    <s v="Dissatisfied"/>
    <n v="1"/>
  </r>
  <r>
    <d v="2021-03-11T04:57:30"/>
    <s v="21-3868"/>
    <s v="P071"/>
    <x v="6"/>
    <n v="210"/>
    <n v="70"/>
    <n v="1260"/>
    <n v="420"/>
    <n v="840"/>
    <x v="205"/>
    <s v="Facilities &amp; Services"/>
    <n v="10.434860153112215"/>
    <s v="Dissatisfied"/>
    <n v="1"/>
  </r>
  <r>
    <d v="2023-04-25T19:32:54"/>
    <s v="23-2952"/>
    <s v="P071"/>
    <x v="7"/>
    <n v="210"/>
    <n v="70"/>
    <n v="2310"/>
    <n v="770"/>
    <n v="1540"/>
    <x v="91"/>
    <s v="Creative &amp; Technology"/>
    <n v="11.03324198943719"/>
    <s v="Satisfied"/>
    <n v="10"/>
  </r>
  <r>
    <d v="2020-08-16T13:02:09"/>
    <s v="20-2314"/>
    <s v="P008"/>
    <x v="7"/>
    <n v="225"/>
    <n v="75"/>
    <n v="2475"/>
    <n v="825"/>
    <n v="1650"/>
    <x v="71"/>
    <s v="Corporate &amp; Professional"/>
    <n v="11.274864741138284"/>
    <s v="Satisfied"/>
    <n v="10"/>
  </r>
  <r>
    <d v="2018-11-06T18:55:03"/>
    <s v="18-1774"/>
    <s v="P069"/>
    <x v="0"/>
    <n v="150"/>
    <n v="75"/>
    <n v="2250"/>
    <n v="1125"/>
    <n v="1125"/>
    <x v="223"/>
    <s v="Education"/>
    <n v="11.661237375491201"/>
    <s v="Satisfied"/>
    <n v="10"/>
  </r>
  <r>
    <d v="2022-08-14T11:31:02"/>
    <s v="22-1018"/>
    <s v="P087"/>
    <x v="9"/>
    <n v="176"/>
    <n v="88"/>
    <n v="3520"/>
    <n v="1760"/>
    <n v="1760"/>
    <x v="180"/>
    <s v="Community &amp; Government"/>
    <n v="12.045339240427111"/>
    <s v="Neither"/>
    <n v="5"/>
  </r>
  <r>
    <d v="2020-10-13T04:23:00"/>
    <s v="20-1805"/>
    <s v="P021"/>
    <x v="11"/>
    <n v="207"/>
    <n v="69"/>
    <n v="3312"/>
    <n v="1104"/>
    <n v="2208"/>
    <x v="127"/>
    <s v="Facilities &amp; Services"/>
    <n v="11.644564584314265"/>
    <s v="Neither"/>
    <n v="5"/>
  </r>
  <r>
    <d v="2020-08-21T22:38:06"/>
    <s v="20-3738"/>
    <s v="P083"/>
    <x v="7"/>
    <n v="90"/>
    <n v="45"/>
    <n v="990"/>
    <n v="495"/>
    <n v="495"/>
    <x v="185"/>
    <s v="Education"/>
    <n v="13.466362789017223"/>
    <s v="Satisfied"/>
    <n v="10"/>
  </r>
  <r>
    <d v="2018-06-21T10:00:45"/>
    <s v="18-1593"/>
    <s v="P011"/>
    <x v="12"/>
    <n v="264"/>
    <n v="88"/>
    <n v="1848"/>
    <n v="616"/>
    <n v="1232"/>
    <x v="133"/>
    <s v="Corporate &amp; Professional"/>
    <n v="5.9872353338051019"/>
    <s v="Neither"/>
    <n v="5"/>
  </r>
  <r>
    <d v="2020-05-14T00:38:56"/>
    <s v="20-2941"/>
    <s v="P077"/>
    <x v="9"/>
    <n v="162"/>
    <n v="54"/>
    <n v="3240"/>
    <n v="1080"/>
    <n v="2160"/>
    <x v="211"/>
    <s v="Healthcare &amp; Safety"/>
    <n v="13.106678263594747"/>
    <s v="Satisfied"/>
    <n v="10"/>
  </r>
  <r>
    <d v="2018-09-20T05:29:51"/>
    <s v="18-4916"/>
    <s v="P041"/>
    <x v="15"/>
    <n v="144"/>
    <n v="36"/>
    <n v="2448"/>
    <n v="612"/>
    <n v="1836"/>
    <x v="224"/>
    <s v="Creative &amp; Technology"/>
    <n v="11.943192562152261"/>
    <s v="Dissatisfied"/>
    <n v="1"/>
  </r>
  <r>
    <d v="2019-08-20T01:41:28"/>
    <s v="19-3912"/>
    <s v="P056"/>
    <x v="2"/>
    <n v="72"/>
    <n v="36"/>
    <n v="936"/>
    <n v="468"/>
    <n v="468"/>
    <x v="225"/>
    <s v="Healthcare &amp; Safety"/>
    <n v="9.4608554813364627"/>
    <s v="Neither"/>
    <n v="5"/>
  </r>
  <r>
    <d v="2020-11-14T15:39:17"/>
    <s v="20-3041"/>
    <s v="P013"/>
    <x v="8"/>
    <n v="58"/>
    <n v="29"/>
    <n v="812"/>
    <n v="406"/>
    <n v="406"/>
    <x v="226"/>
    <s v="Community &amp; Government"/>
    <n v="11.927799225928501"/>
    <s v="Satisfied"/>
    <n v="10"/>
  </r>
  <r>
    <d v="2021-05-11T05:34:39"/>
    <s v="21-4284"/>
    <s v="P059"/>
    <x v="8"/>
    <n v="267"/>
    <n v="89"/>
    <n v="3738"/>
    <n v="1246"/>
    <n v="2492"/>
    <x v="119"/>
    <s v="Education"/>
    <n v="12.456740895640767"/>
    <s v="Neither"/>
    <n v="5"/>
  </r>
  <r>
    <d v="2021-06-02T21:43:55"/>
    <s v="21-3305"/>
    <s v="P012"/>
    <x v="14"/>
    <n v="30"/>
    <n v="15"/>
    <n v="360"/>
    <n v="180"/>
    <n v="180"/>
    <x v="117"/>
    <s v="Corporate &amp; Professional"/>
    <n v="11.687634894637348"/>
    <s v="Satisfied"/>
    <n v="10"/>
  </r>
  <r>
    <d v="2019-09-29T23:35:33"/>
    <s v="19-2794"/>
    <s v="P033"/>
    <x v="1"/>
    <n v="57"/>
    <n v="19"/>
    <n v="456"/>
    <n v="152"/>
    <n v="304"/>
    <x v="77"/>
    <s v="Facilities &amp; Services"/>
    <n v="12.514998090845811"/>
    <s v="Neither"/>
    <n v="5"/>
  </r>
  <r>
    <d v="2021-01-01T13:45:19"/>
    <s v="21-1834"/>
    <s v="P087"/>
    <x v="3"/>
    <n v="176"/>
    <n v="88"/>
    <n v="704"/>
    <n v="352"/>
    <n v="352"/>
    <x v="227"/>
    <s v="Creative &amp; Technology"/>
    <n v="14.308257477047373"/>
    <s v="Satisfied"/>
    <n v="10"/>
  </r>
  <r>
    <d v="2020-07-01T08:52:26"/>
    <s v="20-1092"/>
    <s v="P055"/>
    <x v="5"/>
    <n v="360"/>
    <n v="90"/>
    <n v="1080"/>
    <n v="270"/>
    <n v="810"/>
    <x v="96"/>
    <s v="Healthcare &amp; Safety"/>
    <n v="11.221666113009938"/>
    <s v="Satisfied"/>
    <n v="10"/>
  </r>
  <r>
    <d v="2017-09-23T23:40:24"/>
    <s v="17-2322"/>
    <s v="P009"/>
    <x v="11"/>
    <n v="255"/>
    <n v="85"/>
    <n v="4080"/>
    <n v="1360"/>
    <n v="2720"/>
    <x v="71"/>
    <s v="Corporate &amp; Professional"/>
    <n v="11.274864741138284"/>
    <s v="Neither"/>
    <n v="5"/>
  </r>
  <r>
    <d v="2017-06-06T14:25:11"/>
    <s v="17-3237"/>
    <s v="P067"/>
    <x v="15"/>
    <n v="144"/>
    <n v="36"/>
    <n v="2448"/>
    <n v="612"/>
    <n v="1836"/>
    <x v="228"/>
    <s v="Corporate &amp; Professional"/>
    <n v="16.254955391951082"/>
    <s v="Neither"/>
    <n v="5"/>
  </r>
  <r>
    <d v="2020-06-20T18:14:05"/>
    <s v="20-4252"/>
    <s v="P091"/>
    <x v="5"/>
    <n v="204"/>
    <n v="51"/>
    <n v="612"/>
    <n v="153"/>
    <n v="459"/>
    <x v="229"/>
    <s v="Sports &amp; Recreation"/>
    <n v="11.417996201106442"/>
    <s v="Neither"/>
    <n v="5"/>
  </r>
  <r>
    <d v="2021-05-26T03:22:19"/>
    <s v="21-4662"/>
    <s v="P011"/>
    <x v="16"/>
    <n v="264"/>
    <n v="88"/>
    <n v="2376"/>
    <n v="792"/>
    <n v="1584"/>
    <x v="230"/>
    <s v="Community &amp; Government"/>
    <n v="12.155895475340943"/>
    <s v="Neither"/>
    <n v="5"/>
  </r>
  <r>
    <d v="2020-01-04T15:01:52"/>
    <s v="20-4066"/>
    <s v="P063"/>
    <x v="6"/>
    <n v="261"/>
    <n v="87"/>
    <n v="1566"/>
    <n v="522"/>
    <n v="1044"/>
    <x v="61"/>
    <s v="Education"/>
    <n v="13.697485557052493"/>
    <s v="Neither"/>
    <n v="5"/>
  </r>
  <r>
    <d v="2018-06-27T02:44:16"/>
    <s v="18-4284"/>
    <s v="P054"/>
    <x v="5"/>
    <n v="144"/>
    <n v="48"/>
    <n v="432"/>
    <n v="144"/>
    <n v="288"/>
    <x v="103"/>
    <s v="Education"/>
    <n v="14.687857652112591"/>
    <s v="Dissatisfied"/>
    <n v="1"/>
  </r>
  <r>
    <d v="2018-10-26T00:15:39"/>
    <s v="18-4437"/>
    <s v="P048"/>
    <x v="13"/>
    <n v="252"/>
    <n v="63"/>
    <n v="2520"/>
    <n v="630"/>
    <n v="1890"/>
    <x v="96"/>
    <s v="Healthcare &amp; Safety"/>
    <n v="11.221666113009938"/>
    <s v="Dissatisfied"/>
    <n v="1"/>
  </r>
  <r>
    <d v="2024-03-29T23:52:49"/>
    <s v="24-2571"/>
    <s v="P035"/>
    <x v="3"/>
    <n v="144"/>
    <n v="48"/>
    <n v="576"/>
    <n v="192"/>
    <n v="384"/>
    <x v="31"/>
    <s v="Corporate &amp; Professional"/>
    <n v="9.4200113153305907"/>
    <s v="Satisfied"/>
    <n v="10"/>
  </r>
  <r>
    <d v="2020-09-11T00:05:19"/>
    <s v="20-4010"/>
    <s v="P070"/>
    <x v="14"/>
    <n v="84"/>
    <n v="21"/>
    <n v="1008"/>
    <n v="252"/>
    <n v="756"/>
    <x v="231"/>
    <s v="Facilities &amp; Services"/>
    <n v="14.060995290679429"/>
    <s v="Neither"/>
    <n v="5"/>
  </r>
  <r>
    <d v="2020-12-02T13:56:49"/>
    <s v="20-1584"/>
    <s v="P053"/>
    <x v="10"/>
    <n v="50"/>
    <n v="25"/>
    <n v="250"/>
    <n v="125"/>
    <n v="125"/>
    <x v="6"/>
    <s v="Creative &amp; Technology"/>
    <n v="11.749993886708426"/>
    <s v="Neither"/>
    <n v="5"/>
  </r>
  <r>
    <d v="2021-07-23T19:24:27"/>
    <s v="21-2336"/>
    <s v="P088"/>
    <x v="7"/>
    <n v="192"/>
    <n v="96"/>
    <n v="2112"/>
    <n v="1056"/>
    <n v="1056"/>
    <x v="74"/>
    <s v="Education"/>
    <n v="12.699346182652626"/>
    <s v="Neither"/>
    <n v="5"/>
  </r>
  <r>
    <d v="2019-04-24T22:35:15"/>
    <s v="19-4674"/>
    <s v="P051"/>
    <x v="14"/>
    <n v="135"/>
    <n v="45"/>
    <n v="1620"/>
    <n v="540"/>
    <n v="1080"/>
    <x v="166"/>
    <s v="Healthcare &amp; Safety"/>
    <n v="10.112765954734209"/>
    <s v="Neither"/>
    <n v="5"/>
  </r>
  <r>
    <d v="2019-06-05T06:23:49"/>
    <s v="19-2776"/>
    <s v="P061"/>
    <x v="6"/>
    <n v="264"/>
    <n v="88"/>
    <n v="1584"/>
    <n v="528"/>
    <n v="1056"/>
    <x v="93"/>
    <s v="Facilities &amp; Services"/>
    <n v="10.966283117837653"/>
    <s v="Dissatisfied"/>
    <n v="1"/>
  </r>
  <r>
    <d v="2021-03-13T08:56:18"/>
    <s v="21-1098"/>
    <s v="P080"/>
    <x v="10"/>
    <n v="57"/>
    <n v="19"/>
    <n v="285"/>
    <n v="95"/>
    <n v="190"/>
    <x v="37"/>
    <s v="Corporate &amp; Professional"/>
    <n v="11.749038185128619"/>
    <s v="Neither"/>
    <n v="5"/>
  </r>
  <r>
    <d v="2020-05-25T03:30:24"/>
    <s v="20-1810"/>
    <s v="P056"/>
    <x v="8"/>
    <n v="72"/>
    <n v="36"/>
    <n v="1008"/>
    <n v="504"/>
    <n v="504"/>
    <x v="174"/>
    <s v="Corporate &amp; Professional"/>
    <n v="12.921682080641304"/>
    <s v="Dissatisfied"/>
    <n v="1"/>
  </r>
  <r>
    <d v="2019-12-20T16:58:22"/>
    <s v="19-1150"/>
    <s v="P062"/>
    <x v="3"/>
    <n v="348"/>
    <n v="87"/>
    <n v="1392"/>
    <n v="348"/>
    <n v="1044"/>
    <x v="66"/>
    <s v="Facilities &amp; Services"/>
    <n v="12.172922939334034"/>
    <s v="Satisfied"/>
    <n v="10"/>
  </r>
  <r>
    <d v="2018-03-18T00:49:38"/>
    <s v="18-2109"/>
    <s v="P066"/>
    <x v="1"/>
    <n v="34"/>
    <n v="17"/>
    <n v="272"/>
    <n v="136"/>
    <n v="136"/>
    <x v="145"/>
    <s v="Sports &amp; Recreation"/>
    <n v="7.9963422143733238"/>
    <s v="Neither"/>
    <n v="5"/>
  </r>
  <r>
    <d v="2019-01-05T06:39:43"/>
    <s v="19-4017"/>
    <s v="P048"/>
    <x v="5"/>
    <n v="252"/>
    <n v="63"/>
    <n v="756"/>
    <n v="189"/>
    <n v="567"/>
    <x v="2"/>
    <s v="Facilities &amp; Services"/>
    <n v="9.3226775515721787"/>
    <s v="Neither"/>
    <n v="5"/>
  </r>
  <r>
    <d v="2017-11-21T15:53:21"/>
    <s v="17-4293"/>
    <s v="P040"/>
    <x v="6"/>
    <n v="160"/>
    <n v="80"/>
    <n v="960"/>
    <n v="480"/>
    <n v="480"/>
    <x v="104"/>
    <s v="Facilities &amp; Services"/>
    <n v="11.769293993029555"/>
    <s v="Satisfied"/>
    <n v="10"/>
  </r>
  <r>
    <d v="2021-02-10T00:57:52"/>
    <s v="21-3963"/>
    <s v="P036"/>
    <x v="11"/>
    <n v="280"/>
    <n v="70"/>
    <n v="4480"/>
    <n v="1120"/>
    <n v="3360"/>
    <x v="224"/>
    <s v="Creative &amp; Technology"/>
    <n v="11.943192562152261"/>
    <s v="Neither"/>
    <n v="5"/>
  </r>
  <r>
    <d v="2020-12-15T05:57:34"/>
    <s v="20-2805"/>
    <s v="P030"/>
    <x v="2"/>
    <n v="81"/>
    <n v="27"/>
    <n v="1053"/>
    <n v="351"/>
    <n v="702"/>
    <x v="61"/>
    <s v="Education"/>
    <n v="13.697485557052493"/>
    <s v="Neither"/>
    <n v="5"/>
  </r>
  <r>
    <d v="2020-02-14T20:04:23"/>
    <s v="20-2394"/>
    <s v="P045"/>
    <x v="11"/>
    <n v="100"/>
    <n v="25"/>
    <n v="1600"/>
    <n v="400"/>
    <n v="1200"/>
    <x v="137"/>
    <s v="Facilities &amp; Services"/>
    <n v="15.861056998489449"/>
    <s v="Neither"/>
    <n v="5"/>
  </r>
  <r>
    <d v="2020-01-08T17:20:32"/>
    <s v="20-4498"/>
    <s v="P097"/>
    <x v="17"/>
    <n v="92"/>
    <n v="46"/>
    <n v="92"/>
    <n v="46"/>
    <n v="46"/>
    <x v="165"/>
    <s v="Creative &amp; Technology"/>
    <n v="13.929237493388955"/>
    <s v="Neither"/>
    <n v="5"/>
  </r>
  <r>
    <d v="2021-03-14T09:15:13"/>
    <s v="21-3958"/>
    <s v="P077"/>
    <x v="19"/>
    <n v="162"/>
    <n v="54"/>
    <n v="3078"/>
    <n v="1026"/>
    <n v="2052"/>
    <x v="110"/>
    <s v="Sports &amp; Recreation"/>
    <n v="14.690198582365463"/>
    <s v="Satisfied"/>
    <n v="10"/>
  </r>
  <r>
    <d v="2018-09-20T16:03:00"/>
    <s v="18-3446"/>
    <s v="P076"/>
    <x v="9"/>
    <n v="94"/>
    <n v="47"/>
    <n v="1880"/>
    <n v="940"/>
    <n v="940"/>
    <x v="217"/>
    <s v="Education"/>
    <n v="11.862005526237752"/>
    <s v="Neither"/>
    <n v="5"/>
  </r>
  <r>
    <d v="2019-03-25T05:30:02"/>
    <s v="19-4117"/>
    <s v="P094"/>
    <x v="14"/>
    <n v="80"/>
    <n v="20"/>
    <n v="960"/>
    <n v="240"/>
    <n v="720"/>
    <x v="69"/>
    <s v="Healthcare &amp; Safety"/>
    <n v="9.3014286057233697"/>
    <s v="Neither"/>
    <n v="5"/>
  </r>
  <r>
    <d v="2020-05-28T05:13:52"/>
    <s v="20-4278"/>
    <s v="P037"/>
    <x v="5"/>
    <n v="160"/>
    <n v="80"/>
    <n v="480"/>
    <n v="240"/>
    <n v="240"/>
    <x v="232"/>
    <s v="Corporate &amp; Professional"/>
    <n v="11.816654396440285"/>
    <s v="Dissatisfied"/>
    <n v="1"/>
  </r>
  <r>
    <d v="2019-09-13T22:19:14"/>
    <s v="19-2832"/>
    <s v="P004"/>
    <x v="15"/>
    <n v="189"/>
    <n v="63"/>
    <n v="3213"/>
    <n v="1071"/>
    <n v="2142"/>
    <x v="80"/>
    <s v="Education"/>
    <n v="12.503632939408062"/>
    <s v="Neither"/>
    <n v="5"/>
  </r>
  <r>
    <d v="2021-02-21T16:54:42"/>
    <s v="21-3874"/>
    <s v="P001"/>
    <x v="6"/>
    <n v="108"/>
    <n v="36"/>
    <n v="648"/>
    <n v="216"/>
    <n v="432"/>
    <x v="122"/>
    <s v="Creative &amp; Technology"/>
    <n v="11.082295381980092"/>
    <s v="Neither"/>
    <n v="5"/>
  </r>
  <r>
    <d v="2022-05-18T07:02:31"/>
    <s v="22-3402"/>
    <s v="P026"/>
    <x v="3"/>
    <n v="280"/>
    <n v="70"/>
    <n v="1120"/>
    <n v="280"/>
    <n v="840"/>
    <x v="178"/>
    <s v="Education"/>
    <n v="14.760829371220243"/>
    <s v="Satisfied"/>
    <n v="10"/>
  </r>
  <r>
    <d v="2020-09-18T06:34:51"/>
    <s v="20-2384"/>
    <s v="P041"/>
    <x v="1"/>
    <n v="144"/>
    <n v="36"/>
    <n v="1152"/>
    <n v="288"/>
    <n v="864"/>
    <x v="188"/>
    <s v="Healthcare &amp; Safety"/>
    <n v="9.8892508156549788"/>
    <s v="Satisfied"/>
    <n v="10"/>
  </r>
  <r>
    <d v="2020-07-30T10:48:05"/>
    <s v="20-1331"/>
    <s v="P007"/>
    <x v="14"/>
    <n v="225"/>
    <n v="75"/>
    <n v="2700"/>
    <n v="900"/>
    <n v="1800"/>
    <x v="176"/>
    <s v="Corporate &amp; Professional"/>
    <n v="11.769937929618399"/>
    <s v="Dissatisfied"/>
    <n v="1"/>
  </r>
  <r>
    <d v="2022-11-26T07:36:24"/>
    <s v="22-2244"/>
    <s v="P065"/>
    <x v="2"/>
    <n v="50"/>
    <n v="25"/>
    <n v="650"/>
    <n v="325"/>
    <n v="325"/>
    <x v="233"/>
    <s v="Education"/>
    <n v="9.5176115401380308"/>
    <s v="Neither"/>
    <n v="5"/>
  </r>
  <r>
    <d v="2021-02-24T18:16:51"/>
    <s v="21-1397"/>
    <s v="P097"/>
    <x v="17"/>
    <n v="92"/>
    <n v="46"/>
    <n v="92"/>
    <n v="46"/>
    <n v="46"/>
    <x v="117"/>
    <s v="Corporate &amp; Professional"/>
    <n v="11.687634894637348"/>
    <s v="Neither"/>
    <n v="5"/>
  </r>
  <r>
    <d v="2018-11-18T10:15:17"/>
    <s v="18-3805"/>
    <s v="P093"/>
    <x v="15"/>
    <n v="384"/>
    <n v="96"/>
    <n v="6528"/>
    <n v="1632"/>
    <n v="4896"/>
    <x v="234"/>
    <s v="Creative &amp; Technology"/>
    <n v="12.990345718839325"/>
    <s v="Neither"/>
    <n v="5"/>
  </r>
  <r>
    <d v="2020-02-03T16:21:20"/>
    <s v="20-1476"/>
    <s v="P053"/>
    <x v="17"/>
    <n v="50"/>
    <n v="25"/>
    <n v="50"/>
    <n v="25"/>
    <n v="25"/>
    <x v="146"/>
    <s v="Creative &amp; Technology"/>
    <n v="10.764293826791503"/>
    <s v="Neither"/>
    <n v="5"/>
  </r>
  <r>
    <d v="2022-07-29T23:51:13"/>
    <s v="22-1984"/>
    <s v="P085"/>
    <x v="16"/>
    <n v="320"/>
    <n v="80"/>
    <n v="2880"/>
    <n v="720"/>
    <n v="2160"/>
    <x v="235"/>
    <s v="Facilities &amp; Services"/>
    <n v="11.226611755437654"/>
    <s v="Dissatisfied"/>
    <n v="1"/>
  </r>
  <r>
    <d v="2019-01-02T14:32:55"/>
    <s v="19-1101"/>
    <s v="P099"/>
    <x v="19"/>
    <n v="132"/>
    <n v="33"/>
    <n v="2508"/>
    <n v="627"/>
    <n v="1881"/>
    <x v="6"/>
    <s v="Creative &amp; Technology"/>
    <n v="11.749993886708426"/>
    <s v="Satisfied"/>
    <n v="10"/>
  </r>
  <r>
    <d v="2023-06-22T15:20:19"/>
    <s v="23-3975"/>
    <s v="P066"/>
    <x v="17"/>
    <n v="34"/>
    <n v="17"/>
    <n v="34"/>
    <n v="17"/>
    <n v="17"/>
    <x v="22"/>
    <s v="Sports &amp; Recreation"/>
    <n v="9.7467096260695598"/>
    <s v="Satisfied"/>
    <n v="10"/>
  </r>
  <r>
    <d v="2020-12-01T23:07:25"/>
    <s v="20-2299"/>
    <s v="P039"/>
    <x v="4"/>
    <n v="270"/>
    <n v="90"/>
    <n v="540"/>
    <n v="180"/>
    <n v="360"/>
    <x v="128"/>
    <s v="Healthcare &amp; Safety"/>
    <n v="10.96230865592911"/>
    <s v="Satisfied"/>
    <n v="10"/>
  </r>
  <r>
    <d v="2018-09-16T02:38:37"/>
    <s v="18-1650"/>
    <s v="P029"/>
    <x v="2"/>
    <n v="300"/>
    <n v="75"/>
    <n v="3900"/>
    <n v="975"/>
    <n v="2925"/>
    <x v="59"/>
    <s v="Creative &amp; Technology"/>
    <n v="10.980884286450312"/>
    <s v="Neither"/>
    <n v="5"/>
  </r>
  <r>
    <d v="2018-03-14T06:04:23"/>
    <s v="18-3489"/>
    <s v="P010"/>
    <x v="7"/>
    <n v="144"/>
    <n v="36"/>
    <n v="1584"/>
    <n v="396"/>
    <n v="1188"/>
    <x v="236"/>
    <s v="Creative &amp; Technology"/>
    <n v="13.827196127590291"/>
    <s v="Dissatisfied"/>
    <n v="1"/>
  </r>
  <r>
    <d v="2022-04-10T03:43:00"/>
    <s v="22-3199"/>
    <s v="P056"/>
    <x v="3"/>
    <n v="72"/>
    <n v="36"/>
    <n v="288"/>
    <n v="144"/>
    <n v="144"/>
    <x v="4"/>
    <s v="Education"/>
    <n v="15.24190997853951"/>
    <s v="Dissatisfied"/>
    <n v="1"/>
  </r>
  <r>
    <d v="2020-08-18T11:33:05"/>
    <s v="20-3114"/>
    <s v="P090"/>
    <x v="6"/>
    <n v="57"/>
    <n v="19"/>
    <n v="342"/>
    <n v="114"/>
    <n v="228"/>
    <x v="214"/>
    <s v="Corporate &amp; Professional"/>
    <n v="12.985332015423809"/>
    <s v="Satisfied"/>
    <n v="10"/>
  </r>
  <r>
    <d v="2021-04-08T05:04:19"/>
    <s v="21-4422"/>
    <s v="P058"/>
    <x v="3"/>
    <n v="356"/>
    <n v="89"/>
    <n v="1424"/>
    <n v="356"/>
    <n v="1068"/>
    <x v="153"/>
    <s v="Corporate &amp; Professional"/>
    <n v="11.799431383856128"/>
    <s v="Neither"/>
    <n v="5"/>
  </r>
  <r>
    <d v="2020-09-07T11:29:46"/>
    <s v="20-4300"/>
    <s v="P053"/>
    <x v="6"/>
    <n v="50"/>
    <n v="25"/>
    <n v="300"/>
    <n v="150"/>
    <n v="150"/>
    <x v="25"/>
    <s v="Sports &amp; Recreation"/>
    <n v="11.128721898968678"/>
    <s v="Neither"/>
    <n v="5"/>
  </r>
  <r>
    <d v="2018-10-31T02:21:01"/>
    <s v="18-4975"/>
    <s v="P022"/>
    <x v="18"/>
    <n v="153"/>
    <n v="51"/>
    <n v="2754"/>
    <n v="918"/>
    <n v="1836"/>
    <x v="178"/>
    <s v="Education"/>
    <n v="14.760829371220243"/>
    <s v="Dissatisfied"/>
    <n v="1"/>
  </r>
  <r>
    <d v="2019-04-11T00:48:20"/>
    <s v="19-1999"/>
    <s v="P001"/>
    <x v="13"/>
    <n v="108"/>
    <n v="36"/>
    <n v="1080"/>
    <n v="360"/>
    <n v="720"/>
    <x v="27"/>
    <s v="Healthcare &amp; Safety"/>
    <n v="10.42743035829395"/>
    <s v="Satisfied"/>
    <n v="10"/>
  </r>
  <r>
    <d v="2019-12-23T11:10:51"/>
    <s v="19-1077"/>
    <s v="P096"/>
    <x v="4"/>
    <n v="144"/>
    <n v="48"/>
    <n v="288"/>
    <n v="96"/>
    <n v="192"/>
    <x v="130"/>
    <s v="Healthcare &amp; Safety"/>
    <n v="13.923194761258239"/>
    <s v="Neither"/>
    <n v="5"/>
  </r>
  <r>
    <d v="2020-01-15T07:24:46"/>
    <s v="20-4635"/>
    <s v="P057"/>
    <x v="17"/>
    <n v="252"/>
    <n v="63"/>
    <n v="252"/>
    <n v="63"/>
    <n v="189"/>
    <x v="187"/>
    <s v="Creative &amp; Technology"/>
    <n v="13.259563298324382"/>
    <s v="Neither"/>
    <n v="5"/>
  </r>
  <r>
    <d v="2020-02-06T04:43:41"/>
    <s v="20-1111"/>
    <s v="P021"/>
    <x v="9"/>
    <n v="207"/>
    <n v="69"/>
    <n v="4140"/>
    <n v="1380"/>
    <n v="2760"/>
    <x v="137"/>
    <s v="Facilities &amp; Services"/>
    <n v="15.861056998489449"/>
    <s v="Satisfied"/>
    <n v="10"/>
  </r>
  <r>
    <d v="2020-01-06T18:53:31"/>
    <s v="20-1216"/>
    <s v="P004"/>
    <x v="0"/>
    <n v="189"/>
    <n v="63"/>
    <n v="2835"/>
    <n v="945"/>
    <n v="1890"/>
    <x v="48"/>
    <s v="Creative &amp; Technology"/>
    <n v="11.939773463335372"/>
    <s v="Satisfied"/>
    <n v="10"/>
  </r>
  <r>
    <d v="2020-06-24T18:48:16"/>
    <s v="20-4468"/>
    <s v="P086"/>
    <x v="0"/>
    <n v="352"/>
    <n v="88"/>
    <n v="5280"/>
    <n v="1320"/>
    <n v="3960"/>
    <x v="206"/>
    <s v="Community &amp; Government"/>
    <n v="12.699042739101285"/>
    <s v="Neither"/>
    <n v="5"/>
  </r>
  <r>
    <d v="2020-07-26T20:56:04"/>
    <s v="20-1937"/>
    <s v="P016"/>
    <x v="15"/>
    <n v="110"/>
    <n v="55"/>
    <n v="1870"/>
    <n v="935"/>
    <n v="935"/>
    <x v="237"/>
    <s v="Creative &amp; Technology"/>
    <n v="11.485823039755857"/>
    <s v="Satisfied"/>
    <n v="10"/>
  </r>
  <r>
    <d v="2021-12-09T09:48:09"/>
    <s v="21-4255"/>
    <s v="P009"/>
    <x v="0"/>
    <n v="255"/>
    <n v="85"/>
    <n v="3825"/>
    <n v="1275"/>
    <n v="2550"/>
    <x v="238"/>
    <s v="Education"/>
    <n v="13.275355576494196"/>
    <s v="Satisfied"/>
    <n v="10"/>
  </r>
  <r>
    <d v="2020-11-26T04:51:58"/>
    <s v="20-1157"/>
    <s v="P022"/>
    <x v="16"/>
    <n v="153"/>
    <n v="51"/>
    <n v="1377"/>
    <n v="459"/>
    <n v="918"/>
    <x v="151"/>
    <s v="Sports &amp; Recreation"/>
    <n v="9.458617986208397"/>
    <s v="Neither"/>
    <n v="5"/>
  </r>
  <r>
    <d v="2019-04-11T16:00:58"/>
    <s v="19-1735"/>
    <s v="P003"/>
    <x v="15"/>
    <n v="189"/>
    <n v="63"/>
    <n v="3213"/>
    <n v="1071"/>
    <n v="2142"/>
    <x v="239"/>
    <s v="Facilities &amp; Services"/>
    <n v="12.37474961859551"/>
    <s v="Neither"/>
    <n v="5"/>
  </r>
  <r>
    <d v="2018-05-10T18:10:37"/>
    <s v="18-1437"/>
    <s v="P029"/>
    <x v="8"/>
    <n v="300"/>
    <n v="75"/>
    <n v="4200"/>
    <n v="1050"/>
    <n v="3150"/>
    <x v="97"/>
    <s v="Corporate &amp; Professional"/>
    <n v="12.545140403858928"/>
    <s v="Neither"/>
    <n v="5"/>
  </r>
  <r>
    <d v="2018-10-04T21:09:57"/>
    <s v="18-4129"/>
    <s v="P053"/>
    <x v="2"/>
    <n v="50"/>
    <n v="25"/>
    <n v="650"/>
    <n v="325"/>
    <n v="325"/>
    <x v="240"/>
    <s v="Sports &amp; Recreation"/>
    <n v="12.701325659159139"/>
    <s v="Satisfied"/>
    <n v="10"/>
  </r>
  <r>
    <d v="2019-11-27T23:30:01"/>
    <s v="19-1190"/>
    <s v="P067"/>
    <x v="11"/>
    <n v="144"/>
    <n v="36"/>
    <n v="2304"/>
    <n v="576"/>
    <n v="1728"/>
    <x v="43"/>
    <s v="Corporate &amp; Professional"/>
    <n v="15.121383064708469"/>
    <s v="Satisfied"/>
    <n v="10"/>
  </r>
  <r>
    <d v="2021-10-31T00:30:23"/>
    <s v="21-4541"/>
    <s v="P021"/>
    <x v="8"/>
    <n v="207"/>
    <n v="69"/>
    <n v="2898"/>
    <n v="966"/>
    <n v="1932"/>
    <x v="156"/>
    <s v="Healthcare &amp; Safety"/>
    <n v="12.801144805697081"/>
    <s v="Neither"/>
    <n v="5"/>
  </r>
  <r>
    <d v="2019-05-15T18:33:55"/>
    <s v="19-2955"/>
    <s v="P017"/>
    <x v="19"/>
    <n v="120"/>
    <n v="30"/>
    <n v="2280"/>
    <n v="570"/>
    <n v="1710"/>
    <x v="151"/>
    <s v="Sports &amp; Recreation"/>
    <n v="9.458617986208397"/>
    <s v="Neither"/>
    <n v="5"/>
  </r>
  <r>
    <d v="2021-12-23T14:42:57"/>
    <s v="21-4868"/>
    <s v="P003"/>
    <x v="14"/>
    <n v="189"/>
    <n v="63"/>
    <n v="2268"/>
    <n v="756"/>
    <n v="1512"/>
    <x v="199"/>
    <s v="Healthcare &amp; Safety"/>
    <n v="14.460020532456038"/>
    <s v="Neither"/>
    <n v="5"/>
  </r>
  <r>
    <d v="2020-11-15T15:49:03"/>
    <s v="20-4698"/>
    <s v="P059"/>
    <x v="10"/>
    <n v="267"/>
    <n v="89"/>
    <n v="1335"/>
    <n v="445"/>
    <n v="890"/>
    <x v="168"/>
    <s v="Healthcare &amp; Safety"/>
    <n v="9.74650548941427"/>
    <s v="Satisfied"/>
    <n v="10"/>
  </r>
  <r>
    <d v="2022-02-22T19:00:24"/>
    <s v="22-3239"/>
    <s v="P086"/>
    <x v="13"/>
    <n v="352"/>
    <n v="88"/>
    <n v="3520"/>
    <n v="880"/>
    <n v="2640"/>
    <x v="93"/>
    <s v="Facilities &amp; Services"/>
    <n v="10.966283117837653"/>
    <s v="Satisfied"/>
    <n v="10"/>
  </r>
  <r>
    <d v="2018-08-27T07:01:06"/>
    <s v="18-4254"/>
    <s v="P022"/>
    <x v="1"/>
    <n v="153"/>
    <n v="51"/>
    <n v="1224"/>
    <n v="408"/>
    <n v="816"/>
    <x v="241"/>
    <s v="Community &amp; Government"/>
    <n v="15.856807810268592"/>
    <s v="Neither"/>
    <n v="5"/>
  </r>
  <r>
    <d v="2021-03-14T22:56:32"/>
    <s v="21-1082"/>
    <s v="P078"/>
    <x v="15"/>
    <n v="225"/>
    <n v="75"/>
    <n v="3825"/>
    <n v="1275"/>
    <n v="2550"/>
    <x v="242"/>
    <s v="Corporate &amp; Professional"/>
    <n v="13.062292798511226"/>
    <s v="Neither"/>
    <n v="5"/>
  </r>
  <r>
    <d v="2019-07-14T18:53:17"/>
    <s v="19-3326"/>
    <s v="P016"/>
    <x v="17"/>
    <n v="110"/>
    <n v="55"/>
    <n v="110"/>
    <n v="55"/>
    <n v="55"/>
    <x v="211"/>
    <s v="Healthcare &amp; Safety"/>
    <n v="13.106678263594747"/>
    <s v="Neither"/>
    <n v="5"/>
  </r>
  <r>
    <d v="2020-12-01T09:01:42"/>
    <s v="20-4925"/>
    <s v="P042"/>
    <x v="17"/>
    <n v="50"/>
    <n v="25"/>
    <n v="50"/>
    <n v="25"/>
    <n v="25"/>
    <x v="158"/>
    <s v="Creative &amp; Technology"/>
    <n v="15.207985888346794"/>
    <s v="Neither"/>
    <n v="5"/>
  </r>
  <r>
    <d v="2019-02-28T20:25:18"/>
    <s v="19-2824"/>
    <s v="P023"/>
    <x v="7"/>
    <n v="126"/>
    <n v="42"/>
    <n v="1386"/>
    <n v="462"/>
    <n v="924"/>
    <x v="58"/>
    <s v="Creative &amp; Technology"/>
    <n v="11.995406972581796"/>
    <s v="Neither"/>
    <n v="5"/>
  </r>
  <r>
    <d v="2022-02-06T21:42:31"/>
    <s v="22-4673"/>
    <s v="P019"/>
    <x v="12"/>
    <n v="308"/>
    <n v="77"/>
    <n v="2156"/>
    <n v="539"/>
    <n v="1617"/>
    <x v="126"/>
    <s v="Creative &amp; Technology"/>
    <n v="12.399050786131125"/>
    <s v="Neither"/>
    <n v="5"/>
  </r>
  <r>
    <d v="2021-01-19T23:54:19"/>
    <s v="21-3066"/>
    <s v="P051"/>
    <x v="1"/>
    <n v="135"/>
    <n v="45"/>
    <n v="1080"/>
    <n v="360"/>
    <n v="720"/>
    <x v="173"/>
    <s v="Education"/>
    <n v="12.147202500273634"/>
    <s v="Neither"/>
    <n v="5"/>
  </r>
  <r>
    <d v="2019-04-07T14:48:24"/>
    <s v="19-2241"/>
    <s v="P099"/>
    <x v="13"/>
    <n v="132"/>
    <n v="33"/>
    <n v="1320"/>
    <n v="330"/>
    <n v="990"/>
    <x v="23"/>
    <s v="Healthcare &amp; Safety"/>
    <n v="13.407340878370247"/>
    <s v="Neither"/>
    <n v="5"/>
  </r>
  <r>
    <d v="2019-01-03T21:42:15"/>
    <s v="19-1676"/>
    <s v="P027"/>
    <x v="19"/>
    <n v="140"/>
    <n v="70"/>
    <n v="2660"/>
    <n v="1330"/>
    <n v="1330"/>
    <x v="151"/>
    <s v="Sports &amp; Recreation"/>
    <n v="9.458617986208397"/>
    <s v="Dissatisfied"/>
    <n v="1"/>
  </r>
  <r>
    <d v="2019-03-15T14:51:00"/>
    <s v="19-4732"/>
    <s v="P033"/>
    <x v="12"/>
    <n v="57"/>
    <n v="19"/>
    <n v="399"/>
    <n v="133"/>
    <n v="266"/>
    <x v="166"/>
    <s v="Healthcare &amp; Safety"/>
    <n v="10.112765954734209"/>
    <s v="Neither"/>
    <n v="5"/>
  </r>
  <r>
    <d v="2021-08-24T19:34:06"/>
    <s v="21-3857"/>
    <s v="P020"/>
    <x v="15"/>
    <n v="180"/>
    <n v="45"/>
    <n v="3060"/>
    <n v="765"/>
    <n v="2295"/>
    <x v="206"/>
    <s v="Community &amp; Government"/>
    <n v="12.699042739101285"/>
    <s v="Neither"/>
    <n v="5"/>
  </r>
  <r>
    <d v="2019-03-20T19:00:37"/>
    <s v="19-1356"/>
    <s v="P076"/>
    <x v="9"/>
    <n v="94"/>
    <n v="47"/>
    <n v="1880"/>
    <n v="940"/>
    <n v="940"/>
    <x v="242"/>
    <s v="Corporate &amp; Professional"/>
    <n v="13.062292798511226"/>
    <s v="Dissatisfied"/>
    <n v="1"/>
  </r>
  <r>
    <d v="2020-12-29T14:13:20"/>
    <s v="20-3765"/>
    <s v="P067"/>
    <x v="0"/>
    <n v="144"/>
    <n v="36"/>
    <n v="2160"/>
    <n v="540"/>
    <n v="1620"/>
    <x v="243"/>
    <s v="Creative &amp; Technology"/>
    <n v="11.952554704438674"/>
    <s v="Neither"/>
    <n v="5"/>
  </r>
  <r>
    <d v="2021-01-01T06:43:00"/>
    <s v="21-4589"/>
    <s v="P017"/>
    <x v="3"/>
    <n v="120"/>
    <n v="30"/>
    <n v="480"/>
    <n v="120"/>
    <n v="360"/>
    <x v="174"/>
    <s v="Corporate &amp; Professional"/>
    <n v="12.921682080641304"/>
    <s v="Neither"/>
    <n v="5"/>
  </r>
  <r>
    <d v="2019-09-01T16:14:17"/>
    <s v="19-1785"/>
    <s v="P068"/>
    <x v="17"/>
    <n v="300"/>
    <n v="75"/>
    <n v="300"/>
    <n v="75"/>
    <n v="225"/>
    <x v="40"/>
    <s v="Corporate &amp; Professional"/>
    <n v="14.370283356317486"/>
    <s v="Dissatisfied"/>
    <n v="1"/>
  </r>
  <r>
    <d v="2017-02-15T03:26:27"/>
    <s v="17-4385"/>
    <s v="P049"/>
    <x v="9"/>
    <n v="356"/>
    <n v="89"/>
    <n v="7120"/>
    <n v="1780"/>
    <n v="5340"/>
    <x v="9"/>
    <s v="Sports &amp; Recreation"/>
    <n v="15.602184182549776"/>
    <s v="Satisfied"/>
    <n v="10"/>
  </r>
  <r>
    <d v="2019-05-21T04:09:40"/>
    <s v="19-4248"/>
    <s v="P001"/>
    <x v="2"/>
    <n v="108"/>
    <n v="36"/>
    <n v="1404"/>
    <n v="468"/>
    <n v="936"/>
    <x v="113"/>
    <s v="Community &amp; Government"/>
    <n v="11.655355879643379"/>
    <s v="Dissatisfied"/>
    <n v="1"/>
  </r>
  <r>
    <d v="2020-08-07T12:18:53"/>
    <s v="20-4738"/>
    <s v="P031"/>
    <x v="4"/>
    <n v="146"/>
    <n v="73"/>
    <n v="292"/>
    <n v="146"/>
    <n v="146"/>
    <x v="51"/>
    <s v="Facilities &amp; Services"/>
    <n v="10.523527521613014"/>
    <s v="Neither"/>
    <n v="5"/>
  </r>
  <r>
    <d v="2019-04-10T04:02:10"/>
    <s v="19-2100"/>
    <s v="P075"/>
    <x v="7"/>
    <n v="160"/>
    <n v="80"/>
    <n v="1760"/>
    <n v="880"/>
    <n v="880"/>
    <x v="244"/>
    <s v="Creative &amp; Technology"/>
    <n v="11.78346750250795"/>
    <s v="Neither"/>
    <n v="5"/>
  </r>
  <r>
    <d v="2019-09-30T18:42:03"/>
    <s v="19-3049"/>
    <s v="P098"/>
    <x v="12"/>
    <n v="201"/>
    <n v="67"/>
    <n v="1407"/>
    <n v="469"/>
    <n v="938"/>
    <x v="245"/>
    <s v="Sports &amp; Recreation"/>
    <n v="11.816651848338852"/>
    <s v="Neither"/>
    <n v="5"/>
  </r>
  <r>
    <d v="2017-12-28T03:23:32"/>
    <s v="17-4532"/>
    <s v="P059"/>
    <x v="8"/>
    <n v="267"/>
    <n v="89"/>
    <n v="3738"/>
    <n v="1246"/>
    <n v="2492"/>
    <x v="246"/>
    <s v="Facilities &amp; Services"/>
    <n v="13.853438793083487"/>
    <s v="Neither"/>
    <n v="5"/>
  </r>
  <r>
    <d v="2021-06-01T21:29:26"/>
    <s v="21-4651"/>
    <s v="P079"/>
    <x v="2"/>
    <n v="188"/>
    <n v="94"/>
    <n v="2444"/>
    <n v="1222"/>
    <n v="1222"/>
    <x v="73"/>
    <s v="Creative &amp; Technology"/>
    <n v="15.234329552872023"/>
    <s v="Dissatisfied"/>
    <n v="1"/>
  </r>
  <r>
    <d v="2020-11-13T09:19:48"/>
    <s v="20-3539"/>
    <s v="P089"/>
    <x v="7"/>
    <n v="102"/>
    <n v="51"/>
    <n v="1122"/>
    <n v="561"/>
    <n v="561"/>
    <x v="237"/>
    <s v="Creative &amp; Technology"/>
    <n v="11.485823039755857"/>
    <s v="Neither"/>
    <n v="5"/>
  </r>
  <r>
    <d v="2022-06-15T15:17:59"/>
    <s v="22-3852"/>
    <s v="P021"/>
    <x v="8"/>
    <n v="207"/>
    <n v="69"/>
    <n v="2898"/>
    <n v="966"/>
    <n v="1932"/>
    <x v="158"/>
    <s v="Creative &amp; Technology"/>
    <n v="15.207985888346794"/>
    <s v="Dissatisfied"/>
    <n v="1"/>
  </r>
  <r>
    <d v="2019-11-29T22:05:07"/>
    <s v="19-2732"/>
    <s v="P055"/>
    <x v="4"/>
    <n v="360"/>
    <n v="90"/>
    <n v="720"/>
    <n v="180"/>
    <n v="540"/>
    <x v="117"/>
    <s v="Corporate &amp; Professional"/>
    <n v="11.687634894637348"/>
    <s v="Satisfied"/>
    <n v="10"/>
  </r>
  <r>
    <d v="2020-10-04T10:04:13"/>
    <s v="20-3197"/>
    <s v="P013"/>
    <x v="18"/>
    <n v="58"/>
    <n v="29"/>
    <n v="1044"/>
    <n v="522"/>
    <n v="522"/>
    <x v="6"/>
    <s v="Creative &amp; Technology"/>
    <n v="11.749993886708426"/>
    <s v="Satisfied"/>
    <n v="10"/>
  </r>
  <r>
    <d v="2019-11-14T07:31:56"/>
    <s v="19-3158"/>
    <s v="P058"/>
    <x v="18"/>
    <n v="356"/>
    <n v="89"/>
    <n v="6408"/>
    <n v="1602"/>
    <n v="4806"/>
    <x v="98"/>
    <s v="Creative &amp; Technology"/>
    <n v="15.18789248529443"/>
    <s v="Dissatisfied"/>
    <n v="1"/>
  </r>
  <r>
    <d v="2020-11-13T03:42:19"/>
    <s v="20-4206"/>
    <s v="P026"/>
    <x v="16"/>
    <n v="280"/>
    <n v="70"/>
    <n v="2520"/>
    <n v="630"/>
    <n v="1890"/>
    <x v="231"/>
    <s v="Facilities &amp; Services"/>
    <n v="14.060995290679429"/>
    <s v="Neither"/>
    <n v="5"/>
  </r>
  <r>
    <d v="2021-07-15T22:58:41"/>
    <s v="21-2918"/>
    <s v="P051"/>
    <x v="14"/>
    <n v="135"/>
    <n v="45"/>
    <n v="1620"/>
    <n v="540"/>
    <n v="1080"/>
    <x v="247"/>
    <s v="Facilities &amp; Services"/>
    <n v="12.502346728827876"/>
    <s v="Neither"/>
    <n v="5"/>
  </r>
  <r>
    <d v="2019-07-13T23:23:55"/>
    <s v="19-4298"/>
    <s v="P031"/>
    <x v="17"/>
    <n v="146"/>
    <n v="73"/>
    <n v="146"/>
    <n v="73"/>
    <n v="73"/>
    <x v="91"/>
    <s v="Creative &amp; Technology"/>
    <n v="11.03324198943719"/>
    <s v="Satisfied"/>
    <n v="10"/>
  </r>
  <r>
    <d v="2020-07-16T19:27:01"/>
    <s v="20-3620"/>
    <s v="P069"/>
    <x v="13"/>
    <n v="150"/>
    <n v="75"/>
    <n v="1500"/>
    <n v="750"/>
    <n v="750"/>
    <x v="109"/>
    <s v="Sports &amp; Recreation"/>
    <n v="13.092530646074781"/>
    <s v="Dissatisfied"/>
    <n v="1"/>
  </r>
  <r>
    <d v="2019-10-23T17:34:59"/>
    <s v="19-2061"/>
    <s v="P037"/>
    <x v="18"/>
    <n v="160"/>
    <n v="80"/>
    <n v="2880"/>
    <n v="1440"/>
    <n v="1440"/>
    <x v="153"/>
    <s v="Corporate &amp; Professional"/>
    <n v="11.799431383856128"/>
    <s v="Satisfied"/>
    <n v="10"/>
  </r>
  <r>
    <d v="2023-07-06T14:14:27"/>
    <s v="23-3248"/>
    <s v="P033"/>
    <x v="19"/>
    <n v="57"/>
    <n v="19"/>
    <n v="1083"/>
    <n v="361"/>
    <n v="722"/>
    <x v="190"/>
    <s v="Corporate &amp; Professional"/>
    <n v="15.478388039566896"/>
    <s v="Neither"/>
    <n v="5"/>
  </r>
  <r>
    <d v="2020-06-10T09:08:32"/>
    <s v="20-2500"/>
    <s v="P068"/>
    <x v="14"/>
    <n v="300"/>
    <n v="75"/>
    <n v="3600"/>
    <n v="900"/>
    <n v="2700"/>
    <x v="86"/>
    <s v="Community &amp; Government"/>
    <n v="12.758430621858414"/>
    <s v="Neither"/>
    <n v="5"/>
  </r>
  <r>
    <d v="2019-10-14T09:28:03"/>
    <s v="19-3978"/>
    <s v="P067"/>
    <x v="3"/>
    <n v="144"/>
    <n v="36"/>
    <n v="576"/>
    <n v="144"/>
    <n v="432"/>
    <x v="214"/>
    <s v="Corporate &amp; Professional"/>
    <n v="12.985332015423809"/>
    <s v="Satisfied"/>
    <n v="10"/>
  </r>
  <r>
    <d v="2022-06-14T18:49:25"/>
    <s v="22-1421"/>
    <s v="P048"/>
    <x v="8"/>
    <n v="252"/>
    <n v="63"/>
    <n v="3528"/>
    <n v="882"/>
    <n v="2646"/>
    <x v="211"/>
    <s v="Healthcare &amp; Safety"/>
    <n v="13.106678263594747"/>
    <s v="Satisfied"/>
    <n v="10"/>
  </r>
  <r>
    <d v="2020-03-28T07:15:29"/>
    <s v="20-1801"/>
    <s v="P071"/>
    <x v="0"/>
    <n v="210"/>
    <n v="70"/>
    <n v="3150"/>
    <n v="1050"/>
    <n v="2100"/>
    <x v="109"/>
    <s v="Sports &amp; Recreation"/>
    <n v="13.092530646074781"/>
    <s v="Neither"/>
    <n v="5"/>
  </r>
  <r>
    <d v="2020-03-25T22:33:49"/>
    <s v="20-1190"/>
    <s v="P064"/>
    <x v="16"/>
    <n v="231"/>
    <n v="77"/>
    <n v="2079"/>
    <n v="693"/>
    <n v="1386"/>
    <x v="248"/>
    <s v="Creative &amp; Technology"/>
    <n v="11.130819205617987"/>
    <s v="Dissatisfied"/>
    <n v="1"/>
  </r>
  <r>
    <d v="2020-09-20T07:46:05"/>
    <s v="20-2971"/>
    <s v="P079"/>
    <x v="6"/>
    <n v="188"/>
    <n v="94"/>
    <n v="1128"/>
    <n v="564"/>
    <n v="564"/>
    <x v="140"/>
    <s v="Education"/>
    <n v="13.332534707865639"/>
    <s v="Satisfied"/>
    <n v="10"/>
  </r>
  <r>
    <d v="2019-06-27T22:54:52"/>
    <s v="19-1588"/>
    <s v="P032"/>
    <x v="1"/>
    <n v="92"/>
    <n v="46"/>
    <n v="736"/>
    <n v="368"/>
    <n v="368"/>
    <x v="240"/>
    <s v="Sports &amp; Recreation"/>
    <n v="12.701325659159139"/>
    <s v="Satisfied"/>
    <n v="10"/>
  </r>
  <r>
    <d v="2020-02-03T16:01:06"/>
    <s v="20-3768"/>
    <s v="P014"/>
    <x v="0"/>
    <n v="166"/>
    <n v="83"/>
    <n v="2490"/>
    <n v="1245"/>
    <n v="1245"/>
    <x v="174"/>
    <s v="Corporate &amp; Professional"/>
    <n v="12.921682080641304"/>
    <s v="Neither"/>
    <n v="5"/>
  </r>
  <r>
    <d v="2018-12-26T17:27:47"/>
    <s v="18-3025"/>
    <s v="P006"/>
    <x v="15"/>
    <n v="38"/>
    <n v="19"/>
    <n v="646"/>
    <n v="323"/>
    <n v="323"/>
    <x v="249"/>
    <s v="Corporate &amp; Professional"/>
    <n v="13.397308081757757"/>
    <s v="Neither"/>
    <n v="5"/>
  </r>
  <r>
    <d v="2017-12-16T20:50:53"/>
    <s v="17-3764"/>
    <s v="P012"/>
    <x v="11"/>
    <n v="30"/>
    <n v="15"/>
    <n v="480"/>
    <n v="240"/>
    <n v="240"/>
    <x v="250"/>
    <s v="Community &amp; Government"/>
    <n v="9.2053706474810433"/>
    <s v="Neither"/>
    <n v="5"/>
  </r>
  <r>
    <d v="2020-01-23T14:37:19"/>
    <s v="20-3199"/>
    <s v="P010"/>
    <x v="10"/>
    <n v="144"/>
    <n v="36"/>
    <n v="720"/>
    <n v="180"/>
    <n v="540"/>
    <x v="93"/>
    <s v="Facilities &amp; Services"/>
    <n v="10.966283117837653"/>
    <s v="Neither"/>
    <n v="5"/>
  </r>
  <r>
    <d v="2020-10-19T19:56:34"/>
    <s v="20-1544"/>
    <s v="P080"/>
    <x v="4"/>
    <n v="57"/>
    <n v="19"/>
    <n v="114"/>
    <n v="38"/>
    <n v="76"/>
    <x v="191"/>
    <s v="Corporate &amp; Professional"/>
    <n v="12.131375018945562"/>
    <s v="Neither"/>
    <n v="5"/>
  </r>
  <r>
    <d v="2019-10-16T01:24:01"/>
    <s v="19-2992"/>
    <s v="P056"/>
    <x v="16"/>
    <n v="72"/>
    <n v="36"/>
    <n v="648"/>
    <n v="324"/>
    <n v="324"/>
    <x v="183"/>
    <s v="Creative &amp; Technology"/>
    <n v="7.8974070387684714"/>
    <s v="Satisfied"/>
    <n v="10"/>
  </r>
  <r>
    <d v="2018-10-12T07:14:29"/>
    <s v="18-2779"/>
    <s v="P046"/>
    <x v="11"/>
    <n v="38"/>
    <n v="19"/>
    <n v="608"/>
    <n v="304"/>
    <n v="304"/>
    <x v="171"/>
    <s v="Education"/>
    <n v="11.808681852148307"/>
    <s v="Neither"/>
    <n v="5"/>
  </r>
  <r>
    <d v="2021-08-05T01:21:47"/>
    <s v="21-3023"/>
    <s v="P028"/>
    <x v="17"/>
    <n v="156"/>
    <n v="78"/>
    <n v="156"/>
    <n v="78"/>
    <n v="78"/>
    <x v="57"/>
    <s v="Facilities &amp; Services"/>
    <n v="12.177709716438097"/>
    <s v="Neither"/>
    <n v="5"/>
  </r>
  <r>
    <d v="2021-08-17T03:58:35"/>
    <s v="21-2739"/>
    <s v="P100"/>
    <x v="3"/>
    <n v="46"/>
    <n v="23"/>
    <n v="184"/>
    <n v="92"/>
    <n v="92"/>
    <x v="75"/>
    <s v="Healthcare &amp; Safety"/>
    <n v="13.918153610259502"/>
    <s v="Neither"/>
    <n v="5"/>
  </r>
  <r>
    <d v="2021-05-10T20:05:32"/>
    <s v="21-3329"/>
    <s v="P001"/>
    <x v="7"/>
    <n v="108"/>
    <n v="36"/>
    <n v="1188"/>
    <n v="396"/>
    <n v="792"/>
    <x v="95"/>
    <s v="Facilities &amp; Services"/>
    <n v="7.7337149713827413"/>
    <s v="Neither"/>
    <n v="5"/>
  </r>
  <r>
    <d v="2021-01-18T11:47:38"/>
    <s v="21-1955"/>
    <s v="P067"/>
    <x v="15"/>
    <n v="144"/>
    <n v="36"/>
    <n v="2448"/>
    <n v="612"/>
    <n v="1836"/>
    <x v="92"/>
    <s v="Education"/>
    <n v="11.99399163482429"/>
    <s v="Dissatisfied"/>
    <n v="1"/>
  </r>
  <r>
    <d v="2020-07-13T02:39:36"/>
    <s v="20-1267"/>
    <s v="P088"/>
    <x v="18"/>
    <n v="192"/>
    <n v="96"/>
    <n v="3456"/>
    <n v="1728"/>
    <n v="1728"/>
    <x v="243"/>
    <s v="Creative &amp; Technology"/>
    <n v="11.952554704438674"/>
    <s v="Neither"/>
    <n v="5"/>
  </r>
  <r>
    <d v="2019-08-29T06:41:15"/>
    <s v="19-1158"/>
    <s v="P042"/>
    <x v="11"/>
    <n v="50"/>
    <n v="25"/>
    <n v="800"/>
    <n v="400"/>
    <n v="400"/>
    <x v="120"/>
    <s v="Education"/>
    <n v="9.4239783062860578"/>
    <s v="Neither"/>
    <n v="5"/>
  </r>
  <r>
    <d v="2020-09-17T09:34:01"/>
    <s v="20-1003"/>
    <s v="P035"/>
    <x v="7"/>
    <n v="144"/>
    <n v="48"/>
    <n v="1584"/>
    <n v="528"/>
    <n v="1056"/>
    <x v="119"/>
    <s v="Education"/>
    <n v="12.456740895640767"/>
    <s v="Dissatisfied"/>
    <n v="1"/>
  </r>
  <r>
    <d v="2021-07-27T19:02:20"/>
    <s v="21-4645"/>
    <s v="P037"/>
    <x v="2"/>
    <n v="160"/>
    <n v="80"/>
    <n v="2080"/>
    <n v="1040"/>
    <n v="1040"/>
    <x v="41"/>
    <s v="Community &amp; Government"/>
    <n v="12.452986387489583"/>
    <s v="Satisfied"/>
    <n v="10"/>
  </r>
  <r>
    <d v="2018-11-09T07:26:56"/>
    <s v="18-2576"/>
    <s v="P019"/>
    <x v="18"/>
    <n v="308"/>
    <n v="77"/>
    <n v="5544"/>
    <n v="1386"/>
    <n v="4158"/>
    <x v="160"/>
    <s v="Creative &amp; Technology"/>
    <n v="8.8514729234790472"/>
    <s v="Neither"/>
    <n v="5"/>
  </r>
  <r>
    <d v="2018-07-04T04:33:02"/>
    <s v="18-4594"/>
    <s v="P082"/>
    <x v="18"/>
    <n v="312"/>
    <n v="78"/>
    <n v="5616"/>
    <n v="1404"/>
    <n v="4212"/>
    <x v="213"/>
    <s v="Healthcare &amp; Safety"/>
    <n v="16.148992525516267"/>
    <s v="Neither"/>
    <n v="5"/>
  </r>
  <r>
    <d v="2021-06-20T16:48:57"/>
    <s v="21-3490"/>
    <s v="P097"/>
    <x v="3"/>
    <n v="92"/>
    <n v="46"/>
    <n v="368"/>
    <n v="184"/>
    <n v="184"/>
    <x v="152"/>
    <s v="Sports &amp; Recreation"/>
    <n v="11.249825090458803"/>
    <s v="Neither"/>
    <n v="5"/>
  </r>
  <r>
    <d v="2019-08-19T07:36:51"/>
    <s v="19-2934"/>
    <s v="P044"/>
    <x v="19"/>
    <n v="368"/>
    <n v="92"/>
    <n v="6992"/>
    <n v="1748"/>
    <n v="5244"/>
    <x v="158"/>
    <s v="Creative &amp; Technology"/>
    <n v="15.207985888346794"/>
    <s v="Satisfied"/>
    <n v="10"/>
  </r>
  <r>
    <d v="2017-10-10T13:33:19"/>
    <s v="17-3561"/>
    <s v="P067"/>
    <x v="0"/>
    <n v="144"/>
    <n v="36"/>
    <n v="2160"/>
    <n v="540"/>
    <n v="1620"/>
    <x v="178"/>
    <s v="Education"/>
    <n v="14.760829371220243"/>
    <s v="Neither"/>
    <n v="5"/>
  </r>
  <r>
    <d v="2019-01-22T01:20:13"/>
    <s v="19-4487"/>
    <s v="P017"/>
    <x v="0"/>
    <n v="120"/>
    <n v="30"/>
    <n v="1800"/>
    <n v="450"/>
    <n v="1350"/>
    <x v="177"/>
    <s v="Creative &amp; Technology"/>
    <n v="14.66147716237918"/>
    <s v="Satisfied"/>
    <n v="10"/>
  </r>
  <r>
    <d v="2020-01-30T23:24:03"/>
    <s v="20-2675"/>
    <s v="P074"/>
    <x v="15"/>
    <n v="352"/>
    <n v="88"/>
    <n v="5984"/>
    <n v="1496"/>
    <n v="4488"/>
    <x v="251"/>
    <s v="Creative &amp; Technology"/>
    <n v="9.1591412531773226"/>
    <s v="Neither"/>
    <n v="5"/>
  </r>
  <r>
    <d v="2021-03-08T07:51:07"/>
    <s v="21-3241"/>
    <s v="P056"/>
    <x v="12"/>
    <n v="72"/>
    <n v="36"/>
    <n v="504"/>
    <n v="252"/>
    <n v="252"/>
    <x v="15"/>
    <s v="Community &amp; Government"/>
    <n v="11.631646244583138"/>
    <s v="Neither"/>
    <n v="5"/>
  </r>
  <r>
    <d v="2020-05-23T21:58:34"/>
    <s v="20-2501"/>
    <s v="P072"/>
    <x v="12"/>
    <n v="132"/>
    <n v="44"/>
    <n v="924"/>
    <n v="308"/>
    <n v="616"/>
    <x v="55"/>
    <s v="Creative &amp; Technology"/>
    <n v="13.765798454641494"/>
    <s v="Neither"/>
    <n v="5"/>
  </r>
  <r>
    <d v="2020-11-23T20:26:29"/>
    <s v="20-4242"/>
    <s v="P071"/>
    <x v="13"/>
    <n v="210"/>
    <n v="70"/>
    <n v="2100"/>
    <n v="700"/>
    <n v="1400"/>
    <x v="252"/>
    <s v="Community &amp; Government"/>
    <n v="10.968401424454578"/>
    <s v="Neither"/>
    <n v="5"/>
  </r>
  <r>
    <d v="2021-03-20T04:45:22"/>
    <s v="21-2571"/>
    <s v="P059"/>
    <x v="6"/>
    <n v="267"/>
    <n v="89"/>
    <n v="1602"/>
    <n v="534"/>
    <n v="1068"/>
    <x v="200"/>
    <s v="Community &amp; Government"/>
    <n v="12.460490918487697"/>
    <s v="Neither"/>
    <n v="5"/>
  </r>
  <r>
    <d v="2021-11-21T07:50:29"/>
    <s v="21-4485"/>
    <s v="P070"/>
    <x v="12"/>
    <n v="84"/>
    <n v="21"/>
    <n v="588"/>
    <n v="147"/>
    <n v="441"/>
    <x v="248"/>
    <s v="Creative &amp; Technology"/>
    <n v="11.130819205617987"/>
    <s v="Satisfied"/>
    <n v="10"/>
  </r>
  <r>
    <d v="2019-09-22T19:01:39"/>
    <s v="19-1325"/>
    <s v="P046"/>
    <x v="0"/>
    <n v="38"/>
    <n v="19"/>
    <n v="570"/>
    <n v="285"/>
    <n v="285"/>
    <x v="192"/>
    <s v="Healthcare &amp; Safety"/>
    <n v="8.7741864171993527"/>
    <s v="Neither"/>
    <n v="5"/>
  </r>
  <r>
    <d v="2019-08-24T03:10:05"/>
    <s v="19-3749"/>
    <s v="P065"/>
    <x v="6"/>
    <n v="50"/>
    <n v="25"/>
    <n v="300"/>
    <n v="150"/>
    <n v="150"/>
    <x v="30"/>
    <s v="Corporate &amp; Professional"/>
    <n v="12.844063202784817"/>
    <s v="Dissatisfied"/>
    <n v="1"/>
  </r>
  <r>
    <d v="2017-10-22T20:12:22"/>
    <s v="17-4621"/>
    <s v="P061"/>
    <x v="10"/>
    <n v="264"/>
    <n v="88"/>
    <n v="1320"/>
    <n v="440"/>
    <n v="880"/>
    <x v="253"/>
    <s v="Facilities &amp; Services"/>
    <n v="11.961761925704458"/>
    <s v="Neither"/>
    <n v="5"/>
  </r>
  <r>
    <d v="2019-08-24T20:35:38"/>
    <s v="19-1744"/>
    <s v="P014"/>
    <x v="5"/>
    <n v="166"/>
    <n v="83"/>
    <n v="498"/>
    <n v="249"/>
    <n v="249"/>
    <x v="151"/>
    <s v="Sports &amp; Recreation"/>
    <n v="9.458617986208397"/>
    <s v="Satisfied"/>
    <n v="10"/>
  </r>
  <r>
    <d v="2020-04-03T14:32:13"/>
    <s v="20-3965"/>
    <s v="P070"/>
    <x v="8"/>
    <n v="84"/>
    <n v="21"/>
    <n v="1176"/>
    <n v="294"/>
    <n v="882"/>
    <x v="216"/>
    <s v="Corporate &amp; Professional"/>
    <n v="9.1057685343725456"/>
    <s v="Satisfied"/>
    <n v="10"/>
  </r>
  <r>
    <d v="2019-11-29T19:38:50"/>
    <s v="19-1976"/>
    <s v="P013"/>
    <x v="14"/>
    <n v="58"/>
    <n v="29"/>
    <n v="696"/>
    <n v="348"/>
    <n v="348"/>
    <x v="209"/>
    <s v="Facilities &amp; Services"/>
    <n v="10.956589836772277"/>
    <s v="Satisfied"/>
    <n v="10"/>
  </r>
  <r>
    <d v="2018-03-04T06:27:47"/>
    <s v="18-3101"/>
    <s v="P051"/>
    <x v="6"/>
    <n v="135"/>
    <n v="45"/>
    <n v="810"/>
    <n v="270"/>
    <n v="540"/>
    <x v="248"/>
    <s v="Creative &amp; Technology"/>
    <n v="11.130819205617987"/>
    <s v="Dissatisfied"/>
    <n v="1"/>
  </r>
  <r>
    <d v="2020-10-14T05:58:40"/>
    <s v="20-3778"/>
    <s v="P037"/>
    <x v="6"/>
    <n v="160"/>
    <n v="80"/>
    <n v="960"/>
    <n v="480"/>
    <n v="480"/>
    <x v="11"/>
    <s v="Creative &amp; Technology"/>
    <n v="8.2871811249429097"/>
    <s v="Satisfied"/>
    <n v="10"/>
  </r>
  <r>
    <d v="2020-10-05T08:23:17"/>
    <s v="20-1100"/>
    <s v="P083"/>
    <x v="6"/>
    <n v="90"/>
    <n v="45"/>
    <n v="540"/>
    <n v="270"/>
    <n v="270"/>
    <x v="165"/>
    <s v="Creative &amp; Technology"/>
    <n v="13.929237493388955"/>
    <s v="Neither"/>
    <n v="5"/>
  </r>
  <r>
    <d v="2020-10-01T23:59:04"/>
    <s v="20-3318"/>
    <s v="P005"/>
    <x v="12"/>
    <n v="76"/>
    <n v="19"/>
    <n v="532"/>
    <n v="133"/>
    <n v="399"/>
    <x v="178"/>
    <s v="Education"/>
    <n v="14.760829371220243"/>
    <s v="Satisfied"/>
    <n v="10"/>
  </r>
  <r>
    <d v="2019-07-30T00:30:01"/>
    <s v="19-4634"/>
    <s v="P022"/>
    <x v="6"/>
    <n v="153"/>
    <n v="51"/>
    <n v="918"/>
    <n v="306"/>
    <n v="612"/>
    <x v="19"/>
    <s v="Community &amp; Government"/>
    <n v="15.140903556171683"/>
    <s v="Satisfied"/>
    <n v="10"/>
  </r>
  <r>
    <d v="2019-12-29T00:46:00"/>
    <s v="19-3011"/>
    <s v="P061"/>
    <x v="18"/>
    <n v="264"/>
    <n v="88"/>
    <n v="4752"/>
    <n v="1584"/>
    <n v="3168"/>
    <x v="30"/>
    <s v="Corporate &amp; Professional"/>
    <n v="12.844063202784817"/>
    <s v="Satisfied"/>
    <n v="10"/>
  </r>
  <r>
    <d v="2020-07-04T02:39:12"/>
    <s v="20-3228"/>
    <s v="P081"/>
    <x v="7"/>
    <n v="50"/>
    <n v="25"/>
    <n v="550"/>
    <n v="275"/>
    <n v="275"/>
    <x v="140"/>
    <s v="Education"/>
    <n v="13.332534707865639"/>
    <s v="Neither"/>
    <n v="5"/>
  </r>
  <r>
    <d v="2020-04-22T07:36:27"/>
    <s v="20-2558"/>
    <s v="P072"/>
    <x v="4"/>
    <n v="132"/>
    <n v="44"/>
    <n v="264"/>
    <n v="88"/>
    <n v="176"/>
    <x v="254"/>
    <s v="Corporate &amp; Professional"/>
    <n v="8.1743378387804331"/>
    <s v="Dissatisfied"/>
    <n v="1"/>
  </r>
  <r>
    <d v="2021-03-11T23:58:47"/>
    <s v="21-4640"/>
    <s v="P065"/>
    <x v="5"/>
    <n v="50"/>
    <n v="25"/>
    <n v="150"/>
    <n v="75"/>
    <n v="75"/>
    <x v="5"/>
    <s v="Healthcare &amp; Safety"/>
    <n v="12.169266722245851"/>
    <s v="Neither"/>
    <n v="5"/>
  </r>
  <r>
    <d v="2022-03-25T23:06:29"/>
    <s v="22-4355"/>
    <s v="P044"/>
    <x v="9"/>
    <n v="368"/>
    <n v="92"/>
    <n v="7360"/>
    <n v="1840"/>
    <n v="5520"/>
    <x v="240"/>
    <s v="Sports &amp; Recreation"/>
    <n v="12.701325659159139"/>
    <s v="Satisfied"/>
    <n v="10"/>
  </r>
  <r>
    <d v="2022-12-21T16:05:32"/>
    <s v="22-3525"/>
    <s v="P088"/>
    <x v="17"/>
    <n v="192"/>
    <n v="96"/>
    <n v="192"/>
    <n v="96"/>
    <n v="96"/>
    <x v="163"/>
    <s v="Corporate &amp; Professional"/>
    <n v="14.554851510602212"/>
    <s v="Dissatisfied"/>
    <n v="1"/>
  </r>
  <r>
    <d v="2018-09-15T01:28:20"/>
    <s v="18-2329"/>
    <s v="P018"/>
    <x v="2"/>
    <n v="108"/>
    <n v="54"/>
    <n v="1404"/>
    <n v="702"/>
    <n v="702"/>
    <x v="160"/>
    <s v="Creative &amp; Technology"/>
    <n v="8.8514729234790472"/>
    <s v="Satisfied"/>
    <n v="10"/>
  </r>
  <r>
    <d v="2020-03-03T02:38:13"/>
    <s v="20-4369"/>
    <s v="P052"/>
    <x v="13"/>
    <n v="352"/>
    <n v="88"/>
    <n v="3520"/>
    <n v="880"/>
    <n v="2640"/>
    <x v="255"/>
    <s v="Community &amp; Government"/>
    <n v="12.392787515215366"/>
    <s v="Satisfied"/>
    <n v="10"/>
  </r>
  <r>
    <d v="2022-03-21T23:52:49"/>
    <s v="22-1355"/>
    <s v="P023"/>
    <x v="6"/>
    <n v="126"/>
    <n v="42"/>
    <n v="756"/>
    <n v="252"/>
    <n v="504"/>
    <x v="145"/>
    <s v="Sports &amp; Recreation"/>
    <n v="7.9963422143733238"/>
    <s v="Neither"/>
    <n v="5"/>
  </r>
  <r>
    <d v="2019-05-29T16:03:09"/>
    <s v="19-3580"/>
    <s v="P016"/>
    <x v="8"/>
    <n v="110"/>
    <n v="55"/>
    <n v="1540"/>
    <n v="770"/>
    <n v="770"/>
    <x v="48"/>
    <s v="Creative &amp; Technology"/>
    <n v="11.939773463335372"/>
    <s v="Neither"/>
    <n v="5"/>
  </r>
  <r>
    <d v="2017-11-27T14:40:34"/>
    <s v="17-4704"/>
    <s v="P091"/>
    <x v="11"/>
    <n v="204"/>
    <n v="51"/>
    <n v="3264"/>
    <n v="816"/>
    <n v="2448"/>
    <x v="13"/>
    <s v="Sports &amp; Recreation"/>
    <n v="12.163730387337393"/>
    <s v="Satisfied"/>
    <n v="10"/>
  </r>
  <r>
    <d v="2023-03-27T14:24:23"/>
    <s v="23-1890"/>
    <s v="P099"/>
    <x v="10"/>
    <n v="132"/>
    <n v="33"/>
    <n v="660"/>
    <n v="165"/>
    <n v="495"/>
    <x v="222"/>
    <s v="Community &amp; Government"/>
    <n v="13.095446915421235"/>
    <s v="Neither"/>
    <n v="5"/>
  </r>
  <r>
    <d v="2021-01-30T22:01:46"/>
    <s v="21-4052"/>
    <s v="P076"/>
    <x v="15"/>
    <n v="94"/>
    <n v="47"/>
    <n v="1598"/>
    <n v="799"/>
    <n v="799"/>
    <x v="54"/>
    <s v="Community &amp; Government"/>
    <n v="13.890275354050972"/>
    <s v="Satisfied"/>
    <n v="10"/>
  </r>
  <r>
    <d v="2018-11-12T22:23:19"/>
    <s v="18-3899"/>
    <s v="P050"/>
    <x v="9"/>
    <n v="108"/>
    <n v="36"/>
    <n v="2160"/>
    <n v="720"/>
    <n v="1440"/>
    <x v="220"/>
    <s v="Education"/>
    <n v="13.392447352247808"/>
    <s v="Neither"/>
    <n v="5"/>
  </r>
  <r>
    <d v="2019-05-27T10:33:16"/>
    <s v="19-2210"/>
    <s v="P015"/>
    <x v="16"/>
    <n v="176"/>
    <n v="88"/>
    <n v="1584"/>
    <n v="792"/>
    <n v="792"/>
    <x v="172"/>
    <s v="Healthcare &amp; Safety"/>
    <n v="11.563724686003232"/>
    <s v="Neither"/>
    <n v="5"/>
  </r>
  <r>
    <d v="2021-05-29T04:16:28"/>
    <s v="21-3171"/>
    <s v="P077"/>
    <x v="8"/>
    <n v="162"/>
    <n v="54"/>
    <n v="2268"/>
    <n v="756"/>
    <n v="1512"/>
    <x v="98"/>
    <s v="Creative &amp; Technology"/>
    <n v="15.18789248529443"/>
    <s v="Neither"/>
    <n v="5"/>
  </r>
  <r>
    <d v="2019-07-21T10:26:47"/>
    <s v="19-4407"/>
    <s v="P034"/>
    <x v="11"/>
    <n v="114"/>
    <n v="57"/>
    <n v="1824"/>
    <n v="912"/>
    <n v="912"/>
    <x v="120"/>
    <s v="Education"/>
    <n v="9.4239783062860578"/>
    <s v="Neither"/>
    <n v="5"/>
  </r>
  <r>
    <d v="2019-06-07T00:42:14"/>
    <s v="19-3262"/>
    <s v="P007"/>
    <x v="14"/>
    <n v="225"/>
    <n v="75"/>
    <n v="2700"/>
    <n v="900"/>
    <n v="1800"/>
    <x v="256"/>
    <s v="Creative &amp; Technology"/>
    <n v="12.173451788225162"/>
    <s v="Neither"/>
    <n v="5"/>
  </r>
  <r>
    <d v="2017-09-25T00:18:29"/>
    <s v="17-4257"/>
    <s v="P093"/>
    <x v="8"/>
    <n v="384"/>
    <n v="96"/>
    <n v="5376"/>
    <n v="1344"/>
    <n v="4032"/>
    <x v="35"/>
    <s v="Sports &amp; Recreation"/>
    <n v="12.487915239531313"/>
    <s v="Neither"/>
    <n v="5"/>
  </r>
  <r>
    <d v="2020-05-06T23:35:49"/>
    <s v="20-1921"/>
    <s v="P089"/>
    <x v="5"/>
    <n v="102"/>
    <n v="51"/>
    <n v="306"/>
    <n v="153"/>
    <n v="153"/>
    <x v="170"/>
    <s v="Sports &amp; Recreation"/>
    <n v="10.037135914792184"/>
    <s v="Neither"/>
    <n v="5"/>
  </r>
  <r>
    <d v="2019-11-17T05:41:47"/>
    <s v="19-3392"/>
    <s v="P027"/>
    <x v="19"/>
    <n v="140"/>
    <n v="70"/>
    <n v="2660"/>
    <n v="1330"/>
    <n v="1330"/>
    <x v="1"/>
    <s v="Corporate &amp; Professional"/>
    <n v="13.299525114817991"/>
    <s v="Satisfied"/>
    <n v="10"/>
  </r>
  <r>
    <d v="2020-10-01T23:45:25"/>
    <s v="20-3152"/>
    <s v="P040"/>
    <x v="7"/>
    <n v="160"/>
    <n v="80"/>
    <n v="1760"/>
    <n v="880"/>
    <n v="880"/>
    <x v="196"/>
    <s v="Community &amp; Government"/>
    <n v="12.869841591513939"/>
    <s v="Satisfied"/>
    <n v="10"/>
  </r>
  <r>
    <d v="2019-02-24T12:47:33"/>
    <s v="19-2505"/>
    <s v="P093"/>
    <x v="16"/>
    <n v="384"/>
    <n v="96"/>
    <n v="3456"/>
    <n v="864"/>
    <n v="2592"/>
    <x v="62"/>
    <s v="Education"/>
    <n v="12.396052160428608"/>
    <s v="Neither"/>
    <n v="5"/>
  </r>
  <r>
    <d v="2021-01-11T16:49:08"/>
    <s v="21-2402"/>
    <s v="P042"/>
    <x v="19"/>
    <n v="50"/>
    <n v="25"/>
    <n v="950"/>
    <n v="475"/>
    <n v="475"/>
    <x v="182"/>
    <s v="Sports &amp; Recreation"/>
    <n v="12.564315242820944"/>
    <s v="Neither"/>
    <n v="5"/>
  </r>
  <r>
    <d v="2019-10-18T15:29:42"/>
    <s v="19-2234"/>
    <s v="P061"/>
    <x v="3"/>
    <n v="264"/>
    <n v="88"/>
    <n v="1056"/>
    <n v="352"/>
    <n v="704"/>
    <x v="141"/>
    <s v="Facilities &amp; Services"/>
    <n v="13.104576594826185"/>
    <s v="Neither"/>
    <n v="5"/>
  </r>
  <r>
    <d v="2019-07-30T06:59:46"/>
    <s v="19-4849"/>
    <s v="P078"/>
    <x v="9"/>
    <n v="225"/>
    <n v="75"/>
    <n v="4500"/>
    <n v="1500"/>
    <n v="3000"/>
    <x v="122"/>
    <s v="Creative &amp; Technology"/>
    <n v="11.082295381980092"/>
    <s v="Neither"/>
    <n v="5"/>
  </r>
  <r>
    <d v="2017-03-04T09:50:27"/>
    <s v="17-1042"/>
    <s v="P066"/>
    <x v="0"/>
    <n v="34"/>
    <n v="17"/>
    <n v="510"/>
    <n v="255"/>
    <n v="255"/>
    <x v="65"/>
    <s v="Healthcare &amp; Safety"/>
    <n v="14.377134310720955"/>
    <s v="Satisfied"/>
    <n v="10"/>
  </r>
  <r>
    <d v="2019-11-22T23:50:22"/>
    <s v="19-1316"/>
    <s v="P029"/>
    <x v="19"/>
    <n v="300"/>
    <n v="75"/>
    <n v="5700"/>
    <n v="1425"/>
    <n v="4275"/>
    <x v="257"/>
    <s v="Creative &amp; Technology"/>
    <n v="9.9471686551317795"/>
    <s v="Neither"/>
    <n v="5"/>
  </r>
  <r>
    <d v="2019-11-05T09:29:13"/>
    <s v="19-4720"/>
    <s v="P078"/>
    <x v="9"/>
    <n v="225"/>
    <n v="75"/>
    <n v="4500"/>
    <n v="1500"/>
    <n v="3000"/>
    <x v="169"/>
    <s v="Healthcare &amp; Safety"/>
    <n v="14.341195386574373"/>
    <s v="Dissatisfied"/>
    <n v="1"/>
  </r>
  <r>
    <d v="2022-05-23T23:30:07"/>
    <s v="22-3865"/>
    <s v="P070"/>
    <x v="2"/>
    <n v="84"/>
    <n v="21"/>
    <n v="1092"/>
    <n v="273"/>
    <n v="819"/>
    <x v="202"/>
    <s v="Community &amp; Government"/>
    <n v="8.1595626482464514"/>
    <s v="Neither"/>
    <n v="5"/>
  </r>
  <r>
    <d v="2021-06-04T02:14:10"/>
    <s v="21-3250"/>
    <s v="P055"/>
    <x v="4"/>
    <n v="360"/>
    <n v="90"/>
    <n v="720"/>
    <n v="180"/>
    <n v="540"/>
    <x v="258"/>
    <s v="Corporate &amp; Professional"/>
    <n v="14.538471643780088"/>
    <s v="Neither"/>
    <n v="5"/>
  </r>
  <r>
    <d v="2017-09-15T06:46:29"/>
    <s v="17-4441"/>
    <s v="P072"/>
    <x v="9"/>
    <n v="132"/>
    <n v="44"/>
    <n v="2640"/>
    <n v="880"/>
    <n v="1760"/>
    <x v="194"/>
    <s v="Community &amp; Government"/>
    <n v="9.879282537628514"/>
    <s v="Neither"/>
    <n v="5"/>
  </r>
  <r>
    <d v="2019-05-30T02:43:46"/>
    <s v="19-3392"/>
    <s v="P099"/>
    <x v="0"/>
    <n v="132"/>
    <n v="33"/>
    <n v="1980"/>
    <n v="495"/>
    <n v="1485"/>
    <x v="258"/>
    <s v="Corporate &amp; Professional"/>
    <n v="14.538471643780088"/>
    <s v="Neither"/>
    <n v="5"/>
  </r>
  <r>
    <d v="2019-12-26T14:40:54"/>
    <s v="19-4523"/>
    <s v="P074"/>
    <x v="9"/>
    <n v="352"/>
    <n v="88"/>
    <n v="7040"/>
    <n v="1760"/>
    <n v="5280"/>
    <x v="27"/>
    <s v="Healthcare &amp; Safety"/>
    <n v="10.42743035829395"/>
    <s v="Satisfied"/>
    <n v="10"/>
  </r>
  <r>
    <d v="2020-03-25T11:45:29"/>
    <s v="20-3368"/>
    <s v="P002"/>
    <x v="1"/>
    <n v="144"/>
    <n v="36"/>
    <n v="1152"/>
    <n v="288"/>
    <n v="864"/>
    <x v="58"/>
    <s v="Creative &amp; Technology"/>
    <n v="11.995406972581796"/>
    <s v="Neither"/>
    <n v="5"/>
  </r>
  <r>
    <d v="2019-06-05T10:57:00"/>
    <s v="19-1297"/>
    <s v="P082"/>
    <x v="12"/>
    <n v="312"/>
    <n v="78"/>
    <n v="2184"/>
    <n v="546"/>
    <n v="1638"/>
    <x v="86"/>
    <s v="Community &amp; Government"/>
    <n v="12.758430621858414"/>
    <s v="Dissatisfied"/>
    <n v="1"/>
  </r>
  <r>
    <d v="2019-05-02T07:47:15"/>
    <s v="19-2499"/>
    <s v="P071"/>
    <x v="15"/>
    <n v="210"/>
    <n v="70"/>
    <n v="3570"/>
    <n v="1190"/>
    <n v="2380"/>
    <x v="237"/>
    <s v="Creative &amp; Technology"/>
    <n v="11.485823039755857"/>
    <s v="Neither"/>
    <n v="5"/>
  </r>
  <r>
    <d v="2020-02-13T16:58:36"/>
    <s v="20-2812"/>
    <s v="P093"/>
    <x v="10"/>
    <n v="384"/>
    <n v="96"/>
    <n v="1920"/>
    <n v="480"/>
    <n v="1440"/>
    <x v="192"/>
    <s v="Healthcare &amp; Safety"/>
    <n v="8.7741864171993527"/>
    <s v="Neither"/>
    <n v="5"/>
  </r>
  <r>
    <d v="2020-08-11T15:13:03"/>
    <s v="20-3315"/>
    <s v="P010"/>
    <x v="19"/>
    <n v="144"/>
    <n v="36"/>
    <n v="2736"/>
    <n v="684"/>
    <n v="2052"/>
    <x v="219"/>
    <s v="Facilities &amp; Services"/>
    <n v="11.289144410898391"/>
    <s v="Dissatisfied"/>
    <n v="1"/>
  </r>
  <r>
    <d v="2018-07-20T11:27:03"/>
    <s v="18-2216"/>
    <s v="P060"/>
    <x v="7"/>
    <n v="300"/>
    <n v="75"/>
    <n v="3300"/>
    <n v="825"/>
    <n v="2475"/>
    <x v="173"/>
    <s v="Education"/>
    <n v="12.147202500273634"/>
    <s v="Neither"/>
    <n v="5"/>
  </r>
  <r>
    <d v="2019-07-29T00:41:14"/>
    <s v="19-3346"/>
    <s v="P057"/>
    <x v="19"/>
    <n v="252"/>
    <n v="63"/>
    <n v="4788"/>
    <n v="1197"/>
    <n v="3591"/>
    <x v="259"/>
    <s v="Education"/>
    <n v="15.268550004010105"/>
    <s v="Neither"/>
    <n v="5"/>
  </r>
  <r>
    <d v="2020-02-09T21:21:08"/>
    <s v="20-3954"/>
    <s v="P039"/>
    <x v="0"/>
    <n v="270"/>
    <n v="90"/>
    <n v="4050"/>
    <n v="1350"/>
    <n v="2700"/>
    <x v="249"/>
    <s v="Corporate &amp; Professional"/>
    <n v="13.397308081757757"/>
    <s v="Neither"/>
    <n v="5"/>
  </r>
  <r>
    <d v="2019-12-25T15:06:21"/>
    <s v="19-3862"/>
    <s v="P094"/>
    <x v="1"/>
    <n v="80"/>
    <n v="20"/>
    <n v="640"/>
    <n v="160"/>
    <n v="480"/>
    <x v="145"/>
    <s v="Sports &amp; Recreation"/>
    <n v="7.9963422143733238"/>
    <s v="Satisfied"/>
    <n v="10"/>
  </r>
  <r>
    <d v="2020-11-29T08:10:54"/>
    <s v="20-3796"/>
    <s v="P055"/>
    <x v="3"/>
    <n v="360"/>
    <n v="90"/>
    <n v="1440"/>
    <n v="360"/>
    <n v="1080"/>
    <x v="41"/>
    <s v="Community &amp; Government"/>
    <n v="12.452986387489583"/>
    <s v="Neither"/>
    <n v="5"/>
  </r>
  <r>
    <d v="2022-03-16T23:28:54"/>
    <s v="22-4188"/>
    <s v="P022"/>
    <x v="12"/>
    <n v="153"/>
    <n v="51"/>
    <n v="1071"/>
    <n v="357"/>
    <n v="714"/>
    <x v="209"/>
    <s v="Facilities &amp; Services"/>
    <n v="10.956589836772277"/>
    <s v="Satisfied"/>
    <n v="10"/>
  </r>
  <r>
    <d v="2019-04-14T16:35:14"/>
    <s v="19-2850"/>
    <s v="P087"/>
    <x v="15"/>
    <n v="176"/>
    <n v="88"/>
    <n v="2992"/>
    <n v="1496"/>
    <n v="1496"/>
    <x v="24"/>
    <s v="Sports &amp; Recreation"/>
    <n v="14.697745043716761"/>
    <s v="Neither"/>
    <n v="5"/>
  </r>
  <r>
    <d v="2019-03-12T07:55:14"/>
    <s v="19-1148"/>
    <s v="P042"/>
    <x v="17"/>
    <n v="50"/>
    <n v="25"/>
    <n v="50"/>
    <n v="25"/>
    <n v="25"/>
    <x v="44"/>
    <s v="Corporate &amp; Professional"/>
    <n v="9.9311000381363836"/>
    <s v="Satisfied"/>
    <n v="10"/>
  </r>
  <r>
    <d v="2020-06-15T03:34:50"/>
    <s v="20-3050"/>
    <s v="P052"/>
    <x v="16"/>
    <n v="352"/>
    <n v="88"/>
    <n v="3168"/>
    <n v="792"/>
    <n v="2376"/>
    <x v="101"/>
    <s v="Sports &amp; Recreation"/>
    <n v="10.816866337473218"/>
    <s v="Neither"/>
    <n v="5"/>
  </r>
  <r>
    <d v="2018-06-23T09:34:53"/>
    <s v="18-1177"/>
    <s v="P067"/>
    <x v="16"/>
    <n v="144"/>
    <n v="36"/>
    <n v="1296"/>
    <n v="324"/>
    <n v="972"/>
    <x v="12"/>
    <s v="Creative &amp; Technology"/>
    <n v="9.8384363471888783"/>
    <s v="Neither"/>
    <n v="5"/>
  </r>
  <r>
    <d v="2019-08-12T06:00:47"/>
    <s v="19-3767"/>
    <s v="P037"/>
    <x v="1"/>
    <n v="160"/>
    <n v="80"/>
    <n v="1280"/>
    <n v="640"/>
    <n v="640"/>
    <x v="85"/>
    <s v="Creative &amp; Technology"/>
    <n v="10.570474361325047"/>
    <s v="Satisfied"/>
    <n v="10"/>
  </r>
  <r>
    <d v="2022-05-10T14:24:20"/>
    <s v="22-4248"/>
    <s v="P038"/>
    <x v="18"/>
    <n v="240"/>
    <n v="80"/>
    <n v="4320"/>
    <n v="1440"/>
    <n v="2880"/>
    <x v="244"/>
    <s v="Creative &amp; Technology"/>
    <n v="11.78346750250795"/>
    <s v="Neither"/>
    <n v="5"/>
  </r>
  <r>
    <d v="2021-03-06T16:52:00"/>
    <s v="21-1024"/>
    <s v="P030"/>
    <x v="10"/>
    <n v="81"/>
    <n v="27"/>
    <n v="405"/>
    <n v="135"/>
    <n v="270"/>
    <x v="74"/>
    <s v="Education"/>
    <n v="12.699346182652626"/>
    <s v="Satisfied"/>
    <n v="10"/>
  </r>
  <r>
    <d v="2018-08-22T22:20:05"/>
    <s v="18-4338"/>
    <s v="P003"/>
    <x v="16"/>
    <n v="189"/>
    <n v="63"/>
    <n v="1701"/>
    <n v="567"/>
    <n v="1134"/>
    <x v="201"/>
    <s v="Community &amp; Government"/>
    <n v="8.1628930629234038"/>
    <s v="Neither"/>
    <n v="5"/>
  </r>
  <r>
    <d v="2019-12-22T21:26:27"/>
    <s v="19-1554"/>
    <s v="P095"/>
    <x v="4"/>
    <n v="116"/>
    <n v="29"/>
    <n v="232"/>
    <n v="58"/>
    <n v="174"/>
    <x v="176"/>
    <s v="Corporate &amp; Professional"/>
    <n v="11.769937929618399"/>
    <s v="Neither"/>
    <n v="5"/>
  </r>
  <r>
    <d v="2021-02-28T10:51:22"/>
    <s v="21-2129"/>
    <s v="P091"/>
    <x v="0"/>
    <n v="204"/>
    <n v="51"/>
    <n v="3060"/>
    <n v="765"/>
    <n v="2295"/>
    <x v="30"/>
    <s v="Corporate &amp; Professional"/>
    <n v="12.844063202784817"/>
    <s v="Satisfied"/>
    <n v="10"/>
  </r>
  <r>
    <d v="2020-12-01T12:03:43"/>
    <s v="20-1122"/>
    <s v="P009"/>
    <x v="16"/>
    <n v="255"/>
    <n v="85"/>
    <n v="2295"/>
    <n v="765"/>
    <n v="1530"/>
    <x v="222"/>
    <s v="Community &amp; Government"/>
    <n v="13.095446915421235"/>
    <s v="Neither"/>
    <n v="5"/>
  </r>
  <r>
    <d v="2021-03-27T12:51:38"/>
    <s v="21-3321"/>
    <s v="P031"/>
    <x v="1"/>
    <n v="146"/>
    <n v="73"/>
    <n v="1168"/>
    <n v="584"/>
    <n v="584"/>
    <x v="75"/>
    <s v="Healthcare &amp; Safety"/>
    <n v="13.918153610259502"/>
    <s v="Dissatisfied"/>
    <n v="1"/>
  </r>
  <r>
    <d v="2022-08-27T14:30:47"/>
    <s v="22-4645"/>
    <s v="P045"/>
    <x v="2"/>
    <n v="100"/>
    <n v="25"/>
    <n v="1300"/>
    <n v="325"/>
    <n v="975"/>
    <x v="114"/>
    <s v="Healthcare &amp; Safety"/>
    <n v="14.423322704129969"/>
    <s v="Neither"/>
    <n v="5"/>
  </r>
  <r>
    <d v="2022-09-02T02:59:23"/>
    <s v="22-3939"/>
    <s v="P026"/>
    <x v="7"/>
    <n v="280"/>
    <n v="70"/>
    <n v="3080"/>
    <n v="770"/>
    <n v="2310"/>
    <x v="66"/>
    <s v="Facilities &amp; Services"/>
    <n v="12.172922939334034"/>
    <s v="Neither"/>
    <n v="5"/>
  </r>
  <r>
    <d v="2016-12-16T23:28:38"/>
    <s v="16-1451"/>
    <s v="P064"/>
    <x v="17"/>
    <n v="231"/>
    <n v="77"/>
    <n v="231"/>
    <n v="77"/>
    <n v="154"/>
    <x v="260"/>
    <s v="Creative &amp; Technology"/>
    <n v="10.588336269016523"/>
    <s v="Neither"/>
    <n v="5"/>
  </r>
  <r>
    <d v="2020-02-28T22:54:02"/>
    <s v="20-4845"/>
    <s v="P062"/>
    <x v="3"/>
    <n v="348"/>
    <n v="87"/>
    <n v="1392"/>
    <n v="348"/>
    <n v="1044"/>
    <x v="244"/>
    <s v="Creative &amp; Technology"/>
    <n v="11.78346750250795"/>
    <s v="Satisfied"/>
    <n v="10"/>
  </r>
  <r>
    <d v="2018-03-27T04:38:42"/>
    <s v="18-3500"/>
    <s v="P076"/>
    <x v="17"/>
    <n v="94"/>
    <n v="47"/>
    <n v="94"/>
    <n v="47"/>
    <n v="47"/>
    <x v="254"/>
    <s v="Corporate &amp; Professional"/>
    <n v="8.1743378387804331"/>
    <s v="Dissatisfied"/>
    <n v="1"/>
  </r>
  <r>
    <d v="2021-05-03T16:06:56"/>
    <s v="21-1046"/>
    <s v="P051"/>
    <x v="2"/>
    <n v="135"/>
    <n v="45"/>
    <n v="1755"/>
    <n v="585"/>
    <n v="1170"/>
    <x v="229"/>
    <s v="Sports &amp; Recreation"/>
    <n v="11.417996201106442"/>
    <s v="Dissatisfied"/>
    <n v="1"/>
  </r>
  <r>
    <d v="2020-03-05T13:24:45"/>
    <s v="20-2643"/>
    <s v="P057"/>
    <x v="1"/>
    <n v="252"/>
    <n v="63"/>
    <n v="2016"/>
    <n v="504"/>
    <n v="1512"/>
    <x v="188"/>
    <s v="Healthcare &amp; Safety"/>
    <n v="9.8892508156549788"/>
    <s v="Dissatisfied"/>
    <n v="1"/>
  </r>
  <r>
    <d v="2020-02-22T14:46:22"/>
    <s v="20-4685"/>
    <s v="P067"/>
    <x v="19"/>
    <n v="144"/>
    <n v="36"/>
    <n v="2736"/>
    <n v="684"/>
    <n v="2052"/>
    <x v="195"/>
    <s v="Community &amp; Government"/>
    <n v="12.679725647708608"/>
    <s v="Neither"/>
    <n v="5"/>
  </r>
  <r>
    <d v="2023-07-31T14:00:10"/>
    <s v="23-4462"/>
    <s v="P038"/>
    <x v="11"/>
    <n v="240"/>
    <n v="80"/>
    <n v="3840"/>
    <n v="1280"/>
    <n v="2560"/>
    <x v="50"/>
    <s v="Creative &amp; Technology"/>
    <n v="12.551203838971933"/>
    <s v="Dissatisfied"/>
    <n v="1"/>
  </r>
  <r>
    <d v="2020-01-19T19:50:08"/>
    <s v="20-1777"/>
    <s v="P061"/>
    <x v="8"/>
    <n v="264"/>
    <n v="88"/>
    <n v="3696"/>
    <n v="1232"/>
    <n v="2464"/>
    <x v="159"/>
    <s v="Community &amp; Government"/>
    <n v="13.57003172959007"/>
    <s v="Dissatisfied"/>
    <n v="1"/>
  </r>
  <r>
    <d v="2018-12-31T02:22:18"/>
    <s v="18-1038"/>
    <s v="P049"/>
    <x v="18"/>
    <n v="356"/>
    <n v="89"/>
    <n v="6408"/>
    <n v="1602"/>
    <n v="4806"/>
    <x v="261"/>
    <s v="Sports &amp; Recreation"/>
    <n v="12.852414455158604"/>
    <s v="Neither"/>
    <n v="5"/>
  </r>
  <r>
    <d v="2020-08-11T05:00:44"/>
    <s v="20-1503"/>
    <s v="P098"/>
    <x v="6"/>
    <n v="201"/>
    <n v="67"/>
    <n v="1206"/>
    <n v="402"/>
    <n v="804"/>
    <x v="208"/>
    <s v="Community &amp; Government"/>
    <n v="12.658317415198635"/>
    <s v="Neither"/>
    <n v="5"/>
  </r>
  <r>
    <d v="2020-09-24T18:10:30"/>
    <s v="20-2388"/>
    <s v="P082"/>
    <x v="3"/>
    <n v="312"/>
    <n v="78"/>
    <n v="1248"/>
    <n v="312"/>
    <n v="936"/>
    <x v="93"/>
    <s v="Facilities &amp; Services"/>
    <n v="10.966283117837653"/>
    <s v="Neither"/>
    <n v="5"/>
  </r>
  <r>
    <d v="2019-09-20T20:15:39"/>
    <s v="19-3344"/>
    <s v="P080"/>
    <x v="9"/>
    <n v="57"/>
    <n v="19"/>
    <n v="1140"/>
    <n v="380"/>
    <n v="760"/>
    <x v="121"/>
    <s v="Creative &amp; Technology"/>
    <n v="11.394777319422785"/>
    <s v="Neither"/>
    <n v="5"/>
  </r>
  <r>
    <d v="2018-12-26T14:26:07"/>
    <s v="18-2805"/>
    <s v="P077"/>
    <x v="19"/>
    <n v="162"/>
    <n v="54"/>
    <n v="3078"/>
    <n v="1026"/>
    <n v="2052"/>
    <x v="21"/>
    <s v="Facilities &amp; Services"/>
    <n v="13.717776078041958"/>
    <s v="Neither"/>
    <n v="5"/>
  </r>
  <r>
    <d v="2019-12-29T09:42:35"/>
    <s v="19-1684"/>
    <s v="P063"/>
    <x v="8"/>
    <n v="261"/>
    <n v="87"/>
    <n v="3654"/>
    <n v="1218"/>
    <n v="2436"/>
    <x v="29"/>
    <s v="Facilities &amp; Services"/>
    <n v="15.487214309603928"/>
    <s v="Neither"/>
    <n v="5"/>
  </r>
  <r>
    <d v="2018-01-07T00:50:10"/>
    <s v="18-4545"/>
    <s v="P004"/>
    <x v="4"/>
    <n v="189"/>
    <n v="63"/>
    <n v="378"/>
    <n v="126"/>
    <n v="252"/>
    <x v="198"/>
    <s v="Corporate &amp; Professional"/>
    <n v="6.9183250411917196"/>
    <s v="Satisfied"/>
    <n v="10"/>
  </r>
  <r>
    <d v="2019-11-09T22:25:04"/>
    <s v="19-3477"/>
    <s v="P009"/>
    <x v="11"/>
    <n v="255"/>
    <n v="85"/>
    <n v="4080"/>
    <n v="1360"/>
    <n v="2720"/>
    <x v="139"/>
    <s v="Creative &amp; Technology"/>
    <n v="15.770846827234339"/>
    <s v="Satisfied"/>
    <n v="10"/>
  </r>
  <r>
    <d v="2021-11-18T07:27:07"/>
    <s v="21-4119"/>
    <s v="P062"/>
    <x v="13"/>
    <n v="348"/>
    <n v="87"/>
    <n v="3480"/>
    <n v="870"/>
    <n v="2610"/>
    <x v="99"/>
    <s v="Healthcare &amp; Safety"/>
    <n v="12.148236977735172"/>
    <s v="Neither"/>
    <n v="5"/>
  </r>
  <r>
    <d v="2022-07-10T20:36:10"/>
    <s v="22-2490"/>
    <s v="P048"/>
    <x v="14"/>
    <n v="252"/>
    <n v="63"/>
    <n v="3024"/>
    <n v="756"/>
    <n v="2268"/>
    <x v="70"/>
    <s v="Community &amp; Government"/>
    <n v="14.593670394271927"/>
    <s v="Satisfied"/>
    <n v="10"/>
  </r>
  <r>
    <d v="2019-07-05T21:59:44"/>
    <s v="19-2408"/>
    <s v="P043"/>
    <x v="3"/>
    <n v="184"/>
    <n v="92"/>
    <n v="736"/>
    <n v="368"/>
    <n v="368"/>
    <x v="191"/>
    <s v="Corporate &amp; Professional"/>
    <n v="12.131375018945562"/>
    <s v="Neither"/>
    <n v="5"/>
  </r>
  <r>
    <d v="2020-08-31T10:00:36"/>
    <s v="20-3453"/>
    <s v="P042"/>
    <x v="8"/>
    <n v="50"/>
    <n v="25"/>
    <n v="700"/>
    <n v="350"/>
    <n v="350"/>
    <x v="167"/>
    <s v="Healthcare &amp; Safety"/>
    <n v="16.695690968264284"/>
    <s v="Neither"/>
    <n v="5"/>
  </r>
  <r>
    <d v="2019-11-22T05:45:17"/>
    <s v="19-3114"/>
    <s v="P096"/>
    <x v="1"/>
    <n v="144"/>
    <n v="48"/>
    <n v="1152"/>
    <n v="384"/>
    <n v="768"/>
    <x v="69"/>
    <s v="Healthcare &amp; Safety"/>
    <n v="9.3014286057233697"/>
    <s v="Neither"/>
    <n v="5"/>
  </r>
  <r>
    <d v="2020-11-01T00:22:03"/>
    <s v="20-1836"/>
    <s v="P003"/>
    <x v="8"/>
    <n v="189"/>
    <n v="63"/>
    <n v="2646"/>
    <n v="882"/>
    <n v="1764"/>
    <x v="262"/>
    <s v="Healthcare &amp; Safety"/>
    <n v="13.00553764131261"/>
    <s v="Dissatisfied"/>
    <n v="1"/>
  </r>
  <r>
    <d v="2019-03-21T07:24:51"/>
    <s v="19-1885"/>
    <s v="P088"/>
    <x v="2"/>
    <n v="192"/>
    <n v="96"/>
    <n v="2496"/>
    <n v="1248"/>
    <n v="1248"/>
    <x v="255"/>
    <s v="Community &amp; Government"/>
    <n v="12.392787515215366"/>
    <s v="Neither"/>
    <n v="5"/>
  </r>
  <r>
    <d v="2019-05-18T22:12:02"/>
    <s v="19-1248"/>
    <s v="P029"/>
    <x v="14"/>
    <n v="300"/>
    <n v="75"/>
    <n v="3600"/>
    <n v="900"/>
    <n v="2700"/>
    <x v="160"/>
    <s v="Creative &amp; Technology"/>
    <n v="8.8514729234790472"/>
    <s v="Neither"/>
    <n v="5"/>
  </r>
  <r>
    <d v="2020-05-15T18:33:54"/>
    <s v="20-1521"/>
    <s v="P064"/>
    <x v="5"/>
    <n v="231"/>
    <n v="77"/>
    <n v="693"/>
    <n v="231"/>
    <n v="462"/>
    <x v="263"/>
    <s v="Facilities &amp; Services"/>
    <n v="8.1352386075080023"/>
    <s v="Dissatisfied"/>
    <n v="1"/>
  </r>
  <r>
    <d v="2018-07-14T02:55:16"/>
    <s v="18-4804"/>
    <s v="P092"/>
    <x v="3"/>
    <n v="124"/>
    <n v="62"/>
    <n v="496"/>
    <n v="248"/>
    <n v="248"/>
    <x v="162"/>
    <s v="Creative &amp; Technology"/>
    <n v="14.064516999204997"/>
    <s v="Neither"/>
    <n v="5"/>
  </r>
  <r>
    <d v="2019-06-07T10:07:40"/>
    <s v="19-2904"/>
    <s v="P034"/>
    <x v="19"/>
    <n v="114"/>
    <n v="57"/>
    <n v="2166"/>
    <n v="1083"/>
    <n v="1083"/>
    <x v="218"/>
    <s v="Facilities &amp; Services"/>
    <n v="14.376986923104601"/>
    <s v="Dissatisfied"/>
    <n v="1"/>
  </r>
  <r>
    <d v="2020-12-25T20:53:13"/>
    <s v="20-4083"/>
    <s v="P014"/>
    <x v="4"/>
    <n v="166"/>
    <n v="83"/>
    <n v="332"/>
    <n v="166"/>
    <n v="166"/>
    <x v="197"/>
    <s v="Community &amp; Government"/>
    <n v="10.163794912095831"/>
    <s v="Neither"/>
    <n v="5"/>
  </r>
  <r>
    <d v="2023-03-24T16:21:19"/>
    <s v="23-3543"/>
    <s v="P079"/>
    <x v="19"/>
    <n v="188"/>
    <n v="94"/>
    <n v="3572"/>
    <n v="1786"/>
    <n v="1786"/>
    <x v="261"/>
    <s v="Sports &amp; Recreation"/>
    <n v="12.852414455158604"/>
    <s v="Neither"/>
    <n v="5"/>
  </r>
  <r>
    <d v="2018-11-14T09:43:33"/>
    <s v="18-1042"/>
    <s v="P093"/>
    <x v="11"/>
    <n v="384"/>
    <n v="96"/>
    <n v="6144"/>
    <n v="1536"/>
    <n v="4608"/>
    <x v="246"/>
    <s v="Facilities &amp; Services"/>
    <n v="13.853438793083487"/>
    <s v="Satisfied"/>
    <n v="10"/>
  </r>
  <r>
    <d v="2019-02-21T06:40:03"/>
    <s v="19-1357"/>
    <s v="P076"/>
    <x v="0"/>
    <n v="94"/>
    <n v="47"/>
    <n v="1410"/>
    <n v="705"/>
    <n v="705"/>
    <x v="61"/>
    <s v="Education"/>
    <n v="13.697485557052493"/>
    <s v="Neither"/>
    <n v="5"/>
  </r>
  <r>
    <d v="2020-02-03T10:57:14"/>
    <s v="20-1924"/>
    <s v="P040"/>
    <x v="12"/>
    <n v="160"/>
    <n v="80"/>
    <n v="1120"/>
    <n v="560"/>
    <n v="560"/>
    <x v="136"/>
    <s v="Creative &amp; Technology"/>
    <n v="16.429355109701351"/>
    <s v="Satisfied"/>
    <n v="10"/>
  </r>
  <r>
    <d v="2020-10-31T19:44:18"/>
    <s v="20-3798"/>
    <s v="P072"/>
    <x v="3"/>
    <n v="132"/>
    <n v="44"/>
    <n v="528"/>
    <n v="176"/>
    <n v="352"/>
    <x v="214"/>
    <s v="Corporate &amp; Professional"/>
    <n v="12.985332015423809"/>
    <s v="Satisfied"/>
    <n v="10"/>
  </r>
  <r>
    <d v="2019-01-19T15:37:41"/>
    <s v="19-3868"/>
    <s v="P037"/>
    <x v="8"/>
    <n v="160"/>
    <n v="80"/>
    <n v="2240"/>
    <n v="1120"/>
    <n v="1120"/>
    <x v="183"/>
    <s v="Creative &amp; Technology"/>
    <n v="7.8974070387684714"/>
    <s v="Dissatisfied"/>
    <n v="1"/>
  </r>
  <r>
    <d v="2020-07-29T20:24:00"/>
    <s v="20-2254"/>
    <s v="P017"/>
    <x v="12"/>
    <n v="120"/>
    <n v="30"/>
    <n v="840"/>
    <n v="210"/>
    <n v="630"/>
    <x v="255"/>
    <s v="Community &amp; Government"/>
    <n v="12.392787515215366"/>
    <s v="Satisfied"/>
    <n v="10"/>
  </r>
  <r>
    <d v="2021-02-10T06:57:38"/>
    <s v="21-2764"/>
    <s v="P012"/>
    <x v="19"/>
    <n v="30"/>
    <n v="15"/>
    <n v="570"/>
    <n v="285"/>
    <n v="285"/>
    <x v="243"/>
    <s v="Creative &amp; Technology"/>
    <n v="11.952554704438674"/>
    <s v="Satisfied"/>
    <n v="10"/>
  </r>
  <r>
    <d v="2023-07-14T07:43:54"/>
    <s v="23-3611"/>
    <s v="P074"/>
    <x v="4"/>
    <n v="352"/>
    <n v="88"/>
    <n v="704"/>
    <n v="176"/>
    <n v="528"/>
    <x v="171"/>
    <s v="Education"/>
    <n v="11.808681852148307"/>
    <s v="Neither"/>
    <n v="5"/>
  </r>
  <r>
    <d v="2020-12-24T22:04:41"/>
    <s v="20-2917"/>
    <s v="P092"/>
    <x v="18"/>
    <n v="124"/>
    <n v="62"/>
    <n v="2232"/>
    <n v="1116"/>
    <n v="1116"/>
    <x v="214"/>
    <s v="Corporate &amp; Professional"/>
    <n v="12.985332015423809"/>
    <s v="Neither"/>
    <n v="5"/>
  </r>
  <r>
    <d v="2023-02-01T12:28:27"/>
    <s v="23-3276"/>
    <s v="P060"/>
    <x v="11"/>
    <n v="300"/>
    <n v="75"/>
    <n v="4800"/>
    <n v="1200"/>
    <n v="3600"/>
    <x v="56"/>
    <s v="Corporate &amp; Professional"/>
    <n v="12.007834550770397"/>
    <s v="Neither"/>
    <n v="5"/>
  </r>
  <r>
    <d v="2019-04-12T13:05:54"/>
    <s v="19-3216"/>
    <s v="P054"/>
    <x v="0"/>
    <n v="144"/>
    <n v="48"/>
    <n v="2160"/>
    <n v="720"/>
    <n v="1440"/>
    <x v="18"/>
    <s v="Sports &amp; Recreation"/>
    <n v="12.072414596936037"/>
    <s v="Neither"/>
    <n v="5"/>
  </r>
  <r>
    <d v="2019-10-30T04:41:20"/>
    <s v="19-1800"/>
    <s v="P014"/>
    <x v="14"/>
    <n v="166"/>
    <n v="83"/>
    <n v="1992"/>
    <n v="996"/>
    <n v="996"/>
    <x v="264"/>
    <s v="Education"/>
    <n v="10.818241047231139"/>
    <s v="Dissatisfied"/>
    <n v="1"/>
  </r>
  <r>
    <d v="2019-08-04T00:31:15"/>
    <s v="19-4968"/>
    <s v="P010"/>
    <x v="6"/>
    <n v="144"/>
    <n v="36"/>
    <n v="864"/>
    <n v="216"/>
    <n v="648"/>
    <x v="220"/>
    <s v="Education"/>
    <n v="13.392447352247808"/>
    <s v="Dissatisfied"/>
    <n v="1"/>
  </r>
  <r>
    <d v="2021-10-07T14:38:54"/>
    <s v="21-2825"/>
    <s v="P048"/>
    <x v="2"/>
    <n v="252"/>
    <n v="63"/>
    <n v="3276"/>
    <n v="819"/>
    <n v="2457"/>
    <x v="179"/>
    <s v="Creative &amp; Technology"/>
    <n v="12.207242573430314"/>
    <s v="Neither"/>
    <n v="5"/>
  </r>
  <r>
    <d v="2020-04-15T21:10:18"/>
    <s v="20-3714"/>
    <s v="P097"/>
    <x v="0"/>
    <n v="92"/>
    <n v="46"/>
    <n v="1380"/>
    <n v="690"/>
    <n v="690"/>
    <x v="162"/>
    <s v="Creative &amp; Technology"/>
    <n v="14.064516999204997"/>
    <s v="Neither"/>
    <n v="5"/>
  </r>
  <r>
    <d v="2019-12-01T20:54:51"/>
    <s v="19-4016"/>
    <s v="P095"/>
    <x v="9"/>
    <n v="116"/>
    <n v="29"/>
    <n v="2320"/>
    <n v="580"/>
    <n v="1740"/>
    <x v="21"/>
    <s v="Facilities &amp; Services"/>
    <n v="13.717776078041958"/>
    <s v="Neither"/>
    <n v="5"/>
  </r>
  <r>
    <d v="2018-09-30T05:55:24"/>
    <s v="18-3744"/>
    <s v="P051"/>
    <x v="11"/>
    <n v="135"/>
    <n v="45"/>
    <n v="2160"/>
    <n v="720"/>
    <n v="1440"/>
    <x v="265"/>
    <s v="Corporate &amp; Professional"/>
    <n v="12.55774399806273"/>
    <s v="Neither"/>
    <n v="5"/>
  </r>
  <r>
    <d v="2019-12-02T15:43:52"/>
    <s v="19-1519"/>
    <s v="P035"/>
    <x v="5"/>
    <n v="144"/>
    <n v="48"/>
    <n v="432"/>
    <n v="144"/>
    <n v="288"/>
    <x v="223"/>
    <s v="Education"/>
    <n v="11.661237375491201"/>
    <s v="Neither"/>
    <n v="5"/>
  </r>
  <r>
    <d v="2019-09-14T06:48:14"/>
    <s v="19-1922"/>
    <s v="P084"/>
    <x v="4"/>
    <n v="154"/>
    <n v="77"/>
    <n v="308"/>
    <n v="154"/>
    <n v="154"/>
    <x v="117"/>
    <s v="Corporate &amp; Professional"/>
    <n v="11.687634894637348"/>
    <s v="Neither"/>
    <n v="5"/>
  </r>
  <r>
    <d v="2016-10-13T00:54:52"/>
    <s v="16-1050"/>
    <s v="P058"/>
    <x v="1"/>
    <n v="356"/>
    <n v="89"/>
    <n v="2848"/>
    <n v="712"/>
    <n v="2136"/>
    <x v="185"/>
    <s v="Education"/>
    <n v="13.466362789017223"/>
    <s v="Neither"/>
    <n v="5"/>
  </r>
  <r>
    <d v="2019-05-09T02:57:40"/>
    <s v="19-1124"/>
    <s v="P045"/>
    <x v="13"/>
    <n v="100"/>
    <n v="25"/>
    <n v="1000"/>
    <n v="250"/>
    <n v="750"/>
    <x v="127"/>
    <s v="Facilities &amp; Services"/>
    <n v="11.644564584314265"/>
    <s v="Neither"/>
    <n v="5"/>
  </r>
  <r>
    <d v="2021-10-28T07:46:26"/>
    <s v="21-1552"/>
    <s v="P036"/>
    <x v="1"/>
    <n v="280"/>
    <n v="70"/>
    <n v="2240"/>
    <n v="560"/>
    <n v="1680"/>
    <x v="12"/>
    <s v="Creative &amp; Technology"/>
    <n v="9.8384363471888783"/>
    <s v="Neither"/>
    <n v="5"/>
  </r>
  <r>
    <d v="2017-03-05T05:15:40"/>
    <s v="17-1285"/>
    <s v="P011"/>
    <x v="4"/>
    <n v="264"/>
    <n v="88"/>
    <n v="528"/>
    <n v="176"/>
    <n v="352"/>
    <x v="161"/>
    <s v="Corporate &amp; Professional"/>
    <n v="11.003496633574638"/>
    <s v="Satisfied"/>
    <n v="10"/>
  </r>
  <r>
    <d v="2021-08-20T08:43:16"/>
    <s v="21-3619"/>
    <s v="P061"/>
    <x v="11"/>
    <n v="264"/>
    <n v="88"/>
    <n v="4224"/>
    <n v="1408"/>
    <n v="2816"/>
    <x v="209"/>
    <s v="Facilities &amp; Services"/>
    <n v="10.956589836772277"/>
    <s v="Neither"/>
    <n v="5"/>
  </r>
  <r>
    <d v="2020-01-30T11:43:55"/>
    <s v="20-2656"/>
    <s v="P024"/>
    <x v="11"/>
    <n v="66"/>
    <n v="33"/>
    <n v="1056"/>
    <n v="528"/>
    <n v="528"/>
    <x v="231"/>
    <s v="Facilities &amp; Services"/>
    <n v="14.060995290679429"/>
    <s v="Dissatisfied"/>
    <n v="1"/>
  </r>
  <r>
    <d v="2021-04-23T21:58:28"/>
    <s v="21-3717"/>
    <s v="P042"/>
    <x v="17"/>
    <n v="50"/>
    <n v="25"/>
    <n v="50"/>
    <n v="25"/>
    <n v="25"/>
    <x v="266"/>
    <s v="Corporate &amp; Professional"/>
    <n v="9.8776671534059073"/>
    <s v="Satisfied"/>
    <n v="10"/>
  </r>
  <r>
    <d v="2021-10-25T18:35:30"/>
    <s v="21-4410"/>
    <s v="P048"/>
    <x v="7"/>
    <n v="252"/>
    <n v="63"/>
    <n v="2772"/>
    <n v="693"/>
    <n v="2079"/>
    <x v="31"/>
    <s v="Corporate &amp; Professional"/>
    <n v="9.4200113153305907"/>
    <s v="Dissatisfied"/>
    <n v="1"/>
  </r>
  <r>
    <d v="2024-03-15T22:23:22"/>
    <s v="24-4826"/>
    <s v="P061"/>
    <x v="1"/>
    <n v="264"/>
    <n v="88"/>
    <n v="2112"/>
    <n v="704"/>
    <n v="1408"/>
    <x v="206"/>
    <s v="Community &amp; Government"/>
    <n v="12.699042739101285"/>
    <s v="Neither"/>
    <n v="5"/>
  </r>
  <r>
    <d v="2019-03-20T06:32:14"/>
    <s v="19-3290"/>
    <s v="P036"/>
    <x v="9"/>
    <n v="280"/>
    <n v="70"/>
    <n v="5600"/>
    <n v="1400"/>
    <n v="4200"/>
    <x v="194"/>
    <s v="Community &amp; Government"/>
    <n v="9.879282537628514"/>
    <s v="Neither"/>
    <n v="5"/>
  </r>
  <r>
    <d v="2020-01-06T16:08:51"/>
    <s v="20-3425"/>
    <s v="P036"/>
    <x v="1"/>
    <n v="280"/>
    <n v="70"/>
    <n v="2240"/>
    <n v="560"/>
    <n v="1680"/>
    <x v="147"/>
    <s v="Corporate &amp; Professional"/>
    <n v="9.629298039722805"/>
    <s v="Neither"/>
    <n v="5"/>
  </r>
  <r>
    <d v="2021-03-12T14:23:34"/>
    <s v="21-4168"/>
    <s v="P039"/>
    <x v="1"/>
    <n v="270"/>
    <n v="90"/>
    <n v="2160"/>
    <n v="720"/>
    <n v="1440"/>
    <x v="267"/>
    <s v="Healthcare &amp; Safety"/>
    <n v="10.28240320324797"/>
    <s v="Neither"/>
    <n v="5"/>
  </r>
  <r>
    <d v="2021-05-28T09:50:39"/>
    <s v="21-1042"/>
    <s v="P065"/>
    <x v="15"/>
    <n v="50"/>
    <n v="25"/>
    <n v="850"/>
    <n v="425"/>
    <n v="425"/>
    <x v="183"/>
    <s v="Creative &amp; Technology"/>
    <n v="7.8974070387684714"/>
    <s v="Neither"/>
    <n v="5"/>
  </r>
  <r>
    <d v="2020-03-17T20:05:19"/>
    <s v="20-3933"/>
    <s v="P016"/>
    <x v="18"/>
    <n v="110"/>
    <n v="55"/>
    <n v="1980"/>
    <n v="990"/>
    <n v="990"/>
    <x v="219"/>
    <s v="Facilities &amp; Services"/>
    <n v="11.289144410898391"/>
    <s v="Neither"/>
    <n v="5"/>
  </r>
  <r>
    <d v="2021-09-25T23:38:15"/>
    <s v="21-3183"/>
    <s v="P033"/>
    <x v="17"/>
    <n v="57"/>
    <n v="19"/>
    <n v="57"/>
    <n v="19"/>
    <n v="38"/>
    <x v="60"/>
    <s v="Creative &amp; Technology"/>
    <n v="15.556812309269255"/>
    <s v="Neither"/>
    <n v="5"/>
  </r>
  <r>
    <d v="2019-08-02T04:03:25"/>
    <s v="19-3049"/>
    <s v="P005"/>
    <x v="15"/>
    <n v="76"/>
    <n v="19"/>
    <n v="1292"/>
    <n v="323"/>
    <n v="969"/>
    <x v="91"/>
    <s v="Creative &amp; Technology"/>
    <n v="11.03324198943719"/>
    <s v="Satisfied"/>
    <n v="10"/>
  </r>
  <r>
    <d v="2020-07-27T10:06:52"/>
    <s v="20-2474"/>
    <s v="P030"/>
    <x v="14"/>
    <n v="81"/>
    <n v="27"/>
    <n v="972"/>
    <n v="324"/>
    <n v="648"/>
    <x v="86"/>
    <s v="Community &amp; Government"/>
    <n v="12.758430621858414"/>
    <s v="Neither"/>
    <n v="5"/>
  </r>
  <r>
    <d v="2019-07-20T04:46:39"/>
    <s v="19-3505"/>
    <s v="P081"/>
    <x v="4"/>
    <n v="50"/>
    <n v="25"/>
    <n v="100"/>
    <n v="50"/>
    <n v="50"/>
    <x v="233"/>
    <s v="Education"/>
    <n v="9.5176115401380308"/>
    <s v="Neither"/>
    <n v="5"/>
  </r>
  <r>
    <d v="2019-05-08T18:42:21"/>
    <s v="19-4218"/>
    <s v="P094"/>
    <x v="13"/>
    <n v="80"/>
    <n v="20"/>
    <n v="800"/>
    <n v="200"/>
    <n v="600"/>
    <x v="196"/>
    <s v="Community &amp; Government"/>
    <n v="12.869841591513939"/>
    <s v="Dissatisfied"/>
    <n v="1"/>
  </r>
  <r>
    <d v="2023-05-18T22:15:38"/>
    <s v="23-2041"/>
    <s v="P017"/>
    <x v="16"/>
    <n v="120"/>
    <n v="30"/>
    <n v="1080"/>
    <n v="270"/>
    <n v="810"/>
    <x v="205"/>
    <s v="Facilities &amp; Services"/>
    <n v="10.434860153112215"/>
    <s v="Satisfied"/>
    <n v="10"/>
  </r>
  <r>
    <d v="2022-12-28T12:02:25"/>
    <s v="22-4186"/>
    <s v="P021"/>
    <x v="8"/>
    <n v="207"/>
    <n v="69"/>
    <n v="2898"/>
    <n v="966"/>
    <n v="1932"/>
    <x v="100"/>
    <s v="Sports &amp; Recreation"/>
    <n v="10.132922049221957"/>
    <s v="Neither"/>
    <n v="5"/>
  </r>
  <r>
    <d v="2020-03-22T06:44:48"/>
    <s v="20-3857"/>
    <s v="P019"/>
    <x v="9"/>
    <n v="308"/>
    <n v="77"/>
    <n v="6160"/>
    <n v="1540"/>
    <n v="4620"/>
    <x v="99"/>
    <s v="Healthcare &amp; Safety"/>
    <n v="12.148236977735172"/>
    <s v="Neither"/>
    <n v="5"/>
  </r>
  <r>
    <d v="2018-08-19T19:23:34"/>
    <s v="18-4854"/>
    <s v="P084"/>
    <x v="15"/>
    <n v="154"/>
    <n v="77"/>
    <n v="2618"/>
    <n v="1309"/>
    <n v="1309"/>
    <x v="129"/>
    <s v="Community &amp; Government"/>
    <n v="10.813269600021069"/>
    <s v="Dissatisfied"/>
    <n v="1"/>
  </r>
  <r>
    <d v="2020-08-12T03:32:58"/>
    <s v="20-4863"/>
    <s v="P039"/>
    <x v="17"/>
    <n v="270"/>
    <n v="90"/>
    <n v="270"/>
    <n v="90"/>
    <n v="180"/>
    <x v="162"/>
    <s v="Creative &amp; Technology"/>
    <n v="14.064516999204997"/>
    <s v="Neither"/>
    <n v="5"/>
  </r>
  <r>
    <d v="2020-10-02T23:44:03"/>
    <s v="20-2115"/>
    <s v="P100"/>
    <x v="13"/>
    <n v="46"/>
    <n v="23"/>
    <n v="460"/>
    <n v="230"/>
    <n v="230"/>
    <x v="43"/>
    <s v="Corporate &amp; Professional"/>
    <n v="15.121383064708469"/>
    <s v="Neither"/>
    <n v="5"/>
  </r>
  <r>
    <d v="2021-04-19T17:36:29"/>
    <s v="21-4566"/>
    <s v="P025"/>
    <x v="15"/>
    <n v="210"/>
    <n v="70"/>
    <n v="3570"/>
    <n v="1190"/>
    <n v="2380"/>
    <x v="136"/>
    <s v="Creative &amp; Technology"/>
    <n v="16.429355109701351"/>
    <s v="Satisfied"/>
    <n v="10"/>
  </r>
  <r>
    <d v="2020-05-08T13:12:54"/>
    <s v="20-3167"/>
    <s v="P027"/>
    <x v="0"/>
    <n v="140"/>
    <n v="70"/>
    <n v="2100"/>
    <n v="1050"/>
    <n v="1050"/>
    <x v="185"/>
    <s v="Education"/>
    <n v="13.466362789017223"/>
    <s v="Satisfied"/>
    <n v="10"/>
  </r>
  <r>
    <d v="2020-04-10T16:22:10"/>
    <s v="20-2672"/>
    <s v="P034"/>
    <x v="15"/>
    <n v="114"/>
    <n v="57"/>
    <n v="1938"/>
    <n v="969"/>
    <n v="969"/>
    <x v="58"/>
    <s v="Creative &amp; Technology"/>
    <n v="11.995406972581796"/>
    <s v="Neither"/>
    <n v="5"/>
  </r>
  <r>
    <d v="2024-03-01T12:26:53"/>
    <s v="24-4382"/>
    <s v="P085"/>
    <x v="5"/>
    <n v="320"/>
    <n v="80"/>
    <n v="960"/>
    <n v="240"/>
    <n v="720"/>
    <x v="223"/>
    <s v="Education"/>
    <n v="11.661237375491201"/>
    <s v="Satisfied"/>
    <n v="10"/>
  </r>
  <r>
    <d v="2020-05-23T18:18:37"/>
    <s v="20-4032"/>
    <s v="P021"/>
    <x v="19"/>
    <n v="207"/>
    <n v="69"/>
    <n v="3933"/>
    <n v="1311"/>
    <n v="2622"/>
    <x v="82"/>
    <s v="Creative &amp; Technology"/>
    <n v="11.883396013219548"/>
    <s v="Neither"/>
    <n v="5"/>
  </r>
  <r>
    <d v="2018-07-28T08:26:46"/>
    <s v="18-2310"/>
    <s v="P011"/>
    <x v="1"/>
    <n v="264"/>
    <n v="88"/>
    <n v="2112"/>
    <n v="704"/>
    <n v="1408"/>
    <x v="268"/>
    <s v="Sports &amp; Recreation"/>
    <n v="11.593991859287692"/>
    <s v="Neither"/>
    <n v="5"/>
  </r>
  <r>
    <d v="2021-09-09T07:44:05"/>
    <s v="21-3333"/>
    <s v="P032"/>
    <x v="2"/>
    <n v="92"/>
    <n v="46"/>
    <n v="1196"/>
    <n v="598"/>
    <n v="598"/>
    <x v="79"/>
    <s v="Facilities &amp; Services"/>
    <n v="12.661538237835474"/>
    <s v="Neither"/>
    <n v="5"/>
  </r>
  <r>
    <d v="2020-03-16T19:41:02"/>
    <s v="20-3325"/>
    <s v="P010"/>
    <x v="1"/>
    <n v="144"/>
    <n v="36"/>
    <n v="1152"/>
    <n v="288"/>
    <n v="864"/>
    <x v="269"/>
    <s v="Corporate &amp; Professional"/>
    <n v="10.585251392347548"/>
    <s v="Neither"/>
    <n v="5"/>
  </r>
  <r>
    <d v="2018-08-29T13:42:33"/>
    <s v="18-1542"/>
    <s v="P081"/>
    <x v="1"/>
    <n v="50"/>
    <n v="25"/>
    <n v="400"/>
    <n v="200"/>
    <n v="200"/>
    <x v="219"/>
    <s v="Facilities &amp; Services"/>
    <n v="11.289144410898391"/>
    <s v="Neither"/>
    <n v="5"/>
  </r>
  <r>
    <d v="2019-12-12T03:26:21"/>
    <s v="19-3982"/>
    <s v="P084"/>
    <x v="0"/>
    <n v="154"/>
    <n v="77"/>
    <n v="2310"/>
    <n v="1155"/>
    <n v="1155"/>
    <x v="174"/>
    <s v="Corporate &amp; Professional"/>
    <n v="12.921682080641304"/>
    <s v="Neither"/>
    <n v="5"/>
  </r>
  <r>
    <d v="2021-11-15T20:56:43"/>
    <s v="21-2883"/>
    <s v="P002"/>
    <x v="10"/>
    <n v="144"/>
    <n v="36"/>
    <n v="720"/>
    <n v="180"/>
    <n v="540"/>
    <x v="202"/>
    <s v="Community &amp; Government"/>
    <n v="8.1595626482464514"/>
    <s v="Dissatisfied"/>
    <n v="1"/>
  </r>
  <r>
    <d v="2020-05-03T16:51:10"/>
    <s v="20-4105"/>
    <s v="P028"/>
    <x v="10"/>
    <n v="156"/>
    <n v="78"/>
    <n v="780"/>
    <n v="390"/>
    <n v="390"/>
    <x v="148"/>
    <s v="Healthcare &amp; Safety"/>
    <n v="14.845213075061906"/>
    <s v="Satisfied"/>
    <n v="10"/>
  </r>
  <r>
    <d v="2019-09-08T22:12:12"/>
    <s v="19-1079"/>
    <s v="P089"/>
    <x v="8"/>
    <n v="102"/>
    <n v="51"/>
    <n v="1428"/>
    <n v="714"/>
    <n v="714"/>
    <x v="251"/>
    <s v="Creative &amp; Technology"/>
    <n v="9.1591412531773226"/>
    <s v="Neither"/>
    <n v="5"/>
  </r>
  <r>
    <d v="2022-06-23T01:46:05"/>
    <s v="22-2892"/>
    <s v="P024"/>
    <x v="9"/>
    <n v="66"/>
    <n v="33"/>
    <n v="1320"/>
    <n v="660"/>
    <n v="660"/>
    <x v="270"/>
    <s v="Education"/>
    <n v="14.129095302641241"/>
    <s v="Dissatisfied"/>
    <n v="1"/>
  </r>
  <r>
    <d v="2019-12-31T02:27:42"/>
    <s v="19-3758"/>
    <s v="P073"/>
    <x v="10"/>
    <n v="48"/>
    <n v="24"/>
    <n v="240"/>
    <n v="120"/>
    <n v="120"/>
    <x v="271"/>
    <s v="Sports &amp; Recreation"/>
    <n v="13.601235361661526"/>
    <s v="Neither"/>
    <n v="5"/>
  </r>
  <r>
    <d v="2017-12-19T19:52:42"/>
    <s v="17-3291"/>
    <s v="P096"/>
    <x v="6"/>
    <n v="144"/>
    <n v="48"/>
    <n v="864"/>
    <n v="288"/>
    <n v="576"/>
    <x v="27"/>
    <s v="Healthcare &amp; Safety"/>
    <n v="10.42743035829395"/>
    <s v="Neither"/>
    <n v="5"/>
  </r>
  <r>
    <d v="2019-12-10T15:12:30"/>
    <s v="19-1291"/>
    <s v="P023"/>
    <x v="2"/>
    <n v="126"/>
    <n v="42"/>
    <n v="1638"/>
    <n v="546"/>
    <n v="1092"/>
    <x v="121"/>
    <s v="Creative &amp; Technology"/>
    <n v="11.394777319422785"/>
    <s v="Neither"/>
    <n v="5"/>
  </r>
  <r>
    <d v="2022-05-20T06:21:23"/>
    <s v="22-4814"/>
    <s v="P022"/>
    <x v="9"/>
    <n v="153"/>
    <n v="51"/>
    <n v="3060"/>
    <n v="1020"/>
    <n v="2040"/>
    <x v="185"/>
    <s v="Education"/>
    <n v="13.466362789017223"/>
    <s v="Neither"/>
    <n v="5"/>
  </r>
  <r>
    <d v="2021-07-31T19:05:19"/>
    <s v="21-2271"/>
    <s v="P035"/>
    <x v="4"/>
    <n v="144"/>
    <n v="48"/>
    <n v="288"/>
    <n v="96"/>
    <n v="192"/>
    <x v="234"/>
    <s v="Creative &amp; Technology"/>
    <n v="12.990345718839325"/>
    <s v="Neither"/>
    <n v="5"/>
  </r>
  <r>
    <d v="2021-09-15T23:10:24"/>
    <s v="21-3786"/>
    <s v="P098"/>
    <x v="11"/>
    <n v="201"/>
    <n v="67"/>
    <n v="3216"/>
    <n v="1072"/>
    <n v="2144"/>
    <x v="170"/>
    <s v="Sports &amp; Recreation"/>
    <n v="10.037135914792184"/>
    <s v="Neither"/>
    <n v="5"/>
  </r>
  <r>
    <d v="2021-10-29T06:31:33"/>
    <s v="21-2179"/>
    <s v="P095"/>
    <x v="13"/>
    <n v="116"/>
    <n v="29"/>
    <n v="1160"/>
    <n v="290"/>
    <n v="870"/>
    <x v="153"/>
    <s v="Corporate &amp; Professional"/>
    <n v="11.799431383856128"/>
    <s v="Satisfied"/>
    <n v="10"/>
  </r>
  <r>
    <d v="2019-09-10T18:26:20"/>
    <s v="19-2616"/>
    <s v="P067"/>
    <x v="0"/>
    <n v="144"/>
    <n v="36"/>
    <n v="2160"/>
    <n v="540"/>
    <n v="1620"/>
    <x v="5"/>
    <s v="Healthcare &amp; Safety"/>
    <n v="12.169266722245851"/>
    <s v="Satisfied"/>
    <n v="10"/>
  </r>
  <r>
    <d v="2018-05-18T18:47:10"/>
    <s v="18-4864"/>
    <s v="P077"/>
    <x v="2"/>
    <n v="162"/>
    <n v="54"/>
    <n v="2106"/>
    <n v="702"/>
    <n v="1404"/>
    <x v="66"/>
    <s v="Facilities &amp; Services"/>
    <n v="12.172922939334034"/>
    <s v="Neither"/>
    <n v="5"/>
  </r>
  <r>
    <d v="2019-05-09T09:20:42"/>
    <s v="19-2013"/>
    <s v="P022"/>
    <x v="15"/>
    <n v="153"/>
    <n v="51"/>
    <n v="2601"/>
    <n v="867"/>
    <n v="1734"/>
    <x v="124"/>
    <s v="Sports &amp; Recreation"/>
    <n v="13.115597690631557"/>
    <s v="Dissatisfied"/>
    <n v="1"/>
  </r>
  <r>
    <d v="2017-08-31T19:12:30"/>
    <s v="17-3025"/>
    <s v="P080"/>
    <x v="15"/>
    <n v="57"/>
    <n v="19"/>
    <n v="969"/>
    <n v="323"/>
    <n v="646"/>
    <x v="208"/>
    <s v="Community &amp; Government"/>
    <n v="12.658317415198635"/>
    <s v="Neither"/>
    <n v="5"/>
  </r>
  <r>
    <d v="2019-09-25T18:14:25"/>
    <s v="19-1896"/>
    <s v="P054"/>
    <x v="9"/>
    <n v="144"/>
    <n v="48"/>
    <n v="2880"/>
    <n v="960"/>
    <n v="1920"/>
    <x v="146"/>
    <s v="Creative &amp; Technology"/>
    <n v="10.764293826791503"/>
    <s v="Dissatisfied"/>
    <n v="1"/>
  </r>
  <r>
    <d v="2019-02-12T23:59:16"/>
    <s v="19-2065"/>
    <s v="P100"/>
    <x v="6"/>
    <n v="46"/>
    <n v="23"/>
    <n v="276"/>
    <n v="138"/>
    <n v="138"/>
    <x v="140"/>
    <s v="Education"/>
    <n v="13.332534707865639"/>
    <s v="Neither"/>
    <n v="5"/>
  </r>
  <r>
    <d v="2021-03-18T22:03:45"/>
    <s v="21-2748"/>
    <s v="P074"/>
    <x v="17"/>
    <n v="352"/>
    <n v="88"/>
    <n v="352"/>
    <n v="88"/>
    <n v="264"/>
    <x v="76"/>
    <s v="Community &amp; Government"/>
    <n v="12.796588406005421"/>
    <s v="Neither"/>
    <n v="5"/>
  </r>
  <r>
    <d v="2021-01-17T12:07:52"/>
    <s v="21-4450"/>
    <s v="P025"/>
    <x v="13"/>
    <n v="210"/>
    <n v="70"/>
    <n v="2100"/>
    <n v="700"/>
    <n v="1400"/>
    <x v="3"/>
    <s v="Facilities &amp; Services"/>
    <n v="10.06992029407844"/>
    <s v="Dissatisfied"/>
    <n v="1"/>
  </r>
  <r>
    <d v="2020-08-12T03:08:41"/>
    <s v="20-4965"/>
    <s v="P005"/>
    <x v="9"/>
    <n v="76"/>
    <n v="19"/>
    <n v="1520"/>
    <n v="380"/>
    <n v="1140"/>
    <x v="224"/>
    <s v="Creative &amp; Technology"/>
    <n v="11.943192562152261"/>
    <s v="Satisfied"/>
    <n v="10"/>
  </r>
  <r>
    <d v="2021-06-13T06:59:04"/>
    <s v="21-2698"/>
    <s v="P005"/>
    <x v="4"/>
    <n v="76"/>
    <n v="19"/>
    <n v="152"/>
    <n v="38"/>
    <n v="114"/>
    <x v="179"/>
    <s v="Creative &amp; Technology"/>
    <n v="12.207242573430314"/>
    <s v="Dissatisfied"/>
    <n v="1"/>
  </r>
  <r>
    <d v="2019-02-09T00:18:06"/>
    <s v="19-1809"/>
    <s v="P080"/>
    <x v="0"/>
    <n v="57"/>
    <n v="19"/>
    <n v="855"/>
    <n v="285"/>
    <n v="570"/>
    <x v="183"/>
    <s v="Creative &amp; Technology"/>
    <n v="7.8974070387684714"/>
    <s v="Satisfied"/>
    <n v="10"/>
  </r>
  <r>
    <d v="2021-09-27T03:21:41"/>
    <s v="21-4756"/>
    <s v="P059"/>
    <x v="3"/>
    <n v="267"/>
    <n v="89"/>
    <n v="1068"/>
    <n v="356"/>
    <n v="712"/>
    <x v="272"/>
    <s v="Facilities &amp; Services"/>
    <n v="10.517826055804084"/>
    <s v="Neither"/>
    <n v="5"/>
  </r>
  <r>
    <d v="2021-05-25T17:03:11"/>
    <s v="21-2018"/>
    <s v="P057"/>
    <x v="17"/>
    <n v="252"/>
    <n v="63"/>
    <n v="252"/>
    <n v="63"/>
    <n v="189"/>
    <x v="58"/>
    <s v="Creative &amp; Technology"/>
    <n v="11.995406972581796"/>
    <s v="Satisfied"/>
    <n v="10"/>
  </r>
  <r>
    <d v="2021-12-15T00:58:59"/>
    <s v="21-4715"/>
    <s v="P100"/>
    <x v="1"/>
    <n v="46"/>
    <n v="23"/>
    <n v="368"/>
    <n v="184"/>
    <n v="184"/>
    <x v="260"/>
    <s v="Creative &amp; Technology"/>
    <n v="10.588336269016523"/>
    <s v="Neither"/>
    <n v="5"/>
  </r>
  <r>
    <d v="2020-12-09T03:37:33"/>
    <s v="20-3900"/>
    <s v="P033"/>
    <x v="6"/>
    <n v="57"/>
    <n v="19"/>
    <n v="342"/>
    <n v="114"/>
    <n v="228"/>
    <x v="6"/>
    <s v="Creative &amp; Technology"/>
    <n v="11.749993886708426"/>
    <s v="Neither"/>
    <n v="5"/>
  </r>
  <r>
    <d v="2021-10-25T14:01:07"/>
    <s v="21-1037"/>
    <s v="P090"/>
    <x v="11"/>
    <n v="57"/>
    <n v="19"/>
    <n v="912"/>
    <n v="304"/>
    <n v="608"/>
    <x v="60"/>
    <s v="Creative &amp; Technology"/>
    <n v="15.556812309269255"/>
    <s v="Neither"/>
    <n v="5"/>
  </r>
  <r>
    <d v="2019-06-16T20:28:31"/>
    <s v="19-1121"/>
    <s v="P070"/>
    <x v="10"/>
    <n v="84"/>
    <n v="21"/>
    <n v="420"/>
    <n v="105"/>
    <n v="315"/>
    <x v="77"/>
    <s v="Facilities &amp; Services"/>
    <n v="12.514998090845811"/>
    <s v="Neither"/>
    <n v="5"/>
  </r>
  <r>
    <d v="2020-11-07T20:48:17"/>
    <s v="20-1064"/>
    <s v="P030"/>
    <x v="4"/>
    <n v="81"/>
    <n v="27"/>
    <n v="162"/>
    <n v="54"/>
    <n v="108"/>
    <x v="49"/>
    <s v="Creative &amp; Technology"/>
    <n v="11.31221475547909"/>
    <s v="Dissatisfied"/>
    <n v="1"/>
  </r>
  <r>
    <d v="2020-04-17T23:07:42"/>
    <s v="20-4772"/>
    <s v="P056"/>
    <x v="2"/>
    <n v="72"/>
    <n v="36"/>
    <n v="936"/>
    <n v="468"/>
    <n v="468"/>
    <x v="103"/>
    <s v="Education"/>
    <n v="14.687857652112591"/>
    <s v="Neither"/>
    <n v="5"/>
  </r>
  <r>
    <d v="2020-08-16T14:45:30"/>
    <s v="20-3200"/>
    <s v="P044"/>
    <x v="19"/>
    <n v="368"/>
    <n v="92"/>
    <n v="6992"/>
    <n v="1748"/>
    <n v="5244"/>
    <x v="135"/>
    <s v="Corporate &amp; Professional"/>
    <n v="10.408704992688252"/>
    <s v="Neither"/>
    <n v="5"/>
  </r>
  <r>
    <d v="2020-03-08T19:12:06"/>
    <s v="20-1709"/>
    <s v="P008"/>
    <x v="12"/>
    <n v="225"/>
    <n v="75"/>
    <n v="1575"/>
    <n v="525"/>
    <n v="1050"/>
    <x v="100"/>
    <s v="Sports &amp; Recreation"/>
    <n v="10.132922049221957"/>
    <s v="Neither"/>
    <n v="5"/>
  </r>
  <r>
    <d v="2022-05-15T12:04:55"/>
    <s v="22-2446"/>
    <s v="P075"/>
    <x v="19"/>
    <n v="160"/>
    <n v="80"/>
    <n v="3040"/>
    <n v="1520"/>
    <n v="1520"/>
    <x v="253"/>
    <s v="Facilities &amp; Services"/>
    <n v="11.961761925704458"/>
    <s v="Neither"/>
    <n v="5"/>
  </r>
  <r>
    <d v="2019-11-27T18:49:48"/>
    <s v="19-4185"/>
    <s v="P082"/>
    <x v="10"/>
    <n v="312"/>
    <n v="78"/>
    <n v="1560"/>
    <n v="390"/>
    <n v="1170"/>
    <x v="184"/>
    <s v="Community &amp; Government"/>
    <n v="8.8169309002713945"/>
    <s v="Neither"/>
    <n v="5"/>
  </r>
  <r>
    <d v="2020-07-11T09:27:14"/>
    <s v="20-1288"/>
    <s v="P030"/>
    <x v="5"/>
    <n v="81"/>
    <n v="27"/>
    <n v="243"/>
    <n v="81"/>
    <n v="162"/>
    <x v="200"/>
    <s v="Community &amp; Government"/>
    <n v="12.460490918487697"/>
    <s v="Neither"/>
    <n v="5"/>
  </r>
  <r>
    <d v="2020-05-12T11:51:41"/>
    <s v="20-1856"/>
    <s v="P100"/>
    <x v="2"/>
    <n v="46"/>
    <n v="23"/>
    <n v="598"/>
    <n v="299"/>
    <n v="299"/>
    <x v="51"/>
    <s v="Facilities &amp; Services"/>
    <n v="10.523527521613014"/>
    <s v="Neither"/>
    <n v="5"/>
  </r>
  <r>
    <d v="2019-11-06T04:35:33"/>
    <s v="19-2805"/>
    <s v="P066"/>
    <x v="1"/>
    <n v="34"/>
    <n v="17"/>
    <n v="272"/>
    <n v="136"/>
    <n v="136"/>
    <x v="226"/>
    <s v="Community &amp; Government"/>
    <n v="11.927799225928501"/>
    <s v="Dissatisfied"/>
    <n v="1"/>
  </r>
  <r>
    <d v="2019-06-13T19:08:46"/>
    <s v="19-2403"/>
    <s v="P083"/>
    <x v="19"/>
    <n v="90"/>
    <n v="45"/>
    <n v="1710"/>
    <n v="855"/>
    <n v="855"/>
    <x v="126"/>
    <s v="Creative &amp; Technology"/>
    <n v="12.399050786131125"/>
    <s v="Satisfied"/>
    <n v="10"/>
  </r>
  <r>
    <d v="2019-02-05T03:30:56"/>
    <s v="19-4250"/>
    <s v="P028"/>
    <x v="15"/>
    <n v="156"/>
    <n v="78"/>
    <n v="2652"/>
    <n v="1326"/>
    <n v="1326"/>
    <x v="153"/>
    <s v="Corporate &amp; Professional"/>
    <n v="11.799431383856128"/>
    <s v="Satisfied"/>
    <n v="10"/>
  </r>
  <r>
    <d v="2020-10-03T11:52:35"/>
    <s v="20-4960"/>
    <s v="P064"/>
    <x v="7"/>
    <n v="231"/>
    <n v="77"/>
    <n v="2541"/>
    <n v="847"/>
    <n v="1694"/>
    <x v="173"/>
    <s v="Education"/>
    <n v="12.147202500273634"/>
    <s v="Neither"/>
    <n v="5"/>
  </r>
  <r>
    <d v="2021-08-06T10:37:58"/>
    <s v="21-3698"/>
    <s v="P056"/>
    <x v="2"/>
    <n v="72"/>
    <n v="36"/>
    <n v="936"/>
    <n v="468"/>
    <n v="468"/>
    <x v="66"/>
    <s v="Facilities &amp; Services"/>
    <n v="12.172922939334034"/>
    <s v="Satisfied"/>
    <n v="10"/>
  </r>
  <r>
    <d v="2019-12-25T16:21:23"/>
    <s v="19-1200"/>
    <s v="P041"/>
    <x v="3"/>
    <n v="144"/>
    <n v="36"/>
    <n v="576"/>
    <n v="144"/>
    <n v="432"/>
    <x v="154"/>
    <s v="Sports &amp; Recreation"/>
    <n v="8.8878868765808274"/>
    <s v="Dissatisfied"/>
    <n v="1"/>
  </r>
  <r>
    <d v="2019-10-09T08:19:12"/>
    <s v="19-3252"/>
    <s v="P018"/>
    <x v="12"/>
    <n v="108"/>
    <n v="54"/>
    <n v="756"/>
    <n v="378"/>
    <n v="378"/>
    <x v="4"/>
    <s v="Education"/>
    <n v="15.24190997853951"/>
    <s v="Satisfied"/>
    <n v="10"/>
  </r>
  <r>
    <d v="2021-12-20T11:19:08"/>
    <s v="21-1305"/>
    <s v="P055"/>
    <x v="15"/>
    <n v="360"/>
    <n v="90"/>
    <n v="6120"/>
    <n v="1530"/>
    <n v="4590"/>
    <x v="205"/>
    <s v="Facilities &amp; Services"/>
    <n v="10.434860153112215"/>
    <s v="Neither"/>
    <n v="5"/>
  </r>
  <r>
    <d v="2020-02-19T16:40:02"/>
    <s v="20-4269"/>
    <s v="P007"/>
    <x v="11"/>
    <n v="225"/>
    <n v="75"/>
    <n v="3600"/>
    <n v="1200"/>
    <n v="2400"/>
    <x v="12"/>
    <s v="Creative &amp; Technology"/>
    <n v="9.8384363471888783"/>
    <s v="Neither"/>
    <n v="5"/>
  </r>
  <r>
    <d v="2019-12-22T15:58:48"/>
    <s v="19-3739"/>
    <s v="P006"/>
    <x v="6"/>
    <n v="38"/>
    <n v="19"/>
    <n v="228"/>
    <n v="114"/>
    <n v="114"/>
    <x v="93"/>
    <s v="Facilities &amp; Services"/>
    <n v="10.966283117837653"/>
    <s v="Neither"/>
    <n v="5"/>
  </r>
  <r>
    <d v="2019-08-13T00:35:55"/>
    <s v="19-1917"/>
    <s v="P032"/>
    <x v="3"/>
    <n v="92"/>
    <n v="46"/>
    <n v="368"/>
    <n v="184"/>
    <n v="184"/>
    <x v="54"/>
    <s v="Community &amp; Government"/>
    <n v="13.890275354050972"/>
    <s v="Neither"/>
    <n v="5"/>
  </r>
  <r>
    <d v="2021-01-17T21:04:26"/>
    <s v="21-2268"/>
    <s v="P091"/>
    <x v="9"/>
    <n v="204"/>
    <n v="51"/>
    <n v="4080"/>
    <n v="1020"/>
    <n v="3060"/>
    <x v="212"/>
    <s v="Sports &amp; Recreation"/>
    <n v="11.443503623244197"/>
    <s v="Neither"/>
    <n v="5"/>
  </r>
  <r>
    <d v="2020-08-21T16:29:16"/>
    <s v="20-2297"/>
    <s v="P039"/>
    <x v="2"/>
    <n v="270"/>
    <n v="90"/>
    <n v="3510"/>
    <n v="1170"/>
    <n v="2340"/>
    <x v="14"/>
    <s v="Creative &amp; Technology"/>
    <n v="13.45980057156361"/>
    <s v="Neither"/>
    <n v="5"/>
  </r>
  <r>
    <d v="2020-05-18T07:44:22"/>
    <s v="20-1571"/>
    <s v="P055"/>
    <x v="11"/>
    <n v="360"/>
    <n v="90"/>
    <n v="5760"/>
    <n v="1440"/>
    <n v="4320"/>
    <x v="151"/>
    <s v="Sports &amp; Recreation"/>
    <n v="9.458617986208397"/>
    <s v="Neither"/>
    <n v="5"/>
  </r>
  <r>
    <d v="2024-04-17T11:48:42"/>
    <s v="24-2671"/>
    <s v="P082"/>
    <x v="10"/>
    <n v="312"/>
    <n v="78"/>
    <n v="1560"/>
    <n v="390"/>
    <n v="1170"/>
    <x v="248"/>
    <s v="Creative &amp; Technology"/>
    <n v="11.130819205617987"/>
    <s v="Neither"/>
    <n v="5"/>
  </r>
  <r>
    <d v="2021-08-30T16:58:22"/>
    <s v="21-1642"/>
    <s v="P094"/>
    <x v="13"/>
    <n v="80"/>
    <n v="20"/>
    <n v="800"/>
    <n v="200"/>
    <n v="600"/>
    <x v="66"/>
    <s v="Facilities &amp; Services"/>
    <n v="12.172922939334034"/>
    <s v="Neither"/>
    <n v="5"/>
  </r>
  <r>
    <d v="2022-09-02T23:22:52"/>
    <s v="22-4728"/>
    <s v="P100"/>
    <x v="6"/>
    <n v="46"/>
    <n v="23"/>
    <n v="276"/>
    <n v="138"/>
    <n v="138"/>
    <x v="139"/>
    <s v="Creative &amp; Technology"/>
    <n v="15.770846827234339"/>
    <s v="Neither"/>
    <n v="5"/>
  </r>
  <r>
    <d v="2020-10-01T23:06:31"/>
    <s v="20-1627"/>
    <s v="P055"/>
    <x v="0"/>
    <n v="360"/>
    <n v="90"/>
    <n v="5400"/>
    <n v="1350"/>
    <n v="4050"/>
    <x v="100"/>
    <s v="Sports &amp; Recreation"/>
    <n v="10.132922049221957"/>
    <s v="Satisfied"/>
    <n v="10"/>
  </r>
  <r>
    <d v="2019-09-24T17:21:23"/>
    <s v="19-2031"/>
    <s v="P027"/>
    <x v="13"/>
    <n v="140"/>
    <n v="70"/>
    <n v="1400"/>
    <n v="700"/>
    <n v="700"/>
    <x v="41"/>
    <s v="Community &amp; Government"/>
    <n v="12.452986387489583"/>
    <s v="Dissatisfied"/>
    <n v="1"/>
  </r>
  <r>
    <d v="2022-05-13T18:05:32"/>
    <s v="22-1135"/>
    <s v="P048"/>
    <x v="11"/>
    <n v="252"/>
    <n v="63"/>
    <n v="4032"/>
    <n v="1008"/>
    <n v="3024"/>
    <x v="206"/>
    <s v="Community &amp; Government"/>
    <n v="12.699042739101285"/>
    <s v="Neither"/>
    <n v="5"/>
  </r>
  <r>
    <d v="2022-08-29T15:53:20"/>
    <s v="22-2713"/>
    <s v="P002"/>
    <x v="6"/>
    <n v="144"/>
    <n v="36"/>
    <n v="864"/>
    <n v="216"/>
    <n v="648"/>
    <x v="111"/>
    <s v="Sports &amp; Recreation"/>
    <n v="12.342715162719054"/>
    <s v="Satisfied"/>
    <n v="10"/>
  </r>
  <r>
    <d v="2019-11-28T17:53:54"/>
    <s v="19-3065"/>
    <s v="P009"/>
    <x v="12"/>
    <n v="255"/>
    <n v="85"/>
    <n v="1785"/>
    <n v="595"/>
    <n v="1190"/>
    <x v="65"/>
    <s v="Healthcare &amp; Safety"/>
    <n v="14.377134310720955"/>
    <s v="Satisfied"/>
    <n v="10"/>
  </r>
  <r>
    <d v="2021-01-20T22:45:10"/>
    <s v="21-2161"/>
    <s v="P041"/>
    <x v="3"/>
    <n v="144"/>
    <n v="36"/>
    <n v="576"/>
    <n v="144"/>
    <n v="432"/>
    <x v="171"/>
    <s v="Education"/>
    <n v="11.808681852148307"/>
    <s v="Dissatisfied"/>
    <n v="1"/>
  </r>
  <r>
    <d v="2021-06-30T17:59:13"/>
    <s v="21-4467"/>
    <s v="P095"/>
    <x v="9"/>
    <n v="116"/>
    <n v="29"/>
    <n v="2320"/>
    <n v="580"/>
    <n v="1740"/>
    <x v="199"/>
    <s v="Healthcare &amp; Safety"/>
    <n v="14.460020532456038"/>
    <s v="Neither"/>
    <n v="5"/>
  </r>
  <r>
    <d v="2021-03-20T02:39:05"/>
    <s v="21-4627"/>
    <s v="P011"/>
    <x v="1"/>
    <n v="264"/>
    <n v="88"/>
    <n v="2112"/>
    <n v="704"/>
    <n v="1408"/>
    <x v="138"/>
    <s v="Healthcare &amp; Safety"/>
    <n v="12.85215703546821"/>
    <s v="Neither"/>
    <n v="5"/>
  </r>
  <r>
    <d v="2020-12-01T16:20:51"/>
    <s v="20-3292"/>
    <s v="P036"/>
    <x v="6"/>
    <n v="280"/>
    <n v="70"/>
    <n v="1680"/>
    <n v="420"/>
    <n v="1260"/>
    <x v="273"/>
    <s v="Corporate &amp; Professional"/>
    <n v="11.971065679104063"/>
    <s v="Neither"/>
    <n v="5"/>
  </r>
  <r>
    <d v="2021-02-28T05:14:46"/>
    <s v="21-3464"/>
    <s v="P065"/>
    <x v="16"/>
    <n v="50"/>
    <n v="25"/>
    <n v="450"/>
    <n v="225"/>
    <n v="225"/>
    <x v="173"/>
    <s v="Education"/>
    <n v="12.147202500273634"/>
    <s v="Satisfied"/>
    <n v="10"/>
  </r>
  <r>
    <d v="2020-11-03T07:52:20"/>
    <s v="20-2288"/>
    <s v="P066"/>
    <x v="3"/>
    <n v="34"/>
    <n v="17"/>
    <n v="136"/>
    <n v="68"/>
    <n v="68"/>
    <x v="82"/>
    <s v="Creative &amp; Technology"/>
    <n v="11.883396013219548"/>
    <s v="Dissatisfied"/>
    <n v="1"/>
  </r>
  <r>
    <d v="2020-03-04T23:21:27"/>
    <s v="20-4416"/>
    <s v="P092"/>
    <x v="8"/>
    <n v="124"/>
    <n v="62"/>
    <n v="1736"/>
    <n v="868"/>
    <n v="868"/>
    <x v="242"/>
    <s v="Corporate &amp; Professional"/>
    <n v="13.062292798511226"/>
    <s v="Satisfied"/>
    <n v="10"/>
  </r>
  <r>
    <d v="2017-10-20T04:50:28"/>
    <s v="17-3360"/>
    <s v="P090"/>
    <x v="17"/>
    <n v="57"/>
    <n v="19"/>
    <n v="57"/>
    <n v="19"/>
    <n v="38"/>
    <x v="69"/>
    <s v="Healthcare &amp; Safety"/>
    <n v="9.3014286057233697"/>
    <s v="Satisfied"/>
    <n v="10"/>
  </r>
  <r>
    <d v="2017-09-26T01:40:42"/>
    <s v="17-4829"/>
    <s v="P069"/>
    <x v="7"/>
    <n v="150"/>
    <n v="75"/>
    <n v="1650"/>
    <n v="825"/>
    <n v="825"/>
    <x v="162"/>
    <s v="Creative &amp; Technology"/>
    <n v="14.064516999204997"/>
    <s v="Satisfied"/>
    <n v="10"/>
  </r>
  <r>
    <d v="2019-08-13T19:25:39"/>
    <s v="19-2924"/>
    <s v="P024"/>
    <x v="7"/>
    <n v="66"/>
    <n v="33"/>
    <n v="726"/>
    <n v="363"/>
    <n v="363"/>
    <x v="274"/>
    <s v="Creative &amp; Technology"/>
    <n v="10.524491192521829"/>
    <s v="Satisfied"/>
    <n v="10"/>
  </r>
  <r>
    <d v="2017-11-20T19:57:50"/>
    <s v="17-3145"/>
    <s v="P100"/>
    <x v="19"/>
    <n v="46"/>
    <n v="23"/>
    <n v="874"/>
    <n v="437"/>
    <n v="437"/>
    <x v="240"/>
    <s v="Sports &amp; Recreation"/>
    <n v="12.701325659159139"/>
    <s v="Dissatisfied"/>
    <n v="1"/>
  </r>
  <r>
    <d v="2022-06-10T09:43:24"/>
    <s v="22-2305"/>
    <s v="P045"/>
    <x v="12"/>
    <n v="100"/>
    <n v="25"/>
    <n v="700"/>
    <n v="175"/>
    <n v="525"/>
    <x v="206"/>
    <s v="Community &amp; Government"/>
    <n v="12.699042739101285"/>
    <s v="Neither"/>
    <n v="5"/>
  </r>
  <r>
    <d v="2020-09-11T17:25:57"/>
    <s v="20-3896"/>
    <s v="P052"/>
    <x v="10"/>
    <n v="352"/>
    <n v="88"/>
    <n v="1760"/>
    <n v="440"/>
    <n v="1320"/>
    <x v="249"/>
    <s v="Corporate &amp; Professional"/>
    <n v="13.397308081757757"/>
    <s v="Dissatisfied"/>
    <n v="1"/>
  </r>
  <r>
    <d v="2021-10-12T13:44:55"/>
    <s v="21-1689"/>
    <s v="P025"/>
    <x v="11"/>
    <n v="210"/>
    <n v="70"/>
    <n v="3360"/>
    <n v="1120"/>
    <n v="2240"/>
    <x v="38"/>
    <s v="Facilities &amp; Services"/>
    <n v="13.378080355059918"/>
    <s v="Neither"/>
    <n v="5"/>
  </r>
  <r>
    <d v="2019-12-01T07:30:00"/>
    <s v="19-4399"/>
    <s v="P100"/>
    <x v="16"/>
    <n v="46"/>
    <n v="23"/>
    <n v="414"/>
    <n v="207"/>
    <n v="207"/>
    <x v="23"/>
    <s v="Healthcare &amp; Safety"/>
    <n v="13.407340878370247"/>
    <s v="Satisfied"/>
    <n v="10"/>
  </r>
  <r>
    <d v="2020-08-11T12:17:27"/>
    <s v="20-1794"/>
    <s v="P016"/>
    <x v="10"/>
    <n v="110"/>
    <n v="55"/>
    <n v="550"/>
    <n v="275"/>
    <n v="275"/>
    <x v="70"/>
    <s v="Community &amp; Government"/>
    <n v="14.593670394271927"/>
    <s v="Neither"/>
    <n v="5"/>
  </r>
  <r>
    <d v="2018-01-04T06:33:05"/>
    <s v="18-2880"/>
    <s v="P082"/>
    <x v="18"/>
    <n v="312"/>
    <n v="78"/>
    <n v="5616"/>
    <n v="1404"/>
    <n v="4212"/>
    <x v="191"/>
    <s v="Corporate &amp; Professional"/>
    <n v="12.131375018945562"/>
    <s v="Neither"/>
    <n v="5"/>
  </r>
  <r>
    <d v="2018-03-20T04:57:48"/>
    <s v="18-4949"/>
    <s v="P021"/>
    <x v="12"/>
    <n v="207"/>
    <n v="69"/>
    <n v="1449"/>
    <n v="483"/>
    <n v="966"/>
    <x v="250"/>
    <s v="Community &amp; Government"/>
    <n v="9.2053706474810433"/>
    <s v="Satisfied"/>
    <n v="10"/>
  </r>
  <r>
    <d v="2019-04-11T17:29:29"/>
    <s v="19-1534"/>
    <s v="P051"/>
    <x v="17"/>
    <n v="135"/>
    <n v="45"/>
    <n v="135"/>
    <n v="45"/>
    <n v="90"/>
    <x v="24"/>
    <s v="Sports &amp; Recreation"/>
    <n v="14.697745043716761"/>
    <s v="Neither"/>
    <n v="5"/>
  </r>
  <r>
    <d v="2022-03-13T01:17:58"/>
    <s v="22-3156"/>
    <s v="P042"/>
    <x v="19"/>
    <n v="50"/>
    <n v="25"/>
    <n v="950"/>
    <n v="475"/>
    <n v="475"/>
    <x v="91"/>
    <s v="Creative &amp; Technology"/>
    <n v="11.03324198943719"/>
    <s v="Satisfied"/>
    <n v="10"/>
  </r>
  <r>
    <d v="2019-02-26T22:31:22"/>
    <s v="19-2731"/>
    <s v="P041"/>
    <x v="0"/>
    <n v="144"/>
    <n v="36"/>
    <n v="2160"/>
    <n v="540"/>
    <n v="1620"/>
    <x v="64"/>
    <s v="Corporate &amp; Professional"/>
    <n v="11.083482342133532"/>
    <s v="Neither"/>
    <n v="5"/>
  </r>
  <r>
    <d v="2020-12-11T09:57:08"/>
    <s v="20-1569"/>
    <s v="P060"/>
    <x v="15"/>
    <n v="300"/>
    <n v="75"/>
    <n v="5100"/>
    <n v="1275"/>
    <n v="3825"/>
    <x v="150"/>
    <s v="Education"/>
    <n v="12.889576147248359"/>
    <s v="Satisfied"/>
    <n v="10"/>
  </r>
  <r>
    <d v="2021-09-08T05:06:01"/>
    <s v="21-3976"/>
    <s v="P014"/>
    <x v="3"/>
    <n v="166"/>
    <n v="83"/>
    <n v="664"/>
    <n v="332"/>
    <n v="332"/>
    <x v="199"/>
    <s v="Healthcare &amp; Safety"/>
    <n v="14.460020532456038"/>
    <s v="Satisfied"/>
    <n v="10"/>
  </r>
  <r>
    <d v="2018-09-02T22:42:58"/>
    <s v="18-2998"/>
    <s v="P060"/>
    <x v="1"/>
    <n v="300"/>
    <n v="75"/>
    <n v="2400"/>
    <n v="600"/>
    <n v="1800"/>
    <x v="257"/>
    <s v="Creative &amp; Technology"/>
    <n v="9.9471686551317795"/>
    <s v="Satisfied"/>
    <n v="10"/>
  </r>
  <r>
    <d v="2019-08-27T07:31:52"/>
    <s v="19-4987"/>
    <s v="P092"/>
    <x v="19"/>
    <n v="124"/>
    <n v="62"/>
    <n v="2356"/>
    <n v="1178"/>
    <n v="1178"/>
    <x v="81"/>
    <s v="Community &amp; Government"/>
    <n v="9.821882845934784"/>
    <s v="Neither"/>
    <n v="5"/>
  </r>
  <r>
    <d v="2020-12-18T04:35:25"/>
    <s v="20-4393"/>
    <s v="P026"/>
    <x v="10"/>
    <n v="280"/>
    <n v="70"/>
    <n v="1400"/>
    <n v="350"/>
    <n v="1050"/>
    <x v="215"/>
    <s v="Facilities &amp; Services"/>
    <n v="14.817898176328208"/>
    <s v="Neither"/>
    <n v="5"/>
  </r>
  <r>
    <d v="2020-08-16T11:08:52"/>
    <s v="20-4912"/>
    <s v="P045"/>
    <x v="10"/>
    <n v="100"/>
    <n v="25"/>
    <n v="500"/>
    <n v="125"/>
    <n v="375"/>
    <x v="75"/>
    <s v="Healthcare &amp; Safety"/>
    <n v="13.918153610259502"/>
    <s v="Satisfied"/>
    <n v="10"/>
  </r>
  <r>
    <d v="2019-03-05T09:59:30"/>
    <s v="19-4722"/>
    <s v="P016"/>
    <x v="13"/>
    <n v="110"/>
    <n v="55"/>
    <n v="1100"/>
    <n v="550"/>
    <n v="550"/>
    <x v="111"/>
    <s v="Sports &amp; Recreation"/>
    <n v="12.342715162719054"/>
    <s v="Satisfied"/>
    <n v="10"/>
  </r>
  <r>
    <d v="2020-02-14T04:00:38"/>
    <s v="20-1038"/>
    <s v="P085"/>
    <x v="19"/>
    <n v="320"/>
    <n v="80"/>
    <n v="6080"/>
    <n v="1520"/>
    <n v="4560"/>
    <x v="106"/>
    <s v="Facilities &amp; Services"/>
    <n v="13.518413464873573"/>
    <s v="Satisfied"/>
    <n v="10"/>
  </r>
  <r>
    <d v="2019-11-27T14:13:54"/>
    <s v="19-3113"/>
    <s v="P033"/>
    <x v="14"/>
    <n v="57"/>
    <n v="19"/>
    <n v="684"/>
    <n v="228"/>
    <n v="456"/>
    <x v="94"/>
    <s v="Corporate &amp; Professional"/>
    <n v="9.0350666811770921"/>
    <s v="Neither"/>
    <n v="5"/>
  </r>
  <r>
    <d v="2021-01-23T13:04:24"/>
    <s v="21-3801"/>
    <s v="P059"/>
    <x v="19"/>
    <n v="267"/>
    <n v="89"/>
    <n v="5073"/>
    <n v="1691"/>
    <n v="3382"/>
    <x v="275"/>
    <s v="Healthcare &amp; Safety"/>
    <n v="10.428287009858728"/>
    <s v="Satisfied"/>
    <n v="10"/>
  </r>
  <r>
    <d v="2019-09-14T19:13:57"/>
    <s v="19-1314"/>
    <s v="P076"/>
    <x v="3"/>
    <n v="94"/>
    <n v="47"/>
    <n v="376"/>
    <n v="188"/>
    <n v="188"/>
    <x v="199"/>
    <s v="Healthcare &amp; Safety"/>
    <n v="14.460020532456038"/>
    <s v="Dissatisfied"/>
    <n v="1"/>
  </r>
  <r>
    <d v="2021-01-06T03:05:37"/>
    <s v="21-2238"/>
    <s v="P006"/>
    <x v="7"/>
    <n v="38"/>
    <n v="19"/>
    <n v="418"/>
    <n v="209"/>
    <n v="209"/>
    <x v="239"/>
    <s v="Facilities &amp; Services"/>
    <n v="12.37474961859551"/>
    <s v="Neither"/>
    <n v="5"/>
  </r>
  <r>
    <d v="2019-06-22T14:06:19"/>
    <s v="19-3812"/>
    <s v="P018"/>
    <x v="10"/>
    <n v="108"/>
    <n v="54"/>
    <n v="540"/>
    <n v="270"/>
    <n v="270"/>
    <x v="199"/>
    <s v="Healthcare &amp; Safety"/>
    <n v="14.460020532456038"/>
    <s v="Neither"/>
    <n v="5"/>
  </r>
  <r>
    <d v="2019-12-08T09:06:36"/>
    <s v="19-2028"/>
    <s v="P005"/>
    <x v="4"/>
    <n v="76"/>
    <n v="19"/>
    <n v="152"/>
    <n v="38"/>
    <n v="114"/>
    <x v="28"/>
    <s v="Sports &amp; Recreation"/>
    <n v="11.006397834696006"/>
    <s v="Satisfied"/>
    <n v="10"/>
  </r>
  <r>
    <d v="2021-06-02T10:43:54"/>
    <s v="21-1174"/>
    <s v="P026"/>
    <x v="19"/>
    <n v="280"/>
    <n v="70"/>
    <n v="5320"/>
    <n v="1330"/>
    <n v="3990"/>
    <x v="42"/>
    <s v="Community &amp; Government"/>
    <n v="10.216282609482219"/>
    <s v="Neither"/>
    <n v="5"/>
  </r>
  <r>
    <d v="2018-12-07T21:24:06"/>
    <s v="18-3754"/>
    <s v="P058"/>
    <x v="12"/>
    <n v="356"/>
    <n v="89"/>
    <n v="2492"/>
    <n v="623"/>
    <n v="1869"/>
    <x v="33"/>
    <s v="Healthcare &amp; Safety"/>
    <n v="7.1104128275166252"/>
    <s v="Neither"/>
    <n v="5"/>
  </r>
  <r>
    <d v="2019-04-14T15:52:48"/>
    <s v="19-2449"/>
    <s v="P045"/>
    <x v="16"/>
    <n v="100"/>
    <n v="25"/>
    <n v="900"/>
    <n v="225"/>
    <n v="675"/>
    <x v="138"/>
    <s v="Healthcare &amp; Safety"/>
    <n v="12.85215703546821"/>
    <s v="Satisfied"/>
    <n v="10"/>
  </r>
  <r>
    <d v="2019-12-02T13:51:18"/>
    <s v="19-3737"/>
    <s v="P068"/>
    <x v="16"/>
    <n v="300"/>
    <n v="75"/>
    <n v="2700"/>
    <n v="675"/>
    <n v="2025"/>
    <x v="248"/>
    <s v="Creative &amp; Technology"/>
    <n v="11.130819205617987"/>
    <s v="Satisfied"/>
    <n v="10"/>
  </r>
  <r>
    <d v="2021-02-24T20:08:46"/>
    <s v="21-1279"/>
    <s v="P007"/>
    <x v="1"/>
    <n v="225"/>
    <n v="75"/>
    <n v="1800"/>
    <n v="600"/>
    <n v="1200"/>
    <x v="270"/>
    <s v="Education"/>
    <n v="14.129095302641241"/>
    <s v="Dissatisfied"/>
    <n v="1"/>
  </r>
  <r>
    <d v="2020-08-04T02:11:41"/>
    <s v="20-3586"/>
    <s v="P048"/>
    <x v="0"/>
    <n v="252"/>
    <n v="63"/>
    <n v="3780"/>
    <n v="945"/>
    <n v="2835"/>
    <x v="235"/>
    <s v="Facilities &amp; Services"/>
    <n v="11.226611755437654"/>
    <s v="Neither"/>
    <n v="5"/>
  </r>
  <r>
    <d v="2023-11-02T08:23:05"/>
    <s v="23-4126"/>
    <s v="P091"/>
    <x v="12"/>
    <n v="204"/>
    <n v="51"/>
    <n v="1428"/>
    <n v="357"/>
    <n v="1071"/>
    <x v="97"/>
    <s v="Corporate &amp; Professional"/>
    <n v="12.545140403858928"/>
    <s v="Satisfied"/>
    <n v="10"/>
  </r>
  <r>
    <d v="2022-04-12T20:12:01"/>
    <s v="22-4690"/>
    <s v="P015"/>
    <x v="8"/>
    <n v="176"/>
    <n v="88"/>
    <n v="2464"/>
    <n v="1232"/>
    <n v="1232"/>
    <x v="236"/>
    <s v="Creative &amp; Technology"/>
    <n v="13.827196127590291"/>
    <s v="Dissatisfied"/>
    <n v="1"/>
  </r>
  <r>
    <d v="2020-08-15T04:29:44"/>
    <s v="20-3136"/>
    <s v="P075"/>
    <x v="16"/>
    <n v="160"/>
    <n v="80"/>
    <n v="1440"/>
    <n v="720"/>
    <n v="720"/>
    <x v="204"/>
    <s v="Corporate &amp; Professional"/>
    <n v="10.248947386022252"/>
    <s v="Dissatisfied"/>
    <n v="1"/>
  </r>
  <r>
    <d v="2020-11-21T02:30:55"/>
    <s v="20-3597"/>
    <s v="P093"/>
    <x v="2"/>
    <n v="384"/>
    <n v="96"/>
    <n v="4992"/>
    <n v="1248"/>
    <n v="3744"/>
    <x v="210"/>
    <s v="Corporate &amp; Professional"/>
    <n v="10.411813357023924"/>
    <s v="Dissatisfied"/>
    <n v="1"/>
  </r>
  <r>
    <d v="2021-07-11T14:30:26"/>
    <s v="21-4291"/>
    <s v="P099"/>
    <x v="10"/>
    <n v="132"/>
    <n v="33"/>
    <n v="660"/>
    <n v="165"/>
    <n v="495"/>
    <x v="34"/>
    <s v="Sports &amp; Recreation"/>
    <n v="11.406233913305266"/>
    <s v="Satisfied"/>
    <n v="10"/>
  </r>
  <r>
    <d v="2021-08-15T17:37:07"/>
    <s v="21-1684"/>
    <s v="P040"/>
    <x v="16"/>
    <n v="160"/>
    <n v="80"/>
    <n v="1440"/>
    <n v="720"/>
    <n v="720"/>
    <x v="57"/>
    <s v="Facilities &amp; Services"/>
    <n v="12.177709716438097"/>
    <s v="Dissatisfied"/>
    <n v="1"/>
  </r>
  <r>
    <d v="2019-01-20T02:21:54"/>
    <s v="19-2129"/>
    <s v="P009"/>
    <x v="12"/>
    <n v="255"/>
    <n v="85"/>
    <n v="1785"/>
    <n v="595"/>
    <n v="1190"/>
    <x v="228"/>
    <s v="Corporate &amp; Professional"/>
    <n v="16.254955391951082"/>
    <s v="Neither"/>
    <n v="5"/>
  </r>
  <r>
    <d v="2022-01-08T01:57:55"/>
    <s v="22-3281"/>
    <s v="P009"/>
    <x v="15"/>
    <n v="255"/>
    <n v="85"/>
    <n v="4335"/>
    <n v="1445"/>
    <n v="2890"/>
    <x v="79"/>
    <s v="Facilities &amp; Services"/>
    <n v="12.661538237835474"/>
    <s v="Satisfied"/>
    <n v="10"/>
  </r>
  <r>
    <d v="2020-05-06T21:26:40"/>
    <s v="20-1383"/>
    <s v="P038"/>
    <x v="14"/>
    <n v="240"/>
    <n v="80"/>
    <n v="2880"/>
    <n v="960"/>
    <n v="1920"/>
    <x v="168"/>
    <s v="Healthcare &amp; Safety"/>
    <n v="9.74650548941427"/>
    <s v="Neither"/>
    <n v="5"/>
  </r>
  <r>
    <d v="2022-02-15T03:22:57"/>
    <s v="22-1318"/>
    <s v="P078"/>
    <x v="3"/>
    <n v="225"/>
    <n v="75"/>
    <n v="900"/>
    <n v="300"/>
    <n v="600"/>
    <x v="171"/>
    <s v="Education"/>
    <n v="11.808681852148307"/>
    <s v="Neither"/>
    <n v="5"/>
  </r>
  <r>
    <d v="2020-06-17T11:04:26"/>
    <s v="20-4105"/>
    <s v="P071"/>
    <x v="9"/>
    <n v="210"/>
    <n v="70"/>
    <n v="4200"/>
    <n v="1400"/>
    <n v="2800"/>
    <x v="135"/>
    <s v="Corporate &amp; Professional"/>
    <n v="10.408704992688252"/>
    <s v="Satisfied"/>
    <n v="10"/>
  </r>
  <r>
    <d v="2021-09-07T00:10:29"/>
    <s v="21-3868"/>
    <s v="P087"/>
    <x v="7"/>
    <n v="176"/>
    <n v="88"/>
    <n v="1936"/>
    <n v="968"/>
    <n v="968"/>
    <x v="227"/>
    <s v="Creative &amp; Technology"/>
    <n v="14.308257477047373"/>
    <s v="Satisfied"/>
    <n v="10"/>
  </r>
  <r>
    <d v="2022-04-13T14:37:33"/>
    <s v="22-3535"/>
    <s v="P017"/>
    <x v="4"/>
    <n v="120"/>
    <n v="30"/>
    <n v="240"/>
    <n v="60"/>
    <n v="180"/>
    <x v="187"/>
    <s v="Creative &amp; Technology"/>
    <n v="13.259563298324382"/>
    <s v="Neither"/>
    <n v="5"/>
  </r>
  <r>
    <d v="2019-06-06T20:33:37"/>
    <s v="19-4688"/>
    <s v="P023"/>
    <x v="6"/>
    <n v="126"/>
    <n v="42"/>
    <n v="756"/>
    <n v="252"/>
    <n v="504"/>
    <x v="85"/>
    <s v="Creative &amp; Technology"/>
    <n v="10.570474361325047"/>
    <s v="Satisfied"/>
    <n v="10"/>
  </r>
  <r>
    <d v="2021-10-09T06:53:47"/>
    <s v="21-4285"/>
    <s v="P046"/>
    <x v="10"/>
    <n v="38"/>
    <n v="19"/>
    <n v="190"/>
    <n v="95"/>
    <n v="95"/>
    <x v="145"/>
    <s v="Sports &amp; Recreation"/>
    <n v="7.9963422143733238"/>
    <s v="Neither"/>
    <n v="5"/>
  </r>
  <r>
    <d v="2021-06-03T17:17:23"/>
    <s v="21-2431"/>
    <s v="P006"/>
    <x v="1"/>
    <n v="38"/>
    <n v="19"/>
    <n v="304"/>
    <n v="152"/>
    <n v="152"/>
    <x v="185"/>
    <s v="Education"/>
    <n v="13.466362789017223"/>
    <s v="Neither"/>
    <n v="5"/>
  </r>
  <r>
    <d v="2019-09-30T09:36:12"/>
    <s v="19-4277"/>
    <s v="P027"/>
    <x v="14"/>
    <n v="140"/>
    <n v="70"/>
    <n v="1680"/>
    <n v="840"/>
    <n v="840"/>
    <x v="138"/>
    <s v="Healthcare &amp; Safety"/>
    <n v="12.85215703546821"/>
    <s v="Neither"/>
    <n v="5"/>
  </r>
  <r>
    <d v="2017-10-22T02:37:53"/>
    <s v="17-2213"/>
    <s v="P087"/>
    <x v="6"/>
    <n v="176"/>
    <n v="88"/>
    <n v="1056"/>
    <n v="528"/>
    <n v="528"/>
    <x v="230"/>
    <s v="Community &amp; Government"/>
    <n v="12.155895475340943"/>
    <s v="Dissatisfied"/>
    <n v="1"/>
  </r>
  <r>
    <d v="2020-01-15T20:59:15"/>
    <s v="20-3535"/>
    <s v="P015"/>
    <x v="2"/>
    <n v="176"/>
    <n v="88"/>
    <n v="2288"/>
    <n v="1144"/>
    <n v="1144"/>
    <x v="231"/>
    <s v="Facilities &amp; Services"/>
    <n v="14.060995290679429"/>
    <s v="Neither"/>
    <n v="5"/>
  </r>
  <r>
    <d v="2021-11-29T18:00:46"/>
    <s v="21-3469"/>
    <s v="P073"/>
    <x v="19"/>
    <n v="48"/>
    <n v="24"/>
    <n v="912"/>
    <n v="456"/>
    <n v="456"/>
    <x v="107"/>
    <s v="Community &amp; Government"/>
    <n v="11.986565560885863"/>
    <s v="Satisfied"/>
    <n v="10"/>
  </r>
  <r>
    <d v="2019-05-06T01:31:22"/>
    <s v="19-4397"/>
    <s v="P047"/>
    <x v="15"/>
    <n v="72"/>
    <n v="36"/>
    <n v="1224"/>
    <n v="612"/>
    <n v="612"/>
    <x v="22"/>
    <s v="Sports &amp; Recreation"/>
    <n v="9.7467096260695598"/>
    <s v="Satisfied"/>
    <n v="10"/>
  </r>
  <r>
    <d v="2019-11-01T17:09:47"/>
    <s v="19-4880"/>
    <s v="P045"/>
    <x v="1"/>
    <n v="100"/>
    <n v="25"/>
    <n v="800"/>
    <n v="200"/>
    <n v="600"/>
    <x v="169"/>
    <s v="Healthcare &amp; Safety"/>
    <n v="14.341195386574373"/>
    <s v="Dissatisfied"/>
    <n v="1"/>
  </r>
  <r>
    <d v="2022-03-30T08:05:50"/>
    <s v="22-1835"/>
    <s v="P064"/>
    <x v="3"/>
    <n v="231"/>
    <n v="77"/>
    <n v="924"/>
    <n v="308"/>
    <n v="616"/>
    <x v="37"/>
    <s v="Corporate &amp; Professional"/>
    <n v="11.749038185128619"/>
    <s v="Neither"/>
    <n v="5"/>
  </r>
  <r>
    <d v="2019-05-26T10:46:20"/>
    <s v="19-1870"/>
    <s v="P087"/>
    <x v="16"/>
    <n v="176"/>
    <n v="88"/>
    <n v="1584"/>
    <n v="792"/>
    <n v="792"/>
    <x v="276"/>
    <s v="Education"/>
    <n v="10.518436853046438"/>
    <s v="Satisfied"/>
    <n v="10"/>
  </r>
  <r>
    <d v="2017-11-22T00:39:29"/>
    <s v="17-4263"/>
    <s v="P006"/>
    <x v="2"/>
    <n v="38"/>
    <n v="19"/>
    <n v="494"/>
    <n v="247"/>
    <n v="247"/>
    <x v="240"/>
    <s v="Sports &amp; Recreation"/>
    <n v="12.701325659159139"/>
    <s v="Neither"/>
    <n v="5"/>
  </r>
  <r>
    <d v="2018-08-12T02:31:46"/>
    <s v="18-4909"/>
    <s v="P078"/>
    <x v="17"/>
    <n v="225"/>
    <n v="75"/>
    <n v="225"/>
    <n v="75"/>
    <n v="150"/>
    <x v="94"/>
    <s v="Corporate &amp; Professional"/>
    <n v="9.0350666811770921"/>
    <s v="Satisfied"/>
    <n v="10"/>
  </r>
  <r>
    <d v="2020-01-19T14:03:06"/>
    <s v="20-3693"/>
    <s v="P068"/>
    <x v="9"/>
    <n v="300"/>
    <n v="75"/>
    <n v="6000"/>
    <n v="1500"/>
    <n v="4500"/>
    <x v="51"/>
    <s v="Facilities &amp; Services"/>
    <n v="10.523527521613014"/>
    <s v="Neither"/>
    <n v="5"/>
  </r>
  <r>
    <d v="2021-07-29T05:04:09"/>
    <s v="21-2597"/>
    <s v="P037"/>
    <x v="16"/>
    <n v="160"/>
    <n v="80"/>
    <n v="1440"/>
    <n v="720"/>
    <n v="720"/>
    <x v="240"/>
    <s v="Sports &amp; Recreation"/>
    <n v="12.701325659159139"/>
    <s v="Neither"/>
    <n v="5"/>
  </r>
  <r>
    <d v="2022-11-04T15:17:04"/>
    <s v="22-2449"/>
    <s v="P005"/>
    <x v="13"/>
    <n v="76"/>
    <n v="19"/>
    <n v="760"/>
    <n v="190"/>
    <n v="570"/>
    <x v="277"/>
    <s v="Sports &amp; Recreation"/>
    <n v="10.01033276255276"/>
    <s v="Satisfied"/>
    <n v="10"/>
  </r>
  <r>
    <d v="2018-11-18T07:47:36"/>
    <s v="18-2389"/>
    <s v="P094"/>
    <x v="16"/>
    <n v="80"/>
    <n v="20"/>
    <n v="720"/>
    <n v="180"/>
    <n v="540"/>
    <x v="61"/>
    <s v="Education"/>
    <n v="13.697485557052493"/>
    <s v="Neither"/>
    <n v="5"/>
  </r>
  <r>
    <d v="2020-03-30T09:11:12"/>
    <s v="20-4808"/>
    <s v="P038"/>
    <x v="12"/>
    <n v="240"/>
    <n v="80"/>
    <n v="1680"/>
    <n v="560"/>
    <n v="1120"/>
    <x v="40"/>
    <s v="Corporate &amp; Professional"/>
    <n v="14.370283356317486"/>
    <s v="Satisfied"/>
    <n v="10"/>
  </r>
  <r>
    <d v="2018-12-18T03:54:23"/>
    <s v="18-1477"/>
    <s v="P074"/>
    <x v="18"/>
    <n v="352"/>
    <n v="88"/>
    <n v="6336"/>
    <n v="1584"/>
    <n v="4752"/>
    <x v="83"/>
    <s v="Sports &amp; Recreation"/>
    <n v="11.504886852416154"/>
    <s v="Neither"/>
    <n v="5"/>
  </r>
  <r>
    <d v="2019-05-10T20:44:51"/>
    <s v="19-1285"/>
    <s v="P088"/>
    <x v="15"/>
    <n v="192"/>
    <n v="96"/>
    <n v="3264"/>
    <n v="1632"/>
    <n v="1632"/>
    <x v="147"/>
    <s v="Corporate &amp; Professional"/>
    <n v="9.629298039722805"/>
    <s v="Neither"/>
    <n v="5"/>
  </r>
  <r>
    <d v="2021-10-31T17:19:56"/>
    <s v="21-1772"/>
    <s v="P026"/>
    <x v="7"/>
    <n v="280"/>
    <n v="70"/>
    <n v="3080"/>
    <n v="770"/>
    <n v="2310"/>
    <x v="143"/>
    <s v="Community &amp; Government"/>
    <n v="12.732640267350657"/>
    <s v="Neither"/>
    <n v="5"/>
  </r>
  <r>
    <d v="2017-09-08T09:23:45"/>
    <s v="17-3063"/>
    <s v="P035"/>
    <x v="1"/>
    <n v="144"/>
    <n v="48"/>
    <n v="1152"/>
    <n v="384"/>
    <n v="768"/>
    <x v="181"/>
    <s v="Sports &amp; Recreation"/>
    <n v="11.072271050116964"/>
    <s v="Neither"/>
    <n v="5"/>
  </r>
  <r>
    <d v="2020-01-21T15:04:31"/>
    <s v="20-3387"/>
    <s v="P049"/>
    <x v="12"/>
    <n v="356"/>
    <n v="89"/>
    <n v="2492"/>
    <n v="623"/>
    <n v="1869"/>
    <x v="160"/>
    <s v="Creative &amp; Technology"/>
    <n v="8.8514729234790472"/>
    <s v="Neither"/>
    <n v="5"/>
  </r>
  <r>
    <d v="2019-12-03T22:05:31"/>
    <s v="19-2601"/>
    <s v="P045"/>
    <x v="7"/>
    <n v="100"/>
    <n v="25"/>
    <n v="1100"/>
    <n v="275"/>
    <n v="825"/>
    <x v="208"/>
    <s v="Community &amp; Government"/>
    <n v="12.658317415198635"/>
    <s v="Neither"/>
    <n v="5"/>
  </r>
  <r>
    <d v="2020-05-01T10:05:14"/>
    <s v="20-3496"/>
    <s v="P074"/>
    <x v="8"/>
    <n v="352"/>
    <n v="88"/>
    <n v="4928"/>
    <n v="1232"/>
    <n v="3696"/>
    <x v="262"/>
    <s v="Healthcare &amp; Safety"/>
    <n v="13.00553764131261"/>
    <s v="Dissatisfied"/>
    <n v="1"/>
  </r>
  <r>
    <d v="2018-05-06T22:23:31"/>
    <s v="18-2939"/>
    <s v="P045"/>
    <x v="12"/>
    <n v="100"/>
    <n v="25"/>
    <n v="700"/>
    <n v="175"/>
    <n v="525"/>
    <x v="216"/>
    <s v="Corporate &amp; Professional"/>
    <n v="9.1057685343725456"/>
    <s v="Neither"/>
    <n v="5"/>
  </r>
  <r>
    <d v="2020-07-19T20:05:41"/>
    <s v="20-4771"/>
    <s v="P022"/>
    <x v="11"/>
    <n v="153"/>
    <n v="51"/>
    <n v="2448"/>
    <n v="816"/>
    <n v="1632"/>
    <x v="147"/>
    <s v="Corporate &amp; Professional"/>
    <n v="9.629298039722805"/>
    <s v="Satisfied"/>
    <n v="10"/>
  </r>
  <r>
    <d v="2018-02-03T21:31:01"/>
    <s v="18-2801"/>
    <s v="P022"/>
    <x v="9"/>
    <n v="153"/>
    <n v="51"/>
    <n v="3060"/>
    <n v="1020"/>
    <n v="2040"/>
    <x v="177"/>
    <s v="Creative &amp; Technology"/>
    <n v="14.66147716237918"/>
    <s v="Dissatisfied"/>
    <n v="1"/>
  </r>
  <r>
    <d v="2020-08-11T07:00:00"/>
    <s v="20-2387"/>
    <s v="P010"/>
    <x v="3"/>
    <n v="144"/>
    <n v="36"/>
    <n v="576"/>
    <n v="144"/>
    <n v="432"/>
    <x v="107"/>
    <s v="Community &amp; Government"/>
    <n v="11.986565560885863"/>
    <s v="Neither"/>
    <n v="5"/>
  </r>
  <r>
    <d v="2020-08-20T23:19:47"/>
    <s v="20-4015"/>
    <s v="P055"/>
    <x v="0"/>
    <n v="360"/>
    <n v="90"/>
    <n v="5400"/>
    <n v="1350"/>
    <n v="4050"/>
    <x v="278"/>
    <s v="Facilities &amp; Services"/>
    <n v="12.427459362224146"/>
    <s v="Neither"/>
    <n v="5"/>
  </r>
  <r>
    <d v="2022-07-12T04:01:46"/>
    <s v="22-4556"/>
    <s v="P008"/>
    <x v="5"/>
    <n v="225"/>
    <n v="75"/>
    <n v="675"/>
    <n v="225"/>
    <n v="450"/>
    <x v="114"/>
    <s v="Healthcare &amp; Safety"/>
    <n v="14.423322704129969"/>
    <s v="Dissatisfied"/>
    <n v="1"/>
  </r>
  <r>
    <d v="2018-10-31T20:46:14"/>
    <s v="18-1496"/>
    <s v="P055"/>
    <x v="15"/>
    <n v="360"/>
    <n v="90"/>
    <n v="6120"/>
    <n v="1530"/>
    <n v="4590"/>
    <x v="23"/>
    <s v="Healthcare &amp; Safety"/>
    <n v="13.407340878370247"/>
    <s v="Satisfied"/>
    <n v="10"/>
  </r>
  <r>
    <d v="2020-05-30T13:06:42"/>
    <s v="20-4913"/>
    <s v="P030"/>
    <x v="14"/>
    <n v="81"/>
    <n v="27"/>
    <n v="972"/>
    <n v="324"/>
    <n v="648"/>
    <x v="245"/>
    <s v="Sports &amp; Recreation"/>
    <n v="11.816651848338852"/>
    <s v="Neither"/>
    <n v="5"/>
  </r>
  <r>
    <d v="2017-05-07T14:59:45"/>
    <s v="17-1002"/>
    <s v="P079"/>
    <x v="13"/>
    <n v="188"/>
    <n v="94"/>
    <n v="1880"/>
    <n v="940"/>
    <n v="940"/>
    <x v="276"/>
    <s v="Education"/>
    <n v="10.518436853046438"/>
    <s v="Neither"/>
    <n v="5"/>
  </r>
  <r>
    <d v="2020-04-26T20:00:12"/>
    <s v="20-1660"/>
    <s v="P029"/>
    <x v="3"/>
    <n v="300"/>
    <n v="75"/>
    <n v="1200"/>
    <n v="300"/>
    <n v="900"/>
    <x v="279"/>
    <s v="Corporate &amp; Professional"/>
    <n v="6.221489120484736"/>
    <s v="Satisfied"/>
    <n v="10"/>
  </r>
  <r>
    <d v="2020-01-05T04:29:04"/>
    <s v="20-4143"/>
    <s v="P100"/>
    <x v="2"/>
    <n v="46"/>
    <n v="23"/>
    <n v="598"/>
    <n v="299"/>
    <n v="299"/>
    <x v="175"/>
    <s v="Creative &amp; Technology"/>
    <n v="13.150536103258979"/>
    <s v="Satisfied"/>
    <n v="10"/>
  </r>
  <r>
    <d v="2019-06-16T05:40:59"/>
    <s v="19-4448"/>
    <s v="P084"/>
    <x v="7"/>
    <n v="154"/>
    <n v="77"/>
    <n v="1694"/>
    <n v="847"/>
    <n v="847"/>
    <x v="8"/>
    <s v="Sports &amp; Recreation"/>
    <n v="10.988762477277161"/>
    <s v="Neither"/>
    <n v="5"/>
  </r>
  <r>
    <d v="2018-08-06T08:01:29"/>
    <s v="18-4630"/>
    <s v="P065"/>
    <x v="15"/>
    <n v="50"/>
    <n v="25"/>
    <n v="850"/>
    <n v="425"/>
    <n v="425"/>
    <x v="266"/>
    <s v="Corporate &amp; Professional"/>
    <n v="9.8776671534059073"/>
    <s v="Satisfied"/>
    <n v="10"/>
  </r>
  <r>
    <d v="2020-11-25T13:03:40"/>
    <s v="20-1411"/>
    <s v="P021"/>
    <x v="11"/>
    <n v="207"/>
    <n v="69"/>
    <n v="3312"/>
    <n v="1104"/>
    <n v="2208"/>
    <x v="52"/>
    <s v="Facilities &amp; Services"/>
    <n v="14.573178107544177"/>
    <s v="Neither"/>
    <n v="5"/>
  </r>
  <r>
    <d v="2020-11-30T00:48:28"/>
    <s v="20-1210"/>
    <s v="P054"/>
    <x v="12"/>
    <n v="144"/>
    <n v="48"/>
    <n v="1008"/>
    <n v="336"/>
    <n v="672"/>
    <x v="250"/>
    <s v="Community &amp; Government"/>
    <n v="9.2053706474810433"/>
    <s v="Neither"/>
    <n v="5"/>
  </r>
  <r>
    <d v="2021-02-10T06:37:38"/>
    <s v="21-3582"/>
    <s v="P019"/>
    <x v="12"/>
    <n v="308"/>
    <n v="77"/>
    <n v="2156"/>
    <n v="539"/>
    <n v="1617"/>
    <x v="262"/>
    <s v="Healthcare &amp; Safety"/>
    <n v="13.00553764131261"/>
    <s v="Neither"/>
    <n v="5"/>
  </r>
  <r>
    <d v="2018-08-06T17:34:13"/>
    <s v="18-2745"/>
    <s v="P089"/>
    <x v="3"/>
    <n v="102"/>
    <n v="51"/>
    <n v="408"/>
    <n v="204"/>
    <n v="204"/>
    <x v="186"/>
    <s v="Education"/>
    <n v="8.3272837771733244"/>
    <s v="Satisfied"/>
    <n v="10"/>
  </r>
  <r>
    <d v="2019-08-07T15:10:24"/>
    <s v="19-3786"/>
    <s v="P056"/>
    <x v="16"/>
    <n v="72"/>
    <n v="36"/>
    <n v="648"/>
    <n v="324"/>
    <n v="324"/>
    <x v="15"/>
    <s v="Community &amp; Government"/>
    <n v="11.631646244583138"/>
    <s v="Neither"/>
    <n v="5"/>
  </r>
  <r>
    <d v="2022-04-10T23:13:56"/>
    <s v="22-2354"/>
    <s v="P040"/>
    <x v="11"/>
    <n v="160"/>
    <n v="80"/>
    <n v="2560"/>
    <n v="1280"/>
    <n v="1280"/>
    <x v="160"/>
    <s v="Creative &amp; Technology"/>
    <n v="8.8514729234790472"/>
    <s v="Neither"/>
    <n v="5"/>
  </r>
  <r>
    <d v="2021-08-31T18:45:38"/>
    <s v="21-1090"/>
    <s v="P041"/>
    <x v="17"/>
    <n v="144"/>
    <n v="36"/>
    <n v="144"/>
    <n v="36"/>
    <n v="108"/>
    <x v="99"/>
    <s v="Healthcare &amp; Safety"/>
    <n v="12.148236977735172"/>
    <s v="Satisfied"/>
    <n v="10"/>
  </r>
  <r>
    <d v="2018-07-19T07:28:12"/>
    <s v="18-1624"/>
    <s v="P077"/>
    <x v="4"/>
    <n v="162"/>
    <n v="54"/>
    <n v="324"/>
    <n v="108"/>
    <n v="216"/>
    <x v="244"/>
    <s v="Creative &amp; Technology"/>
    <n v="11.78346750250795"/>
    <s v="Dissatisfied"/>
    <n v="1"/>
  </r>
  <r>
    <d v="2017-12-18T18:57:00"/>
    <s v="17-3553"/>
    <s v="P061"/>
    <x v="2"/>
    <n v="264"/>
    <n v="88"/>
    <n v="3432"/>
    <n v="1144"/>
    <n v="2288"/>
    <x v="165"/>
    <s v="Creative &amp; Technology"/>
    <n v="13.929237493388955"/>
    <s v="Satisfied"/>
    <n v="10"/>
  </r>
  <r>
    <d v="2017-12-07T10:54:24"/>
    <s v="17-2090"/>
    <s v="P019"/>
    <x v="13"/>
    <n v="308"/>
    <n v="77"/>
    <n v="3080"/>
    <n v="770"/>
    <n v="2310"/>
    <x v="209"/>
    <s v="Facilities &amp; Services"/>
    <n v="10.956589836772277"/>
    <s v="Neither"/>
    <n v="5"/>
  </r>
  <r>
    <d v="2018-06-25T23:53:53"/>
    <s v="18-3636"/>
    <s v="P018"/>
    <x v="15"/>
    <n v="108"/>
    <n v="54"/>
    <n v="1836"/>
    <n v="918"/>
    <n v="918"/>
    <x v="189"/>
    <s v="Community &amp; Government"/>
    <n v="12.954911944548844"/>
    <s v="Neither"/>
    <n v="5"/>
  </r>
  <r>
    <d v="2019-10-27T02:22:33"/>
    <s v="19-3975"/>
    <s v="P053"/>
    <x v="16"/>
    <n v="50"/>
    <n v="25"/>
    <n v="450"/>
    <n v="225"/>
    <n v="225"/>
    <x v="134"/>
    <s v="Sports &amp; Recreation"/>
    <n v="12.532428411174646"/>
    <s v="Neither"/>
    <n v="5"/>
  </r>
  <r>
    <d v="2020-01-14T15:41:35"/>
    <s v="20-4821"/>
    <s v="P075"/>
    <x v="11"/>
    <n v="160"/>
    <n v="80"/>
    <n v="2560"/>
    <n v="1280"/>
    <n v="1280"/>
    <x v="94"/>
    <s v="Corporate &amp; Professional"/>
    <n v="9.0350666811770921"/>
    <s v="Neither"/>
    <n v="5"/>
  </r>
  <r>
    <d v="2020-12-11T00:28:23"/>
    <s v="20-1142"/>
    <s v="P045"/>
    <x v="13"/>
    <n v="100"/>
    <n v="25"/>
    <n v="1000"/>
    <n v="250"/>
    <n v="750"/>
    <x v="67"/>
    <s v="Community &amp; Government"/>
    <n v="11.346510807401776"/>
    <s v="Neither"/>
    <n v="5"/>
  </r>
  <r>
    <d v="2019-11-05T08:01:35"/>
    <s v="19-1546"/>
    <s v="P051"/>
    <x v="8"/>
    <n v="135"/>
    <n v="45"/>
    <n v="1890"/>
    <n v="630"/>
    <n v="1260"/>
    <x v="116"/>
    <s v="Education"/>
    <n v="12.299779975023837"/>
    <s v="Neither"/>
    <n v="5"/>
  </r>
  <r>
    <d v="2021-05-27T14:59:07"/>
    <s v="21-1957"/>
    <s v="P020"/>
    <x v="15"/>
    <n v="180"/>
    <n v="45"/>
    <n v="3060"/>
    <n v="765"/>
    <n v="2295"/>
    <x v="189"/>
    <s v="Community &amp; Government"/>
    <n v="12.954911944548844"/>
    <s v="Neither"/>
    <n v="5"/>
  </r>
  <r>
    <d v="2020-07-20T17:26:08"/>
    <s v="20-2686"/>
    <s v="P059"/>
    <x v="12"/>
    <n v="267"/>
    <n v="89"/>
    <n v="1869"/>
    <n v="623"/>
    <n v="1246"/>
    <x v="97"/>
    <s v="Corporate &amp; Professional"/>
    <n v="12.545140403858928"/>
    <s v="Neither"/>
    <n v="5"/>
  </r>
  <r>
    <d v="2018-07-30T16:00:34"/>
    <s v="18-3282"/>
    <s v="P072"/>
    <x v="15"/>
    <n v="132"/>
    <n v="44"/>
    <n v="2244"/>
    <n v="748"/>
    <n v="1496"/>
    <x v="120"/>
    <s v="Education"/>
    <n v="9.4239783062860578"/>
    <s v="Neither"/>
    <n v="5"/>
  </r>
  <r>
    <d v="2020-10-09T02:25:37"/>
    <s v="20-1650"/>
    <s v="P010"/>
    <x v="6"/>
    <n v="144"/>
    <n v="36"/>
    <n v="864"/>
    <n v="216"/>
    <n v="648"/>
    <x v="209"/>
    <s v="Facilities &amp; Services"/>
    <n v="10.956589836772277"/>
    <s v="Neither"/>
    <n v="5"/>
  </r>
  <r>
    <d v="2020-04-29T22:27:32"/>
    <s v="20-2027"/>
    <s v="P088"/>
    <x v="10"/>
    <n v="192"/>
    <n v="96"/>
    <n v="960"/>
    <n v="480"/>
    <n v="480"/>
    <x v="27"/>
    <s v="Healthcare &amp; Safety"/>
    <n v="10.42743035829395"/>
    <s v="Neither"/>
    <n v="5"/>
  </r>
  <r>
    <d v="2022-09-01T22:36:26"/>
    <s v="22-3622"/>
    <s v="P026"/>
    <x v="18"/>
    <n v="280"/>
    <n v="70"/>
    <n v="5040"/>
    <n v="1260"/>
    <n v="3780"/>
    <x v="98"/>
    <s v="Creative &amp; Technology"/>
    <n v="15.18789248529443"/>
    <s v="Dissatisfied"/>
    <n v="1"/>
  </r>
  <r>
    <d v="2021-02-19T19:47:31"/>
    <s v="21-1661"/>
    <s v="P006"/>
    <x v="0"/>
    <n v="38"/>
    <n v="19"/>
    <n v="570"/>
    <n v="285"/>
    <n v="285"/>
    <x v="180"/>
    <s v="Community &amp; Government"/>
    <n v="12.045339240427111"/>
    <s v="Neither"/>
    <n v="5"/>
  </r>
  <r>
    <d v="2019-05-25T06:24:16"/>
    <s v="19-2993"/>
    <s v="P042"/>
    <x v="18"/>
    <n v="50"/>
    <n v="25"/>
    <n v="900"/>
    <n v="450"/>
    <n v="450"/>
    <x v="40"/>
    <s v="Corporate &amp; Professional"/>
    <n v="14.370283356317486"/>
    <s v="Satisfied"/>
    <n v="10"/>
  </r>
  <r>
    <d v="2018-09-22T05:50:16"/>
    <s v="18-4586"/>
    <s v="P030"/>
    <x v="14"/>
    <n v="81"/>
    <n v="27"/>
    <n v="972"/>
    <n v="324"/>
    <n v="648"/>
    <x v="129"/>
    <s v="Community &amp; Government"/>
    <n v="10.813269600021069"/>
    <s v="Neither"/>
    <n v="5"/>
  </r>
  <r>
    <d v="2022-12-11T22:14:38"/>
    <s v="22-1540"/>
    <s v="P071"/>
    <x v="6"/>
    <n v="210"/>
    <n v="70"/>
    <n v="1260"/>
    <n v="420"/>
    <n v="840"/>
    <x v="101"/>
    <s v="Sports &amp; Recreation"/>
    <n v="10.816866337473218"/>
    <s v="Satisfied"/>
    <n v="10"/>
  </r>
  <r>
    <d v="2019-11-26T09:02:50"/>
    <s v="19-2243"/>
    <s v="P064"/>
    <x v="11"/>
    <n v="231"/>
    <n v="77"/>
    <n v="3696"/>
    <n v="1232"/>
    <n v="2464"/>
    <x v="141"/>
    <s v="Facilities &amp; Services"/>
    <n v="13.104576594826185"/>
    <s v="Neither"/>
    <n v="5"/>
  </r>
  <r>
    <d v="2021-01-15T11:57:05"/>
    <s v="21-4182"/>
    <s v="P040"/>
    <x v="14"/>
    <n v="160"/>
    <n v="80"/>
    <n v="1920"/>
    <n v="960"/>
    <n v="960"/>
    <x v="184"/>
    <s v="Community &amp; Government"/>
    <n v="8.8169309002713945"/>
    <s v="Neither"/>
    <n v="5"/>
  </r>
  <r>
    <d v="2021-06-16T00:44:19"/>
    <s v="21-2093"/>
    <s v="P006"/>
    <x v="1"/>
    <n v="38"/>
    <n v="19"/>
    <n v="304"/>
    <n v="152"/>
    <n v="152"/>
    <x v="13"/>
    <s v="Sports &amp; Recreation"/>
    <n v="12.163730387337393"/>
    <s v="Satisfied"/>
    <n v="10"/>
  </r>
  <r>
    <d v="2020-07-29T11:16:57"/>
    <s v="20-3925"/>
    <s v="P027"/>
    <x v="15"/>
    <n v="140"/>
    <n v="70"/>
    <n v="2380"/>
    <n v="1190"/>
    <n v="1190"/>
    <x v="180"/>
    <s v="Community &amp; Government"/>
    <n v="12.045339240427111"/>
    <s v="Neither"/>
    <n v="5"/>
  </r>
  <r>
    <d v="2019-08-08T12:13:42"/>
    <s v="19-2765"/>
    <s v="P099"/>
    <x v="18"/>
    <n v="132"/>
    <n v="33"/>
    <n v="2376"/>
    <n v="594"/>
    <n v="1782"/>
    <x v="83"/>
    <s v="Sports &amp; Recreation"/>
    <n v="11.504886852416154"/>
    <s v="Neither"/>
    <n v="5"/>
  </r>
  <r>
    <d v="2018-05-05T09:09:30"/>
    <s v="18-2741"/>
    <s v="P013"/>
    <x v="19"/>
    <n v="58"/>
    <n v="29"/>
    <n v="1102"/>
    <n v="551"/>
    <n v="551"/>
    <x v="129"/>
    <s v="Community &amp; Government"/>
    <n v="10.813269600021069"/>
    <s v="Neither"/>
    <n v="5"/>
  </r>
  <r>
    <d v="2021-01-26T06:29:06"/>
    <s v="21-3306"/>
    <s v="P013"/>
    <x v="15"/>
    <n v="58"/>
    <n v="29"/>
    <n v="986"/>
    <n v="493"/>
    <n v="493"/>
    <x v="243"/>
    <s v="Creative &amp; Technology"/>
    <n v="11.952554704438674"/>
    <s v="Dissatisfied"/>
    <n v="1"/>
  </r>
  <r>
    <d v="2019-11-09T18:19:27"/>
    <s v="19-4388"/>
    <s v="P030"/>
    <x v="17"/>
    <n v="81"/>
    <n v="27"/>
    <n v="81"/>
    <n v="27"/>
    <n v="54"/>
    <x v="82"/>
    <s v="Creative &amp; Technology"/>
    <n v="11.883396013219548"/>
    <s v="Satisfied"/>
    <n v="10"/>
  </r>
  <r>
    <d v="2020-03-17T21:23:18"/>
    <s v="20-4386"/>
    <s v="P005"/>
    <x v="8"/>
    <n v="76"/>
    <n v="19"/>
    <n v="1064"/>
    <n v="266"/>
    <n v="798"/>
    <x v="180"/>
    <s v="Community &amp; Government"/>
    <n v="12.045339240427111"/>
    <s v="Neither"/>
    <n v="5"/>
  </r>
  <r>
    <d v="2018-05-06T22:02:21"/>
    <s v="18-1307"/>
    <s v="P029"/>
    <x v="10"/>
    <n v="300"/>
    <n v="75"/>
    <n v="1500"/>
    <n v="375"/>
    <n v="1125"/>
    <x v="70"/>
    <s v="Community &amp; Government"/>
    <n v="14.593670394271927"/>
    <s v="Satisfied"/>
    <n v="10"/>
  </r>
  <r>
    <d v="2019-01-15T04:00:55"/>
    <s v="19-3392"/>
    <s v="P063"/>
    <x v="10"/>
    <n v="261"/>
    <n v="87"/>
    <n v="1305"/>
    <n v="435"/>
    <n v="870"/>
    <x v="117"/>
    <s v="Corporate &amp; Professional"/>
    <n v="11.687634894637348"/>
    <s v="Neither"/>
    <n v="5"/>
  </r>
  <r>
    <d v="2021-01-05T14:52:46"/>
    <s v="21-2578"/>
    <s v="P014"/>
    <x v="17"/>
    <n v="166"/>
    <n v="83"/>
    <n v="166"/>
    <n v="83"/>
    <n v="83"/>
    <x v="94"/>
    <s v="Corporate &amp; Professional"/>
    <n v="9.0350666811770921"/>
    <s v="Neither"/>
    <n v="5"/>
  </r>
  <r>
    <d v="2019-10-10T12:14:26"/>
    <s v="19-1568"/>
    <s v="P074"/>
    <x v="4"/>
    <n v="352"/>
    <n v="88"/>
    <n v="704"/>
    <n v="176"/>
    <n v="528"/>
    <x v="125"/>
    <s v="Sports &amp; Recreation"/>
    <n v="12.682358648534777"/>
    <s v="Dissatisfied"/>
    <n v="1"/>
  </r>
  <r>
    <d v="2018-03-02T12:04:10"/>
    <s v="18-2597"/>
    <s v="P035"/>
    <x v="4"/>
    <n v="144"/>
    <n v="48"/>
    <n v="288"/>
    <n v="96"/>
    <n v="192"/>
    <x v="240"/>
    <s v="Sports &amp; Recreation"/>
    <n v="12.701325659159139"/>
    <s v="Neither"/>
    <n v="5"/>
  </r>
  <r>
    <d v="2019-09-12T01:50:55"/>
    <s v="19-2194"/>
    <s v="P046"/>
    <x v="11"/>
    <n v="38"/>
    <n v="19"/>
    <n v="608"/>
    <n v="304"/>
    <n v="304"/>
    <x v="209"/>
    <s v="Facilities &amp; Services"/>
    <n v="10.956589836772277"/>
    <s v="Neither"/>
    <n v="5"/>
  </r>
  <r>
    <d v="2019-11-17T09:59:09"/>
    <s v="19-1713"/>
    <s v="P045"/>
    <x v="17"/>
    <n v="100"/>
    <n v="25"/>
    <n v="100"/>
    <n v="25"/>
    <n v="75"/>
    <x v="99"/>
    <s v="Healthcare &amp; Safety"/>
    <n v="12.148236977735172"/>
    <s v="Satisfied"/>
    <n v="10"/>
  </r>
  <r>
    <d v="2021-06-29T15:33:07"/>
    <s v="21-1563"/>
    <s v="P091"/>
    <x v="3"/>
    <n v="204"/>
    <n v="51"/>
    <n v="816"/>
    <n v="204"/>
    <n v="612"/>
    <x v="143"/>
    <s v="Community &amp; Government"/>
    <n v="12.732640267350657"/>
    <s v="Neither"/>
    <n v="5"/>
  </r>
  <r>
    <d v="2019-04-18T18:08:05"/>
    <s v="19-1656"/>
    <s v="P066"/>
    <x v="12"/>
    <n v="34"/>
    <n v="17"/>
    <n v="238"/>
    <n v="119"/>
    <n v="119"/>
    <x v="17"/>
    <s v="Education"/>
    <n v="9.8238489437106278"/>
    <s v="Dissatisfied"/>
    <n v="1"/>
  </r>
  <r>
    <d v="2021-05-04T12:29:00"/>
    <s v="21-1115"/>
    <s v="P097"/>
    <x v="17"/>
    <n v="92"/>
    <n v="46"/>
    <n v="92"/>
    <n v="46"/>
    <n v="46"/>
    <x v="157"/>
    <s v="Corporate &amp; Professional"/>
    <n v="13.917704159139552"/>
    <s v="Dissatisfied"/>
    <n v="1"/>
  </r>
  <r>
    <d v="2020-10-05T15:20:31"/>
    <s v="20-1175"/>
    <s v="P056"/>
    <x v="5"/>
    <n v="72"/>
    <n v="36"/>
    <n v="216"/>
    <n v="108"/>
    <n v="108"/>
    <x v="211"/>
    <s v="Healthcare &amp; Safety"/>
    <n v="13.106678263594747"/>
    <s v="Neither"/>
    <n v="5"/>
  </r>
  <r>
    <d v="2021-12-27T07:12:43"/>
    <s v="21-1838"/>
    <s v="P083"/>
    <x v="12"/>
    <n v="90"/>
    <n v="45"/>
    <n v="630"/>
    <n v="315"/>
    <n v="315"/>
    <x v="270"/>
    <s v="Education"/>
    <n v="14.129095302641241"/>
    <s v="Neither"/>
    <n v="5"/>
  </r>
  <r>
    <d v="2019-08-20T02:36:12"/>
    <s v="19-1194"/>
    <s v="P039"/>
    <x v="10"/>
    <n v="270"/>
    <n v="90"/>
    <n v="1350"/>
    <n v="450"/>
    <n v="900"/>
    <x v="188"/>
    <s v="Healthcare &amp; Safety"/>
    <n v="9.8892508156549788"/>
    <s v="Satisfied"/>
    <n v="10"/>
  </r>
  <r>
    <d v="2019-09-08T05:33:04"/>
    <s v="19-3417"/>
    <s v="P046"/>
    <x v="10"/>
    <n v="38"/>
    <n v="19"/>
    <n v="190"/>
    <n v="95"/>
    <n v="95"/>
    <x v="33"/>
    <s v="Healthcare &amp; Safety"/>
    <n v="7.1104128275166252"/>
    <s v="Satisfied"/>
    <n v="10"/>
  </r>
  <r>
    <d v="2018-08-11T15:18:49"/>
    <s v="18-2518"/>
    <s v="P033"/>
    <x v="13"/>
    <n v="57"/>
    <n v="19"/>
    <n v="570"/>
    <n v="190"/>
    <n v="380"/>
    <x v="80"/>
    <s v="Education"/>
    <n v="12.503632939408062"/>
    <s v="Satisfied"/>
    <n v="10"/>
  </r>
  <r>
    <d v="2020-07-12T12:46:14"/>
    <s v="20-1873"/>
    <s v="P053"/>
    <x v="12"/>
    <n v="50"/>
    <n v="25"/>
    <n v="350"/>
    <n v="175"/>
    <n v="175"/>
    <x v="103"/>
    <s v="Education"/>
    <n v="14.687857652112591"/>
    <s v="Neither"/>
    <n v="5"/>
  </r>
  <r>
    <d v="2019-04-06T19:44:16"/>
    <s v="19-3341"/>
    <s v="P085"/>
    <x v="4"/>
    <n v="320"/>
    <n v="80"/>
    <n v="640"/>
    <n v="160"/>
    <n v="480"/>
    <x v="201"/>
    <s v="Community &amp; Government"/>
    <n v="8.1628930629234038"/>
    <s v="Satisfied"/>
    <n v="10"/>
  </r>
  <r>
    <d v="2019-07-11T23:11:12"/>
    <s v="19-2699"/>
    <s v="P040"/>
    <x v="1"/>
    <n v="160"/>
    <n v="80"/>
    <n v="1280"/>
    <n v="640"/>
    <n v="640"/>
    <x v="272"/>
    <s v="Facilities &amp; Services"/>
    <n v="10.517826055804084"/>
    <s v="Neither"/>
    <n v="5"/>
  </r>
  <r>
    <d v="2023-09-26T12:44:12"/>
    <s v="23-1934"/>
    <s v="P099"/>
    <x v="5"/>
    <n v="132"/>
    <n v="33"/>
    <n v="396"/>
    <n v="99"/>
    <n v="297"/>
    <x v="221"/>
    <s v="Community &amp; Government"/>
    <n v="13.611804647345796"/>
    <s v="Neither"/>
    <n v="5"/>
  </r>
  <r>
    <d v="2020-02-09T08:05:19"/>
    <s v="20-3402"/>
    <s v="P045"/>
    <x v="3"/>
    <n v="100"/>
    <n v="25"/>
    <n v="400"/>
    <n v="100"/>
    <n v="300"/>
    <x v="169"/>
    <s v="Healthcare &amp; Safety"/>
    <n v="14.341195386574373"/>
    <s v="Satisfied"/>
    <n v="10"/>
  </r>
  <r>
    <d v="2019-03-01T13:59:16"/>
    <s v="19-2562"/>
    <s v="P017"/>
    <x v="17"/>
    <n v="120"/>
    <n v="30"/>
    <n v="120"/>
    <n v="30"/>
    <n v="90"/>
    <x v="146"/>
    <s v="Creative &amp; Technology"/>
    <n v="10.764293826791503"/>
    <s v="Dissatisfied"/>
    <n v="1"/>
  </r>
  <r>
    <d v="2017-05-16T11:17:58"/>
    <s v="17-2421"/>
    <s v="P050"/>
    <x v="13"/>
    <n v="108"/>
    <n v="36"/>
    <n v="1080"/>
    <n v="360"/>
    <n v="720"/>
    <x v="232"/>
    <s v="Corporate &amp; Professional"/>
    <n v="11.816654396440285"/>
    <s v="Neither"/>
    <n v="5"/>
  </r>
  <r>
    <d v="2021-08-01T10:43:43"/>
    <s v="21-2803"/>
    <s v="P064"/>
    <x v="4"/>
    <n v="231"/>
    <n v="77"/>
    <n v="462"/>
    <n v="154"/>
    <n v="308"/>
    <x v="90"/>
    <s v="Healthcare &amp; Safety"/>
    <n v="7.0114620475168028"/>
    <s v="Neither"/>
    <n v="5"/>
  </r>
  <r>
    <d v="2021-01-03T15:13:00"/>
    <s v="21-1990"/>
    <s v="P068"/>
    <x v="12"/>
    <n v="300"/>
    <n v="75"/>
    <n v="2100"/>
    <n v="525"/>
    <n v="1575"/>
    <x v="260"/>
    <s v="Creative &amp; Technology"/>
    <n v="10.588336269016523"/>
    <s v="Neither"/>
    <n v="5"/>
  </r>
  <r>
    <d v="2019-02-07T00:36:35"/>
    <s v="19-3115"/>
    <s v="P099"/>
    <x v="11"/>
    <n v="132"/>
    <n v="33"/>
    <n v="2112"/>
    <n v="528"/>
    <n v="1584"/>
    <x v="87"/>
    <s v="Education"/>
    <n v="11.710935611749917"/>
    <s v="Satisfied"/>
    <n v="10"/>
  </r>
  <r>
    <d v="2019-03-30T02:32:18"/>
    <s v="19-3054"/>
    <s v="P097"/>
    <x v="10"/>
    <n v="92"/>
    <n v="46"/>
    <n v="460"/>
    <n v="230"/>
    <n v="230"/>
    <x v="12"/>
    <s v="Creative &amp; Technology"/>
    <n v="9.8384363471888783"/>
    <s v="Dissatisfied"/>
    <n v="1"/>
  </r>
  <r>
    <d v="2020-03-29T21:36:20"/>
    <s v="20-4665"/>
    <s v="P045"/>
    <x v="15"/>
    <n v="100"/>
    <n v="25"/>
    <n v="1700"/>
    <n v="425"/>
    <n v="1275"/>
    <x v="41"/>
    <s v="Community &amp; Government"/>
    <n v="12.452986387489583"/>
    <s v="Neither"/>
    <n v="5"/>
  </r>
  <r>
    <d v="2018-10-18T19:30:24"/>
    <s v="18-3220"/>
    <s v="P059"/>
    <x v="18"/>
    <n v="267"/>
    <n v="89"/>
    <n v="4806"/>
    <n v="1602"/>
    <n v="3204"/>
    <x v="118"/>
    <s v="Community &amp; Government"/>
    <n v="15.60430546146185"/>
    <s v="Dissatisfied"/>
    <n v="1"/>
  </r>
  <r>
    <d v="2020-01-23T20:16:32"/>
    <s v="20-3018"/>
    <s v="P079"/>
    <x v="1"/>
    <n v="188"/>
    <n v="94"/>
    <n v="1504"/>
    <n v="752"/>
    <n v="752"/>
    <x v="238"/>
    <s v="Education"/>
    <n v="13.275355576494196"/>
    <s v="Dissatisfied"/>
    <n v="1"/>
  </r>
  <r>
    <d v="2019-07-21T02:17:35"/>
    <s v="19-1852"/>
    <s v="P099"/>
    <x v="4"/>
    <n v="132"/>
    <n v="33"/>
    <n v="264"/>
    <n v="66"/>
    <n v="198"/>
    <x v="280"/>
    <s v="Education"/>
    <n v="9.1264071155960682"/>
    <s v="Neither"/>
    <n v="5"/>
  </r>
  <r>
    <d v="2020-03-03T05:01:55"/>
    <s v="20-1058"/>
    <s v="P097"/>
    <x v="10"/>
    <n v="92"/>
    <n v="46"/>
    <n v="460"/>
    <n v="230"/>
    <n v="230"/>
    <x v="45"/>
    <s v="Sports &amp; Recreation"/>
    <n v="12.1334991293512"/>
    <s v="Satisfied"/>
    <n v="10"/>
  </r>
  <r>
    <d v="2020-10-17T17:51:37"/>
    <s v="20-4722"/>
    <s v="P060"/>
    <x v="17"/>
    <n v="300"/>
    <n v="75"/>
    <n v="300"/>
    <n v="75"/>
    <n v="225"/>
    <x v="44"/>
    <s v="Corporate &amp; Professional"/>
    <n v="9.9311000381363836"/>
    <s v="Dissatisfied"/>
    <n v="1"/>
  </r>
  <r>
    <d v="2022-06-22T19:03:01"/>
    <s v="22-3934"/>
    <s v="P038"/>
    <x v="19"/>
    <n v="240"/>
    <n v="80"/>
    <n v="4560"/>
    <n v="1520"/>
    <n v="3040"/>
    <x v="247"/>
    <s v="Facilities &amp; Services"/>
    <n v="12.502346728827876"/>
    <s v="Satisfied"/>
    <n v="10"/>
  </r>
  <r>
    <d v="2019-04-11T02:48:02"/>
    <s v="19-2912"/>
    <s v="P001"/>
    <x v="7"/>
    <n v="108"/>
    <n v="36"/>
    <n v="1188"/>
    <n v="396"/>
    <n v="792"/>
    <x v="160"/>
    <s v="Creative &amp; Technology"/>
    <n v="8.8514729234790472"/>
    <s v="Satisfied"/>
    <n v="10"/>
  </r>
  <r>
    <d v="2020-02-17T03:42:24"/>
    <s v="20-1036"/>
    <s v="P024"/>
    <x v="1"/>
    <n v="66"/>
    <n v="33"/>
    <n v="528"/>
    <n v="264"/>
    <n v="264"/>
    <x v="108"/>
    <s v="Sports &amp; Recreation"/>
    <n v="11.970975110943924"/>
    <s v="Dissatisfied"/>
    <n v="1"/>
  </r>
  <r>
    <d v="2019-12-29T13:41:45"/>
    <s v="19-2559"/>
    <s v="P097"/>
    <x v="18"/>
    <n v="92"/>
    <n v="46"/>
    <n v="1656"/>
    <n v="828"/>
    <n v="828"/>
    <x v="107"/>
    <s v="Community &amp; Government"/>
    <n v="11.986565560885863"/>
    <s v="Dissatisfied"/>
    <n v="1"/>
  </r>
  <r>
    <d v="2019-09-24T01:20:35"/>
    <s v="19-2971"/>
    <s v="P001"/>
    <x v="0"/>
    <n v="108"/>
    <n v="36"/>
    <n v="1620"/>
    <n v="540"/>
    <n v="1080"/>
    <x v="34"/>
    <s v="Sports &amp; Recreation"/>
    <n v="11.406233913305266"/>
    <s v="Neither"/>
    <n v="5"/>
  </r>
  <r>
    <d v="2020-01-07T20:21:47"/>
    <s v="20-3544"/>
    <s v="P084"/>
    <x v="11"/>
    <n v="154"/>
    <n v="77"/>
    <n v="2464"/>
    <n v="1232"/>
    <n v="1232"/>
    <x v="181"/>
    <s v="Sports &amp; Recreation"/>
    <n v="11.072271050116964"/>
    <s v="Satisfied"/>
    <n v="10"/>
  </r>
  <r>
    <d v="2019-11-24T05:43:42"/>
    <s v="19-2649"/>
    <s v="P082"/>
    <x v="9"/>
    <n v="312"/>
    <n v="78"/>
    <n v="6240"/>
    <n v="1560"/>
    <n v="4680"/>
    <x v="71"/>
    <s v="Corporate &amp; Professional"/>
    <n v="11.274864741138284"/>
    <s v="Neither"/>
    <n v="5"/>
  </r>
  <r>
    <d v="2020-08-08T08:42:50"/>
    <s v="20-1855"/>
    <s v="P027"/>
    <x v="6"/>
    <n v="140"/>
    <n v="70"/>
    <n v="840"/>
    <n v="420"/>
    <n v="420"/>
    <x v="257"/>
    <s v="Creative &amp; Technology"/>
    <n v="9.9471686551317795"/>
    <s v="Satisfied"/>
    <n v="10"/>
  </r>
  <r>
    <d v="2021-09-01T03:03:13"/>
    <s v="21-1671"/>
    <s v="P030"/>
    <x v="7"/>
    <n v="81"/>
    <n v="27"/>
    <n v="891"/>
    <n v="297"/>
    <n v="594"/>
    <x v="16"/>
    <s v="Sports &amp; Recreation"/>
    <n v="12.865074657680612"/>
    <s v="Neither"/>
    <n v="5"/>
  </r>
  <r>
    <d v="2020-05-12T01:50:19"/>
    <s v="20-1694"/>
    <s v="P077"/>
    <x v="17"/>
    <n v="162"/>
    <n v="54"/>
    <n v="162"/>
    <n v="54"/>
    <n v="108"/>
    <x v="175"/>
    <s v="Creative &amp; Technology"/>
    <n v="13.150536103258979"/>
    <s v="Neither"/>
    <n v="5"/>
  </r>
  <r>
    <d v="2019-08-31T03:51:07"/>
    <s v="19-1538"/>
    <s v="P051"/>
    <x v="10"/>
    <n v="135"/>
    <n v="45"/>
    <n v="675"/>
    <n v="225"/>
    <n v="450"/>
    <x v="124"/>
    <s v="Sports &amp; Recreation"/>
    <n v="13.115597690631557"/>
    <s v="Neither"/>
    <n v="5"/>
  </r>
  <r>
    <d v="2020-06-23T09:29:20"/>
    <s v="20-4040"/>
    <s v="P049"/>
    <x v="7"/>
    <n v="356"/>
    <n v="89"/>
    <n v="3916"/>
    <n v="979"/>
    <n v="2937"/>
    <x v="281"/>
    <s v="Community &amp; Government"/>
    <n v="13.811876869930865"/>
    <s v="Neither"/>
    <n v="5"/>
  </r>
  <r>
    <d v="2018-12-11T08:25:29"/>
    <s v="18-4597"/>
    <s v="P035"/>
    <x v="6"/>
    <n v="144"/>
    <n v="48"/>
    <n v="864"/>
    <n v="288"/>
    <n v="576"/>
    <x v="171"/>
    <s v="Education"/>
    <n v="11.808681852148307"/>
    <s v="Dissatisfied"/>
    <n v="1"/>
  </r>
  <r>
    <d v="2019-11-20T15:00:31"/>
    <s v="19-4462"/>
    <s v="P050"/>
    <x v="9"/>
    <n v="108"/>
    <n v="36"/>
    <n v="2160"/>
    <n v="720"/>
    <n v="1440"/>
    <x v="221"/>
    <s v="Community &amp; Government"/>
    <n v="13.611804647345796"/>
    <s v="Neither"/>
    <n v="5"/>
  </r>
  <r>
    <d v="2021-11-01T03:03:11"/>
    <s v="21-1522"/>
    <s v="P056"/>
    <x v="18"/>
    <n v="72"/>
    <n v="36"/>
    <n v="1296"/>
    <n v="648"/>
    <n v="648"/>
    <x v="154"/>
    <s v="Sports &amp; Recreation"/>
    <n v="8.8878868765808274"/>
    <s v="Satisfied"/>
    <n v="10"/>
  </r>
  <r>
    <d v="2021-12-06T00:52:14"/>
    <s v="21-3897"/>
    <s v="P018"/>
    <x v="19"/>
    <n v="108"/>
    <n v="54"/>
    <n v="2052"/>
    <n v="1026"/>
    <n v="1026"/>
    <x v="88"/>
    <s v="Facilities &amp; Services"/>
    <n v="14.906846445071711"/>
    <s v="Satisfied"/>
    <n v="10"/>
  </r>
  <r>
    <d v="2022-02-21T21:20:41"/>
    <s v="22-1996"/>
    <s v="P090"/>
    <x v="2"/>
    <n v="57"/>
    <n v="19"/>
    <n v="741"/>
    <n v="247"/>
    <n v="494"/>
    <x v="199"/>
    <s v="Healthcare &amp; Safety"/>
    <n v="14.460020532456038"/>
    <s v="Satisfied"/>
    <n v="10"/>
  </r>
  <r>
    <d v="2020-08-15T09:20:55"/>
    <s v="20-2608"/>
    <s v="P058"/>
    <x v="5"/>
    <n v="356"/>
    <n v="89"/>
    <n v="1068"/>
    <n v="267"/>
    <n v="801"/>
    <x v="61"/>
    <s v="Education"/>
    <n v="13.697485557052493"/>
    <s v="Neither"/>
    <n v="5"/>
  </r>
  <r>
    <d v="2019-07-05T07:23:56"/>
    <s v="19-3011"/>
    <s v="P032"/>
    <x v="9"/>
    <n v="92"/>
    <n v="46"/>
    <n v="1840"/>
    <n v="920"/>
    <n v="920"/>
    <x v="207"/>
    <s v="Education"/>
    <n v="11.779256317174871"/>
    <s v="Neither"/>
    <n v="5"/>
  </r>
  <r>
    <d v="2020-07-08T08:21:15"/>
    <s v="20-4637"/>
    <s v="P081"/>
    <x v="17"/>
    <n v="50"/>
    <n v="25"/>
    <n v="50"/>
    <n v="25"/>
    <n v="25"/>
    <x v="197"/>
    <s v="Community &amp; Government"/>
    <n v="10.163794912095831"/>
    <s v="Neither"/>
    <n v="5"/>
  </r>
  <r>
    <d v="2022-02-16T15:24:58"/>
    <s v="22-4995"/>
    <s v="P066"/>
    <x v="8"/>
    <n v="34"/>
    <n v="17"/>
    <n v="476"/>
    <n v="238"/>
    <n v="238"/>
    <x v="82"/>
    <s v="Creative &amp; Technology"/>
    <n v="11.883396013219548"/>
    <s v="Neither"/>
    <n v="5"/>
  </r>
  <r>
    <d v="2021-02-26T23:39:30"/>
    <s v="21-4845"/>
    <s v="P099"/>
    <x v="13"/>
    <n v="132"/>
    <n v="33"/>
    <n v="1320"/>
    <n v="330"/>
    <n v="990"/>
    <x v="59"/>
    <s v="Creative &amp; Technology"/>
    <n v="10.980884286450312"/>
    <s v="Satisfied"/>
    <n v="10"/>
  </r>
  <r>
    <d v="2021-08-21T08:26:43"/>
    <s v="21-1412"/>
    <s v="P019"/>
    <x v="5"/>
    <n v="308"/>
    <n v="77"/>
    <n v="924"/>
    <n v="231"/>
    <n v="693"/>
    <x v="0"/>
    <s v="Corporate &amp; Professional"/>
    <n v="10.278063859084313"/>
    <s v="Neither"/>
    <n v="5"/>
  </r>
  <r>
    <d v="2019-10-20T16:18:09"/>
    <s v="19-2143"/>
    <s v="P039"/>
    <x v="17"/>
    <n v="270"/>
    <n v="90"/>
    <n v="270"/>
    <n v="90"/>
    <n v="180"/>
    <x v="46"/>
    <s v="Healthcare &amp; Safety"/>
    <n v="11.36085047138285"/>
    <s v="Satisfied"/>
    <n v="10"/>
  </r>
  <r>
    <d v="2020-12-15T16:40:45"/>
    <s v="20-4351"/>
    <s v="P088"/>
    <x v="13"/>
    <n v="192"/>
    <n v="96"/>
    <n v="1920"/>
    <n v="960"/>
    <n v="960"/>
    <x v="135"/>
    <s v="Corporate &amp; Professional"/>
    <n v="10.408704992688252"/>
    <s v="Satisfied"/>
    <n v="10"/>
  </r>
  <r>
    <d v="2022-05-31T17:01:26"/>
    <s v="22-1171"/>
    <s v="P031"/>
    <x v="17"/>
    <n v="146"/>
    <n v="73"/>
    <n v="146"/>
    <n v="73"/>
    <n v="73"/>
    <x v="269"/>
    <s v="Corporate &amp; Professional"/>
    <n v="10.585251392347548"/>
    <s v="Neither"/>
    <n v="5"/>
  </r>
  <r>
    <d v="2020-07-18T05:30:45"/>
    <s v="20-4844"/>
    <s v="P024"/>
    <x v="18"/>
    <n v="66"/>
    <n v="33"/>
    <n v="1188"/>
    <n v="594"/>
    <n v="594"/>
    <x v="120"/>
    <s v="Education"/>
    <n v="9.4239783062860578"/>
    <s v="Dissatisfied"/>
    <n v="1"/>
  </r>
  <r>
    <d v="2018-08-27T10:39:25"/>
    <s v="18-1881"/>
    <s v="P067"/>
    <x v="13"/>
    <n v="144"/>
    <n v="36"/>
    <n v="1440"/>
    <n v="360"/>
    <n v="1080"/>
    <x v="213"/>
    <s v="Healthcare &amp; Safety"/>
    <n v="16.148992525516267"/>
    <s v="Dissatisfied"/>
    <n v="1"/>
  </r>
  <r>
    <d v="2021-08-03T17:54:45"/>
    <s v="21-4396"/>
    <s v="P098"/>
    <x v="0"/>
    <n v="201"/>
    <n v="67"/>
    <n v="3015"/>
    <n v="1005"/>
    <n v="2010"/>
    <x v="232"/>
    <s v="Corporate &amp; Professional"/>
    <n v="11.816654396440285"/>
    <s v="Satisfied"/>
    <n v="10"/>
  </r>
  <r>
    <d v="2019-08-26T18:36:26"/>
    <s v="19-2289"/>
    <s v="P088"/>
    <x v="9"/>
    <n v="192"/>
    <n v="96"/>
    <n v="3840"/>
    <n v="1920"/>
    <n v="1920"/>
    <x v="248"/>
    <s v="Creative &amp; Technology"/>
    <n v="11.130819205617987"/>
    <s v="Neither"/>
    <n v="5"/>
  </r>
  <r>
    <d v="2021-06-26T18:26:51"/>
    <s v="21-3619"/>
    <s v="P073"/>
    <x v="12"/>
    <n v="48"/>
    <n v="24"/>
    <n v="336"/>
    <n v="168"/>
    <n v="168"/>
    <x v="204"/>
    <s v="Corporate &amp; Professional"/>
    <n v="10.248947386022252"/>
    <s v="Neither"/>
    <n v="5"/>
  </r>
  <r>
    <d v="2020-03-05T11:53:42"/>
    <s v="20-4157"/>
    <s v="P072"/>
    <x v="15"/>
    <n v="132"/>
    <n v="44"/>
    <n v="2244"/>
    <n v="748"/>
    <n v="1496"/>
    <x v="178"/>
    <s v="Education"/>
    <n v="14.760829371220243"/>
    <s v="Satisfied"/>
    <n v="10"/>
  </r>
  <r>
    <d v="2019-07-02T16:12:53"/>
    <s v="19-4339"/>
    <s v="P037"/>
    <x v="15"/>
    <n v="160"/>
    <n v="80"/>
    <n v="2720"/>
    <n v="1360"/>
    <n v="1360"/>
    <x v="120"/>
    <s v="Education"/>
    <n v="9.4239783062860578"/>
    <s v="Dissatisfied"/>
    <n v="1"/>
  </r>
  <r>
    <d v="2019-04-28T06:16:48"/>
    <s v="19-4270"/>
    <s v="P012"/>
    <x v="15"/>
    <n v="30"/>
    <n v="15"/>
    <n v="510"/>
    <n v="255"/>
    <n v="255"/>
    <x v="282"/>
    <s v="Community &amp; Government"/>
    <n v="14.157909724393564"/>
    <s v="Satisfied"/>
    <n v="10"/>
  </r>
  <r>
    <d v="2019-04-15T15:23:43"/>
    <s v="19-2619"/>
    <s v="P076"/>
    <x v="1"/>
    <n v="94"/>
    <n v="47"/>
    <n v="752"/>
    <n v="376"/>
    <n v="376"/>
    <x v="83"/>
    <s v="Sports &amp; Recreation"/>
    <n v="11.504886852416154"/>
    <s v="Neither"/>
    <n v="5"/>
  </r>
  <r>
    <d v="2020-04-19T22:10:18"/>
    <s v="20-1037"/>
    <s v="P026"/>
    <x v="17"/>
    <n v="280"/>
    <n v="70"/>
    <n v="280"/>
    <n v="70"/>
    <n v="210"/>
    <x v="131"/>
    <s v="Corporate &amp; Professional"/>
    <n v="11.701919153133453"/>
    <s v="Dissatisfied"/>
    <n v="1"/>
  </r>
  <r>
    <d v="2019-12-07T20:10:28"/>
    <s v="19-2188"/>
    <s v="P072"/>
    <x v="18"/>
    <n v="132"/>
    <n v="44"/>
    <n v="2376"/>
    <n v="792"/>
    <n v="1584"/>
    <x v="129"/>
    <s v="Community &amp; Government"/>
    <n v="10.813269600021069"/>
    <s v="Neither"/>
    <n v="5"/>
  </r>
  <r>
    <d v="2019-03-21T18:52:28"/>
    <s v="19-3021"/>
    <s v="P029"/>
    <x v="4"/>
    <n v="300"/>
    <n v="75"/>
    <n v="600"/>
    <n v="150"/>
    <n v="450"/>
    <x v="95"/>
    <s v="Facilities &amp; Services"/>
    <n v="7.7337149713827413"/>
    <s v="Neither"/>
    <n v="5"/>
  </r>
  <r>
    <d v="2022-09-06T07:54:02"/>
    <s v="22-4239"/>
    <s v="P074"/>
    <x v="3"/>
    <n v="352"/>
    <n v="88"/>
    <n v="1408"/>
    <n v="352"/>
    <n v="1056"/>
    <x v="259"/>
    <s v="Education"/>
    <n v="15.268550004010105"/>
    <s v="Neither"/>
    <n v="5"/>
  </r>
  <r>
    <d v="2019-07-14T10:55:12"/>
    <s v="19-2641"/>
    <s v="P041"/>
    <x v="11"/>
    <n v="144"/>
    <n v="36"/>
    <n v="2304"/>
    <n v="576"/>
    <n v="1728"/>
    <x v="66"/>
    <s v="Facilities &amp; Services"/>
    <n v="12.172922939334034"/>
    <s v="Satisfied"/>
    <n v="10"/>
  </r>
  <r>
    <d v="2019-06-22T19:45:30"/>
    <s v="19-2920"/>
    <s v="P094"/>
    <x v="14"/>
    <n v="80"/>
    <n v="20"/>
    <n v="960"/>
    <n v="240"/>
    <n v="720"/>
    <x v="222"/>
    <s v="Community &amp; Government"/>
    <n v="13.095446915421235"/>
    <s v="Satisfied"/>
    <n v="10"/>
  </r>
  <r>
    <d v="2020-09-13T04:07:54"/>
    <s v="20-4675"/>
    <s v="P038"/>
    <x v="2"/>
    <n v="240"/>
    <n v="80"/>
    <n v="3120"/>
    <n v="1040"/>
    <n v="2080"/>
    <x v="0"/>
    <s v="Corporate &amp; Professional"/>
    <n v="10.278063859084313"/>
    <s v="Neither"/>
    <n v="5"/>
  </r>
  <r>
    <d v="2021-01-26T02:18:26"/>
    <s v="21-1308"/>
    <s v="P100"/>
    <x v="17"/>
    <n v="46"/>
    <n v="23"/>
    <n v="46"/>
    <n v="23"/>
    <n v="23"/>
    <x v="51"/>
    <s v="Facilities &amp; Services"/>
    <n v="10.523527521613014"/>
    <s v="Dissatisfied"/>
    <n v="1"/>
  </r>
  <r>
    <d v="2020-08-01T10:52:03"/>
    <s v="20-3571"/>
    <s v="P028"/>
    <x v="13"/>
    <n v="156"/>
    <n v="78"/>
    <n v="1560"/>
    <n v="780"/>
    <n v="780"/>
    <x v="41"/>
    <s v="Community &amp; Government"/>
    <n v="12.452986387489583"/>
    <s v="Neither"/>
    <n v="5"/>
  </r>
  <r>
    <d v="2019-09-30T12:39:09"/>
    <s v="19-4456"/>
    <s v="P068"/>
    <x v="14"/>
    <n v="300"/>
    <n v="75"/>
    <n v="3600"/>
    <n v="900"/>
    <n v="2700"/>
    <x v="38"/>
    <s v="Facilities &amp; Services"/>
    <n v="13.378080355059918"/>
    <s v="Dissatisfied"/>
    <n v="1"/>
  </r>
  <r>
    <d v="2019-09-05T05:33:37"/>
    <s v="19-2988"/>
    <s v="P032"/>
    <x v="5"/>
    <n v="92"/>
    <n v="46"/>
    <n v="276"/>
    <n v="138"/>
    <n v="138"/>
    <x v="84"/>
    <s v="Corporate &amp; Professional"/>
    <n v="11.428575823958646"/>
    <s v="Neither"/>
    <n v="5"/>
  </r>
  <r>
    <d v="2015-09-11T09:51:48"/>
    <s v="15-4254"/>
    <s v="P037"/>
    <x v="17"/>
    <n v="160"/>
    <n v="80"/>
    <n v="160"/>
    <n v="80"/>
    <n v="80"/>
    <x v="114"/>
    <s v="Healthcare &amp; Safety"/>
    <n v="14.423322704129969"/>
    <s v="Neither"/>
    <n v="5"/>
  </r>
  <r>
    <d v="2021-11-05T15:01:34"/>
    <s v="21-2871"/>
    <s v="P098"/>
    <x v="7"/>
    <n v="201"/>
    <n v="67"/>
    <n v="2211"/>
    <n v="737"/>
    <n v="1474"/>
    <x v="112"/>
    <s v="Creative &amp; Technology"/>
    <n v="12.004541523616258"/>
    <s v="Satisfied"/>
    <n v="10"/>
  </r>
  <r>
    <d v="2021-05-02T21:51:29"/>
    <s v="21-3468"/>
    <s v="P088"/>
    <x v="14"/>
    <n v="192"/>
    <n v="96"/>
    <n v="2304"/>
    <n v="1152"/>
    <n v="1152"/>
    <x v="45"/>
    <s v="Sports &amp; Recreation"/>
    <n v="12.1334991293512"/>
    <s v="Neither"/>
    <n v="5"/>
  </r>
  <r>
    <d v="2018-05-08T08:53:41"/>
    <s v="18-3072"/>
    <s v="P030"/>
    <x v="4"/>
    <n v="81"/>
    <n v="27"/>
    <n v="162"/>
    <n v="54"/>
    <n v="108"/>
    <x v="49"/>
    <s v="Creative &amp; Technology"/>
    <n v="11.31221475547909"/>
    <s v="Neither"/>
    <n v="5"/>
  </r>
  <r>
    <d v="2022-03-04T18:52:05"/>
    <s v="22-3964"/>
    <s v="P083"/>
    <x v="16"/>
    <n v="90"/>
    <n v="45"/>
    <n v="810"/>
    <n v="405"/>
    <n v="405"/>
    <x v="217"/>
    <s v="Education"/>
    <n v="11.862005526237752"/>
    <s v="Neither"/>
    <n v="5"/>
  </r>
  <r>
    <d v="2020-04-01T15:26:38"/>
    <s v="20-2899"/>
    <s v="P017"/>
    <x v="2"/>
    <n v="120"/>
    <n v="30"/>
    <n v="1560"/>
    <n v="390"/>
    <n v="1170"/>
    <x v="118"/>
    <s v="Community &amp; Government"/>
    <n v="15.60430546146185"/>
    <s v="Neither"/>
    <n v="5"/>
  </r>
  <r>
    <d v="2020-11-26T08:42:55"/>
    <s v="20-2440"/>
    <s v="P087"/>
    <x v="9"/>
    <n v="176"/>
    <n v="88"/>
    <n v="3520"/>
    <n v="1760"/>
    <n v="1760"/>
    <x v="2"/>
    <s v="Facilities &amp; Services"/>
    <n v="9.3226775515721787"/>
    <s v="Satisfied"/>
    <n v="10"/>
  </r>
  <r>
    <d v="2019-09-29T04:33:28"/>
    <s v="19-2125"/>
    <s v="P069"/>
    <x v="13"/>
    <n v="150"/>
    <n v="75"/>
    <n v="1500"/>
    <n v="750"/>
    <n v="750"/>
    <x v="168"/>
    <s v="Healthcare &amp; Safety"/>
    <n v="9.74650548941427"/>
    <s v="Satisfied"/>
    <n v="10"/>
  </r>
  <r>
    <d v="2022-03-11T20:33:58"/>
    <s v="22-3412"/>
    <s v="P058"/>
    <x v="4"/>
    <n v="356"/>
    <n v="89"/>
    <n v="712"/>
    <n v="178"/>
    <n v="534"/>
    <x v="123"/>
    <s v="Facilities &amp; Services"/>
    <n v="9.1877733607656964"/>
    <s v="Neither"/>
    <n v="5"/>
  </r>
  <r>
    <d v="2021-02-04T14:47:17"/>
    <s v="21-3697"/>
    <s v="P029"/>
    <x v="4"/>
    <n v="300"/>
    <n v="75"/>
    <n v="600"/>
    <n v="150"/>
    <n v="450"/>
    <x v="283"/>
    <s v="Creative &amp; Technology"/>
    <n v="11.0700865530371"/>
    <s v="Satisfied"/>
    <n v="10"/>
  </r>
  <r>
    <d v="2020-07-27T20:54:19"/>
    <s v="20-1635"/>
    <s v="P036"/>
    <x v="14"/>
    <n v="280"/>
    <n v="70"/>
    <n v="3360"/>
    <n v="840"/>
    <n v="2520"/>
    <x v="79"/>
    <s v="Facilities &amp; Services"/>
    <n v="12.661538237835474"/>
    <s v="Dissatisfied"/>
    <n v="1"/>
  </r>
  <r>
    <d v="2019-09-04T07:57:50"/>
    <s v="19-3316"/>
    <s v="P043"/>
    <x v="16"/>
    <n v="184"/>
    <n v="92"/>
    <n v="1656"/>
    <n v="828"/>
    <n v="828"/>
    <x v="50"/>
    <s v="Creative &amp; Technology"/>
    <n v="12.551203838971933"/>
    <s v="Neither"/>
    <n v="5"/>
  </r>
  <r>
    <d v="2020-02-13T15:21:47"/>
    <s v="20-3283"/>
    <s v="P047"/>
    <x v="4"/>
    <n v="72"/>
    <n v="36"/>
    <n v="144"/>
    <n v="72"/>
    <n v="72"/>
    <x v="23"/>
    <s v="Healthcare &amp; Safety"/>
    <n v="13.407340878370247"/>
    <s v="Neither"/>
    <n v="5"/>
  </r>
  <r>
    <d v="2020-08-11T00:55:57"/>
    <s v="20-4952"/>
    <s v="P080"/>
    <x v="7"/>
    <n v="57"/>
    <n v="19"/>
    <n v="627"/>
    <n v="209"/>
    <n v="418"/>
    <x v="75"/>
    <s v="Healthcare &amp; Safety"/>
    <n v="13.918153610259502"/>
    <s v="Neither"/>
    <n v="5"/>
  </r>
  <r>
    <d v="2020-05-26T10:09:10"/>
    <s v="20-2551"/>
    <s v="P053"/>
    <x v="0"/>
    <n v="50"/>
    <n v="25"/>
    <n v="750"/>
    <n v="375"/>
    <n v="375"/>
    <x v="31"/>
    <s v="Corporate &amp; Professional"/>
    <n v="9.4200113153305907"/>
    <s v="Neither"/>
    <n v="5"/>
  </r>
  <r>
    <d v="2018-11-22T16:41:54"/>
    <s v="18-4031"/>
    <s v="P036"/>
    <x v="1"/>
    <n v="280"/>
    <n v="70"/>
    <n v="2240"/>
    <n v="560"/>
    <n v="1680"/>
    <x v="259"/>
    <s v="Education"/>
    <n v="15.268550004010105"/>
    <s v="Neither"/>
    <n v="5"/>
  </r>
  <r>
    <d v="2019-06-09T09:07:21"/>
    <s v="19-4526"/>
    <s v="P061"/>
    <x v="3"/>
    <n v="264"/>
    <n v="88"/>
    <n v="1056"/>
    <n v="352"/>
    <n v="704"/>
    <x v="52"/>
    <s v="Facilities &amp; Services"/>
    <n v="14.573178107544177"/>
    <s v="Dissatisfied"/>
    <n v="1"/>
  </r>
  <r>
    <d v="2019-03-09T12:27:16"/>
    <s v="19-3747"/>
    <s v="P073"/>
    <x v="16"/>
    <n v="48"/>
    <n v="24"/>
    <n v="432"/>
    <n v="216"/>
    <n v="216"/>
    <x v="267"/>
    <s v="Healthcare &amp; Safety"/>
    <n v="10.28240320324797"/>
    <s v="Satisfied"/>
    <n v="10"/>
  </r>
  <r>
    <d v="2021-12-06T07:43:18"/>
    <s v="21-2458"/>
    <s v="P075"/>
    <x v="12"/>
    <n v="160"/>
    <n v="80"/>
    <n v="1120"/>
    <n v="560"/>
    <n v="560"/>
    <x v="130"/>
    <s v="Healthcare &amp; Safety"/>
    <n v="13.923194761258239"/>
    <s v="Neither"/>
    <n v="5"/>
  </r>
  <r>
    <d v="2020-01-30T19:32:34"/>
    <s v="20-4274"/>
    <s v="P010"/>
    <x v="7"/>
    <n v="144"/>
    <n v="36"/>
    <n v="1584"/>
    <n v="396"/>
    <n v="1188"/>
    <x v="122"/>
    <s v="Creative &amp; Technology"/>
    <n v="11.082295381980092"/>
    <s v="Neither"/>
    <n v="5"/>
  </r>
  <r>
    <d v="2018-11-22T01:38:39"/>
    <s v="18-2133"/>
    <s v="P063"/>
    <x v="1"/>
    <n v="261"/>
    <n v="87"/>
    <n v="2088"/>
    <n v="696"/>
    <n v="1392"/>
    <x v="133"/>
    <s v="Corporate &amp; Professional"/>
    <n v="5.9872353338051019"/>
    <s v="Neither"/>
    <n v="5"/>
  </r>
  <r>
    <d v="2019-09-06T04:20:48"/>
    <s v="19-3614"/>
    <s v="P019"/>
    <x v="12"/>
    <n v="308"/>
    <n v="77"/>
    <n v="2156"/>
    <n v="539"/>
    <n v="1617"/>
    <x v="284"/>
    <s v="Facilities &amp; Services"/>
    <n v="8.6625575824723242"/>
    <s v="Neither"/>
    <n v="5"/>
  </r>
  <r>
    <d v="2021-01-06T19:01:46"/>
    <s v="21-3410"/>
    <s v="P012"/>
    <x v="18"/>
    <n v="30"/>
    <n v="15"/>
    <n v="540"/>
    <n v="270"/>
    <n v="270"/>
    <x v="252"/>
    <s v="Community &amp; Government"/>
    <n v="10.968401424454578"/>
    <s v="Neither"/>
    <n v="5"/>
  </r>
  <r>
    <d v="2022-01-12T05:38:28"/>
    <s v="22-2355"/>
    <s v="P006"/>
    <x v="8"/>
    <n v="38"/>
    <n v="19"/>
    <n v="532"/>
    <n v="266"/>
    <n v="266"/>
    <x v="145"/>
    <s v="Sports &amp; Recreation"/>
    <n v="7.9963422143733238"/>
    <s v="Satisfied"/>
    <n v="10"/>
  </r>
  <r>
    <d v="2021-10-06T14:19:01"/>
    <s v="21-3818"/>
    <s v="P004"/>
    <x v="16"/>
    <n v="189"/>
    <n v="63"/>
    <n v="1701"/>
    <n v="567"/>
    <n v="1134"/>
    <x v="187"/>
    <s v="Creative &amp; Technology"/>
    <n v="13.259563298324382"/>
    <s v="Satisfied"/>
    <n v="10"/>
  </r>
  <r>
    <d v="2020-09-17T01:38:27"/>
    <s v="20-1381"/>
    <s v="P045"/>
    <x v="14"/>
    <n v="100"/>
    <n v="25"/>
    <n v="1200"/>
    <n v="300"/>
    <n v="900"/>
    <x v="127"/>
    <s v="Facilities &amp; Services"/>
    <n v="11.644564584314265"/>
    <s v="Neither"/>
    <n v="5"/>
  </r>
  <r>
    <d v="2019-09-19T01:52:50"/>
    <s v="19-3689"/>
    <s v="P059"/>
    <x v="4"/>
    <n v="267"/>
    <n v="89"/>
    <n v="534"/>
    <n v="178"/>
    <n v="356"/>
    <x v="273"/>
    <s v="Corporate &amp; Professional"/>
    <n v="11.971065679104063"/>
    <s v="Satisfied"/>
    <n v="10"/>
  </r>
  <r>
    <d v="2020-06-15T06:10:27"/>
    <s v="20-2348"/>
    <s v="P014"/>
    <x v="11"/>
    <n v="166"/>
    <n v="83"/>
    <n v="2656"/>
    <n v="1328"/>
    <n v="1328"/>
    <x v="154"/>
    <s v="Sports &amp; Recreation"/>
    <n v="8.8878868765808274"/>
    <s v="Satisfied"/>
    <n v="10"/>
  </r>
  <r>
    <d v="2020-03-04T01:12:30"/>
    <s v="20-3575"/>
    <s v="P059"/>
    <x v="10"/>
    <n v="267"/>
    <n v="89"/>
    <n v="1335"/>
    <n v="445"/>
    <n v="890"/>
    <x v="52"/>
    <s v="Facilities &amp; Services"/>
    <n v="14.573178107544177"/>
    <s v="Satisfied"/>
    <n v="10"/>
  </r>
  <r>
    <d v="2018-10-02T01:11:04"/>
    <s v="18-3860"/>
    <s v="P097"/>
    <x v="13"/>
    <n v="92"/>
    <n v="46"/>
    <n v="920"/>
    <n v="460"/>
    <n v="460"/>
    <x v="186"/>
    <s v="Education"/>
    <n v="8.3272837771733244"/>
    <s v="Dissatisfied"/>
    <n v="1"/>
  </r>
  <r>
    <d v="2022-06-02T14:21:57"/>
    <s v="22-4036"/>
    <s v="P047"/>
    <x v="14"/>
    <n v="72"/>
    <n v="36"/>
    <n v="864"/>
    <n v="432"/>
    <n v="432"/>
    <x v="281"/>
    <s v="Community &amp; Government"/>
    <n v="13.811876869930865"/>
    <s v="Neither"/>
    <n v="5"/>
  </r>
  <r>
    <d v="2019-10-31T06:03:17"/>
    <s v="19-3177"/>
    <s v="P016"/>
    <x v="18"/>
    <n v="110"/>
    <n v="55"/>
    <n v="1980"/>
    <n v="990"/>
    <n v="990"/>
    <x v="72"/>
    <s v="Community &amp; Government"/>
    <n v="15.458859683514467"/>
    <s v="Neither"/>
    <n v="5"/>
  </r>
  <r>
    <d v="2020-05-23T21:56:38"/>
    <s v="20-1218"/>
    <s v="P044"/>
    <x v="12"/>
    <n v="368"/>
    <n v="92"/>
    <n v="2576"/>
    <n v="644"/>
    <n v="1932"/>
    <x v="14"/>
    <s v="Creative &amp; Technology"/>
    <n v="13.45980057156361"/>
    <s v="Satisfied"/>
    <n v="10"/>
  </r>
  <r>
    <d v="2021-01-19T19:02:46"/>
    <s v="21-2343"/>
    <s v="P086"/>
    <x v="4"/>
    <n v="352"/>
    <n v="88"/>
    <n v="704"/>
    <n v="176"/>
    <n v="528"/>
    <x v="27"/>
    <s v="Healthcare &amp; Safety"/>
    <n v="10.42743035829395"/>
    <s v="Neither"/>
    <n v="5"/>
  </r>
  <r>
    <d v="2020-02-29T01:53:31"/>
    <s v="20-2893"/>
    <s v="P085"/>
    <x v="2"/>
    <n v="320"/>
    <n v="80"/>
    <n v="4160"/>
    <n v="1040"/>
    <n v="3120"/>
    <x v="140"/>
    <s v="Education"/>
    <n v="13.332534707865639"/>
    <s v="Neither"/>
    <n v="5"/>
  </r>
  <r>
    <d v="2020-11-10T18:54:35"/>
    <s v="20-4558"/>
    <s v="P036"/>
    <x v="17"/>
    <n v="280"/>
    <n v="70"/>
    <n v="280"/>
    <n v="70"/>
    <n v="210"/>
    <x v="180"/>
    <s v="Community &amp; Government"/>
    <n v="12.045339240427111"/>
    <s v="Neither"/>
    <n v="5"/>
  </r>
  <r>
    <d v="2020-04-18T17:28:35"/>
    <s v="20-3150"/>
    <s v="P038"/>
    <x v="3"/>
    <n v="240"/>
    <n v="80"/>
    <n v="960"/>
    <n v="320"/>
    <n v="640"/>
    <x v="57"/>
    <s v="Facilities &amp; Services"/>
    <n v="12.177709716438097"/>
    <s v="Satisfied"/>
    <n v="10"/>
  </r>
  <r>
    <d v="2021-10-21T06:48:13"/>
    <s v="21-2050"/>
    <s v="P013"/>
    <x v="9"/>
    <n v="58"/>
    <n v="29"/>
    <n v="1160"/>
    <n v="580"/>
    <n v="580"/>
    <x v="15"/>
    <s v="Community &amp; Government"/>
    <n v="11.631646244583138"/>
    <s v="Satisfied"/>
    <n v="10"/>
  </r>
  <r>
    <d v="2019-08-30T13:10:23"/>
    <s v="19-3645"/>
    <s v="P054"/>
    <x v="16"/>
    <n v="144"/>
    <n v="48"/>
    <n v="1296"/>
    <n v="432"/>
    <n v="864"/>
    <x v="285"/>
    <s v="Healthcare &amp; Safety"/>
    <n v="13.2671922973198"/>
    <s v="Dissatisfied"/>
    <n v="1"/>
  </r>
  <r>
    <d v="2019-04-17T01:16:06"/>
    <s v="19-1676"/>
    <s v="P090"/>
    <x v="14"/>
    <n v="57"/>
    <n v="19"/>
    <n v="684"/>
    <n v="228"/>
    <n v="456"/>
    <x v="139"/>
    <s v="Creative &amp; Technology"/>
    <n v="15.770846827234339"/>
    <s v="Neither"/>
    <n v="5"/>
  </r>
  <r>
    <d v="2021-05-08T01:18:58"/>
    <s v="21-2669"/>
    <s v="P081"/>
    <x v="18"/>
    <n v="50"/>
    <n v="25"/>
    <n v="900"/>
    <n v="450"/>
    <n v="450"/>
    <x v="286"/>
    <s v="Community &amp; Government"/>
    <n v="10.826646539963521"/>
    <s v="Dissatisfied"/>
    <n v="1"/>
  </r>
  <r>
    <d v="2018-08-12T22:27:12"/>
    <s v="18-1021"/>
    <s v="P036"/>
    <x v="11"/>
    <n v="280"/>
    <n v="70"/>
    <n v="4480"/>
    <n v="1120"/>
    <n v="3360"/>
    <x v="233"/>
    <s v="Education"/>
    <n v="9.5176115401380308"/>
    <s v="Neither"/>
    <n v="5"/>
  </r>
  <r>
    <d v="2019-07-24T18:36:59"/>
    <s v="19-3404"/>
    <s v="P063"/>
    <x v="0"/>
    <n v="261"/>
    <n v="87"/>
    <n v="3915"/>
    <n v="1305"/>
    <n v="2610"/>
    <x v="272"/>
    <s v="Facilities &amp; Services"/>
    <n v="10.517826055804084"/>
    <s v="Satisfied"/>
    <n v="10"/>
  </r>
  <r>
    <d v="2020-03-10T19:21:46"/>
    <s v="20-4462"/>
    <s v="P099"/>
    <x v="13"/>
    <n v="132"/>
    <n v="33"/>
    <n v="1320"/>
    <n v="330"/>
    <n v="990"/>
    <x v="83"/>
    <s v="Sports &amp; Recreation"/>
    <n v="11.504886852416154"/>
    <s v="Neither"/>
    <n v="5"/>
  </r>
  <r>
    <d v="2019-11-27T06:28:03"/>
    <s v="19-3740"/>
    <s v="P029"/>
    <x v="3"/>
    <n v="300"/>
    <n v="75"/>
    <n v="1200"/>
    <n v="300"/>
    <n v="900"/>
    <x v="191"/>
    <s v="Corporate &amp; Professional"/>
    <n v="12.131375018945562"/>
    <s v="Satisfied"/>
    <n v="10"/>
  </r>
  <r>
    <d v="2020-01-02T06:55:47"/>
    <s v="20-2616"/>
    <s v="P042"/>
    <x v="11"/>
    <n v="50"/>
    <n v="25"/>
    <n v="800"/>
    <n v="400"/>
    <n v="400"/>
    <x v="180"/>
    <s v="Community &amp; Government"/>
    <n v="12.045339240427111"/>
    <s v="Dissatisfied"/>
    <n v="1"/>
  </r>
  <r>
    <d v="2022-04-25T21:24:00"/>
    <s v="22-1020"/>
    <s v="P017"/>
    <x v="7"/>
    <n v="120"/>
    <n v="30"/>
    <n v="1320"/>
    <n v="330"/>
    <n v="990"/>
    <x v="259"/>
    <s v="Education"/>
    <n v="15.268550004010105"/>
    <s v="Dissatisfied"/>
    <n v="1"/>
  </r>
  <r>
    <d v="2019-01-09T12:08:30"/>
    <s v="19-1153"/>
    <s v="P001"/>
    <x v="19"/>
    <n v="108"/>
    <n v="36"/>
    <n v="2052"/>
    <n v="684"/>
    <n v="1368"/>
    <x v="236"/>
    <s v="Creative &amp; Technology"/>
    <n v="13.827196127590291"/>
    <s v="Neither"/>
    <n v="5"/>
  </r>
  <r>
    <d v="2018-10-04T06:42:45"/>
    <s v="18-3420"/>
    <s v="P065"/>
    <x v="2"/>
    <n v="50"/>
    <n v="25"/>
    <n v="650"/>
    <n v="325"/>
    <n v="325"/>
    <x v="201"/>
    <s v="Community &amp; Government"/>
    <n v="8.1628930629234038"/>
    <s v="Neither"/>
    <n v="5"/>
  </r>
  <r>
    <d v="2021-03-15T09:18:52"/>
    <s v="21-1849"/>
    <s v="P028"/>
    <x v="11"/>
    <n v="156"/>
    <n v="78"/>
    <n v="2496"/>
    <n v="1248"/>
    <n v="1248"/>
    <x v="274"/>
    <s v="Creative &amp; Technology"/>
    <n v="10.524491192521829"/>
    <s v="Dissatisfied"/>
    <n v="1"/>
  </r>
  <r>
    <d v="2019-09-24T01:27:47"/>
    <s v="19-4715"/>
    <s v="P041"/>
    <x v="1"/>
    <n v="144"/>
    <n v="36"/>
    <n v="1152"/>
    <n v="288"/>
    <n v="864"/>
    <x v="145"/>
    <s v="Sports &amp; Recreation"/>
    <n v="7.9963422143733238"/>
    <s v="Neither"/>
    <n v="5"/>
  </r>
  <r>
    <d v="2017-04-28T14:47:03"/>
    <s v="17-4752"/>
    <s v="P056"/>
    <x v="19"/>
    <n v="72"/>
    <n v="36"/>
    <n v="1368"/>
    <n v="684"/>
    <n v="684"/>
    <x v="17"/>
    <s v="Education"/>
    <n v="9.8238489437106278"/>
    <s v="Neither"/>
    <n v="5"/>
  </r>
  <r>
    <d v="2019-04-17T04:00:16"/>
    <s v="19-3397"/>
    <s v="P093"/>
    <x v="7"/>
    <n v="384"/>
    <n v="96"/>
    <n v="4224"/>
    <n v="1056"/>
    <n v="3168"/>
    <x v="207"/>
    <s v="Education"/>
    <n v="11.779256317174871"/>
    <s v="Satisfied"/>
    <n v="10"/>
  </r>
  <r>
    <d v="2019-02-24T09:33:13"/>
    <s v="19-2822"/>
    <s v="P093"/>
    <x v="9"/>
    <n v="384"/>
    <n v="96"/>
    <n v="7680"/>
    <n v="1920"/>
    <n v="5760"/>
    <x v="253"/>
    <s v="Facilities &amp; Services"/>
    <n v="11.961761925704458"/>
    <s v="Satisfied"/>
    <n v="10"/>
  </r>
  <r>
    <d v="2019-05-07T04:24:17"/>
    <s v="19-3784"/>
    <s v="P041"/>
    <x v="6"/>
    <n v="144"/>
    <n v="36"/>
    <n v="864"/>
    <n v="216"/>
    <n v="648"/>
    <x v="28"/>
    <s v="Sports &amp; Recreation"/>
    <n v="11.006397834696006"/>
    <s v="Neither"/>
    <n v="5"/>
  </r>
  <r>
    <d v="2022-03-01T16:35:56"/>
    <s v="22-1282"/>
    <s v="P042"/>
    <x v="15"/>
    <n v="50"/>
    <n v="25"/>
    <n v="850"/>
    <n v="425"/>
    <n v="425"/>
    <x v="23"/>
    <s v="Healthcare &amp; Safety"/>
    <n v="13.407340878370247"/>
    <s v="Neither"/>
    <n v="5"/>
  </r>
  <r>
    <d v="2021-04-08T19:28:01"/>
    <s v="21-2039"/>
    <s v="P065"/>
    <x v="18"/>
    <n v="50"/>
    <n v="25"/>
    <n v="900"/>
    <n v="450"/>
    <n v="450"/>
    <x v="171"/>
    <s v="Education"/>
    <n v="11.808681852148307"/>
    <s v="Neither"/>
    <n v="5"/>
  </r>
  <r>
    <d v="2020-06-26T19:46:51"/>
    <s v="20-3577"/>
    <s v="P025"/>
    <x v="9"/>
    <n v="210"/>
    <n v="70"/>
    <n v="4200"/>
    <n v="1400"/>
    <n v="2800"/>
    <x v="198"/>
    <s v="Corporate &amp; Professional"/>
    <n v="6.9183250411917196"/>
    <s v="Neither"/>
    <n v="5"/>
  </r>
  <r>
    <d v="2021-01-31T08:46:57"/>
    <s v="21-4155"/>
    <s v="P094"/>
    <x v="19"/>
    <n v="80"/>
    <n v="20"/>
    <n v="1520"/>
    <n v="380"/>
    <n v="1140"/>
    <x v="10"/>
    <s v="Education"/>
    <n v="12.957303170959879"/>
    <s v="Satisfied"/>
    <n v="10"/>
  </r>
  <r>
    <d v="2019-09-29T11:32:52"/>
    <s v="19-4418"/>
    <s v="P002"/>
    <x v="7"/>
    <n v="144"/>
    <n v="36"/>
    <n v="1584"/>
    <n v="396"/>
    <n v="1188"/>
    <x v="149"/>
    <s v="Facilities &amp; Services"/>
    <n v="11.311040680082275"/>
    <s v="Satisfied"/>
    <n v="10"/>
  </r>
  <r>
    <d v="2017-09-17T16:19:11"/>
    <s v="17-4912"/>
    <s v="P100"/>
    <x v="6"/>
    <n v="46"/>
    <n v="23"/>
    <n v="276"/>
    <n v="138"/>
    <n v="138"/>
    <x v="170"/>
    <s v="Sports &amp; Recreation"/>
    <n v="10.037135914792184"/>
    <s v="Satisfied"/>
    <n v="10"/>
  </r>
  <r>
    <d v="2019-02-10T06:56:51"/>
    <s v="19-2238"/>
    <s v="P011"/>
    <x v="7"/>
    <n v="264"/>
    <n v="88"/>
    <n v="2904"/>
    <n v="968"/>
    <n v="1936"/>
    <x v="238"/>
    <s v="Education"/>
    <n v="13.275355576494196"/>
    <s v="Neither"/>
    <n v="5"/>
  </r>
  <r>
    <d v="2021-06-10T17:57:22"/>
    <s v="21-1261"/>
    <s v="P044"/>
    <x v="13"/>
    <n v="368"/>
    <n v="92"/>
    <n v="3680"/>
    <n v="920"/>
    <n v="2760"/>
    <x v="96"/>
    <s v="Healthcare &amp; Safety"/>
    <n v="11.221666113009938"/>
    <s v="Dissatisfied"/>
    <n v="1"/>
  </r>
  <r>
    <d v="2023-07-17T19:22:15"/>
    <s v="23-4523"/>
    <s v="P070"/>
    <x v="2"/>
    <n v="84"/>
    <n v="21"/>
    <n v="1092"/>
    <n v="273"/>
    <n v="819"/>
    <x v="278"/>
    <s v="Facilities &amp; Services"/>
    <n v="12.427459362224146"/>
    <s v="Satisfied"/>
    <n v="10"/>
  </r>
  <r>
    <d v="2021-05-14T22:39:57"/>
    <s v="21-4508"/>
    <s v="P017"/>
    <x v="6"/>
    <n v="120"/>
    <n v="30"/>
    <n v="720"/>
    <n v="180"/>
    <n v="540"/>
    <x v="72"/>
    <s v="Community &amp; Government"/>
    <n v="15.458859683514467"/>
    <s v="Satisfied"/>
    <n v="10"/>
  </r>
  <r>
    <d v="2021-05-06T00:29:14"/>
    <s v="21-3436"/>
    <s v="P090"/>
    <x v="3"/>
    <n v="57"/>
    <n v="19"/>
    <n v="228"/>
    <n v="76"/>
    <n v="152"/>
    <x v="74"/>
    <s v="Education"/>
    <n v="12.699346182652626"/>
    <s v="Neither"/>
    <n v="5"/>
  </r>
  <r>
    <d v="2020-04-26T03:53:48"/>
    <s v="20-4684"/>
    <s v="P058"/>
    <x v="12"/>
    <n v="356"/>
    <n v="89"/>
    <n v="2492"/>
    <n v="623"/>
    <n v="1869"/>
    <x v="13"/>
    <s v="Sports &amp; Recreation"/>
    <n v="12.163730387337393"/>
    <s v="Satisfied"/>
    <n v="10"/>
  </r>
  <r>
    <d v="2021-01-12T01:07:42"/>
    <s v="21-4819"/>
    <s v="P096"/>
    <x v="13"/>
    <n v="144"/>
    <n v="48"/>
    <n v="1440"/>
    <n v="480"/>
    <n v="960"/>
    <x v="159"/>
    <s v="Community &amp; Government"/>
    <n v="13.57003172959007"/>
    <s v="Satisfied"/>
    <n v="10"/>
  </r>
  <r>
    <d v="2022-03-20T11:36:15"/>
    <s v="22-4885"/>
    <s v="P052"/>
    <x v="5"/>
    <n v="352"/>
    <n v="88"/>
    <n v="1056"/>
    <n v="264"/>
    <n v="792"/>
    <x v="101"/>
    <s v="Sports &amp; Recreation"/>
    <n v="10.816866337473218"/>
    <s v="Neither"/>
    <n v="5"/>
  </r>
  <r>
    <d v="2020-06-29T07:48:49"/>
    <s v="20-4162"/>
    <s v="P093"/>
    <x v="1"/>
    <n v="384"/>
    <n v="96"/>
    <n v="3072"/>
    <n v="768"/>
    <n v="2304"/>
    <x v="270"/>
    <s v="Education"/>
    <n v="14.129095302641241"/>
    <s v="Neither"/>
    <n v="5"/>
  </r>
  <r>
    <d v="2018-10-25T05:52:28"/>
    <s v="18-4136"/>
    <s v="P086"/>
    <x v="15"/>
    <n v="352"/>
    <n v="88"/>
    <n v="5984"/>
    <n v="1496"/>
    <n v="4488"/>
    <x v="126"/>
    <s v="Creative &amp; Technology"/>
    <n v="12.399050786131125"/>
    <s v="Satisfied"/>
    <n v="10"/>
  </r>
  <r>
    <d v="2018-06-11T18:36:32"/>
    <s v="18-4138"/>
    <s v="P047"/>
    <x v="17"/>
    <n v="72"/>
    <n v="36"/>
    <n v="72"/>
    <n v="36"/>
    <n v="36"/>
    <x v="264"/>
    <s v="Education"/>
    <n v="10.818241047231139"/>
    <s v="Dissatisfied"/>
    <n v="1"/>
  </r>
  <r>
    <d v="2019-03-11T04:55:18"/>
    <s v="19-3835"/>
    <s v="P014"/>
    <x v="0"/>
    <n v="166"/>
    <n v="83"/>
    <n v="2490"/>
    <n v="1245"/>
    <n v="1245"/>
    <x v="180"/>
    <s v="Community &amp; Government"/>
    <n v="12.045339240427111"/>
    <s v="Neither"/>
    <n v="5"/>
  </r>
  <r>
    <d v="2019-04-17T18:00:40"/>
    <s v="19-2973"/>
    <s v="P086"/>
    <x v="5"/>
    <n v="352"/>
    <n v="88"/>
    <n v="1056"/>
    <n v="264"/>
    <n v="792"/>
    <x v="69"/>
    <s v="Healthcare &amp; Safety"/>
    <n v="9.3014286057233697"/>
    <s v="Neither"/>
    <n v="5"/>
  </r>
  <r>
    <d v="2020-06-05T22:20:50"/>
    <s v="20-4788"/>
    <s v="P023"/>
    <x v="15"/>
    <n v="126"/>
    <n v="42"/>
    <n v="2142"/>
    <n v="714"/>
    <n v="1428"/>
    <x v="195"/>
    <s v="Community &amp; Government"/>
    <n v="12.679725647708608"/>
    <s v="Neither"/>
    <n v="5"/>
  </r>
  <r>
    <d v="2020-07-01T14:30:08"/>
    <s v="20-4811"/>
    <s v="P037"/>
    <x v="11"/>
    <n v="160"/>
    <n v="80"/>
    <n v="2560"/>
    <n v="1280"/>
    <n v="1280"/>
    <x v="193"/>
    <s v="Corporate &amp; Professional"/>
    <n v="12.275875773922367"/>
    <s v="Satisfied"/>
    <n v="10"/>
  </r>
  <r>
    <d v="2021-03-23T20:51:21"/>
    <s v="21-4505"/>
    <s v="P099"/>
    <x v="8"/>
    <n v="132"/>
    <n v="33"/>
    <n v="1848"/>
    <n v="462"/>
    <n v="1386"/>
    <x v="157"/>
    <s v="Corporate &amp; Professional"/>
    <n v="13.917704159139552"/>
    <s v="Neither"/>
    <n v="5"/>
  </r>
  <r>
    <d v="2022-02-02T07:24:12"/>
    <s v="22-4701"/>
    <s v="P062"/>
    <x v="15"/>
    <n v="348"/>
    <n v="87"/>
    <n v="5916"/>
    <n v="1479"/>
    <n v="4437"/>
    <x v="90"/>
    <s v="Healthcare &amp; Safety"/>
    <n v="7.0114620475168028"/>
    <s v="Neither"/>
    <n v="5"/>
  </r>
  <r>
    <d v="2022-02-04T16:28:41"/>
    <s v="22-3246"/>
    <s v="P065"/>
    <x v="18"/>
    <n v="50"/>
    <n v="25"/>
    <n v="900"/>
    <n v="450"/>
    <n v="450"/>
    <x v="109"/>
    <s v="Sports &amp; Recreation"/>
    <n v="13.092530646074781"/>
    <s v="Neither"/>
    <n v="5"/>
  </r>
  <r>
    <d v="2019-04-04T23:10:31"/>
    <s v="19-2553"/>
    <s v="P032"/>
    <x v="1"/>
    <n v="92"/>
    <n v="46"/>
    <n v="736"/>
    <n v="368"/>
    <n v="368"/>
    <x v="69"/>
    <s v="Healthcare &amp; Safety"/>
    <n v="9.3014286057233697"/>
    <s v="Dissatisfied"/>
    <n v="1"/>
  </r>
  <r>
    <d v="2019-05-21T19:12:25"/>
    <s v="19-1466"/>
    <s v="P016"/>
    <x v="2"/>
    <n v="110"/>
    <n v="55"/>
    <n v="1430"/>
    <n v="715"/>
    <n v="715"/>
    <x v="248"/>
    <s v="Creative &amp; Technology"/>
    <n v="11.130819205617987"/>
    <s v="Dissatisfied"/>
    <n v="1"/>
  </r>
  <r>
    <d v="2020-02-05T18:10:00"/>
    <s v="20-1411"/>
    <s v="P066"/>
    <x v="16"/>
    <n v="34"/>
    <n v="17"/>
    <n v="306"/>
    <n v="153"/>
    <n v="153"/>
    <x v="63"/>
    <s v="Sports &amp; Recreation"/>
    <n v="14.030594525378042"/>
    <s v="Dissatisfied"/>
    <n v="1"/>
  </r>
  <r>
    <d v="2021-10-08T21:36:08"/>
    <s v="21-2659"/>
    <s v="P061"/>
    <x v="0"/>
    <n v="264"/>
    <n v="88"/>
    <n v="3960"/>
    <n v="1320"/>
    <n v="2640"/>
    <x v="105"/>
    <s v="Corporate &amp; Professional"/>
    <n v="11.070908141213383"/>
    <s v="Neither"/>
    <n v="5"/>
  </r>
  <r>
    <d v="2018-08-17T18:37:18"/>
    <s v="18-1275"/>
    <s v="P089"/>
    <x v="15"/>
    <n v="102"/>
    <n v="51"/>
    <n v="1734"/>
    <n v="867"/>
    <n v="867"/>
    <x v="272"/>
    <s v="Facilities &amp; Services"/>
    <n v="10.517826055804084"/>
    <s v="Neither"/>
    <n v="5"/>
  </r>
  <r>
    <d v="2018-09-19T01:19:57"/>
    <s v="18-4903"/>
    <s v="P068"/>
    <x v="2"/>
    <n v="300"/>
    <n v="75"/>
    <n v="3900"/>
    <n v="975"/>
    <n v="2925"/>
    <x v="81"/>
    <s v="Community &amp; Government"/>
    <n v="9.821882845934784"/>
    <s v="Satisfied"/>
    <n v="10"/>
  </r>
  <r>
    <d v="2019-03-26T09:53:39"/>
    <s v="19-2083"/>
    <s v="P039"/>
    <x v="13"/>
    <n v="270"/>
    <n v="90"/>
    <n v="2700"/>
    <n v="900"/>
    <n v="1800"/>
    <x v="65"/>
    <s v="Healthcare &amp; Safety"/>
    <n v="14.377134310720955"/>
    <s v="Neither"/>
    <n v="5"/>
  </r>
  <r>
    <d v="2020-12-15T03:54:08"/>
    <s v="20-4477"/>
    <s v="P010"/>
    <x v="11"/>
    <n v="144"/>
    <n v="36"/>
    <n v="2304"/>
    <n v="576"/>
    <n v="1728"/>
    <x v="238"/>
    <s v="Education"/>
    <n v="13.275355576494196"/>
    <s v="Dissatisfied"/>
    <n v="1"/>
  </r>
  <r>
    <d v="2020-02-11T18:24:13"/>
    <s v="20-2491"/>
    <s v="P015"/>
    <x v="2"/>
    <n v="176"/>
    <n v="88"/>
    <n v="2288"/>
    <n v="1144"/>
    <n v="1144"/>
    <x v="67"/>
    <s v="Community &amp; Government"/>
    <n v="11.346510807401776"/>
    <s v="Neither"/>
    <n v="5"/>
  </r>
  <r>
    <d v="2019-12-04T16:24:33"/>
    <s v="19-2379"/>
    <s v="P001"/>
    <x v="18"/>
    <n v="108"/>
    <n v="36"/>
    <n v="1944"/>
    <n v="648"/>
    <n v="1296"/>
    <x v="128"/>
    <s v="Healthcare &amp; Safety"/>
    <n v="10.96230865592911"/>
    <s v="Neither"/>
    <n v="5"/>
  </r>
  <r>
    <d v="2021-04-23T12:05:03"/>
    <s v="21-2370"/>
    <s v="P006"/>
    <x v="14"/>
    <n v="38"/>
    <n v="19"/>
    <n v="456"/>
    <n v="228"/>
    <n v="228"/>
    <x v="93"/>
    <s v="Facilities &amp; Services"/>
    <n v="10.966283117837653"/>
    <s v="Satisfied"/>
    <n v="10"/>
  </r>
  <r>
    <d v="2021-12-01T09:32:00"/>
    <s v="21-3401"/>
    <s v="P094"/>
    <x v="2"/>
    <n v="80"/>
    <n v="20"/>
    <n v="1040"/>
    <n v="260"/>
    <n v="780"/>
    <x v="135"/>
    <s v="Corporate &amp; Professional"/>
    <n v="10.408704992688252"/>
    <s v="Neither"/>
    <n v="5"/>
  </r>
  <r>
    <d v="2020-07-01T09:01:02"/>
    <s v="20-4202"/>
    <s v="P089"/>
    <x v="12"/>
    <n v="102"/>
    <n v="51"/>
    <n v="714"/>
    <n v="357"/>
    <n v="357"/>
    <x v="243"/>
    <s v="Creative &amp; Technology"/>
    <n v="11.952554704438674"/>
    <s v="Neither"/>
    <n v="5"/>
  </r>
  <r>
    <d v="2020-11-13T12:44:27"/>
    <s v="20-1183"/>
    <s v="P024"/>
    <x v="9"/>
    <n v="66"/>
    <n v="33"/>
    <n v="1320"/>
    <n v="660"/>
    <n v="660"/>
    <x v="77"/>
    <s v="Facilities &amp; Services"/>
    <n v="12.514998090845811"/>
    <s v="Dissatisfied"/>
    <n v="1"/>
  </r>
  <r>
    <d v="2021-07-17T06:32:50"/>
    <s v="21-3786"/>
    <s v="P021"/>
    <x v="15"/>
    <n v="207"/>
    <n v="69"/>
    <n v="3519"/>
    <n v="1173"/>
    <n v="2346"/>
    <x v="3"/>
    <s v="Facilities &amp; Services"/>
    <n v="10.06992029407844"/>
    <s v="Neither"/>
    <n v="5"/>
  </r>
  <r>
    <d v="2020-06-06T17:47:52"/>
    <s v="20-2080"/>
    <s v="P086"/>
    <x v="12"/>
    <n v="352"/>
    <n v="88"/>
    <n v="2464"/>
    <n v="616"/>
    <n v="1848"/>
    <x v="200"/>
    <s v="Community &amp; Government"/>
    <n v="12.460490918487697"/>
    <s v="Neither"/>
    <n v="5"/>
  </r>
  <r>
    <d v="2019-03-25T18:15:30"/>
    <s v="19-3795"/>
    <s v="P036"/>
    <x v="4"/>
    <n v="280"/>
    <n v="70"/>
    <n v="560"/>
    <n v="140"/>
    <n v="420"/>
    <x v="32"/>
    <s v="Facilities &amp; Services"/>
    <n v="11.410471033945758"/>
    <s v="Neither"/>
    <n v="5"/>
  </r>
  <r>
    <d v="2023-08-24T02:34:22"/>
    <s v="23-4357"/>
    <s v="P066"/>
    <x v="16"/>
    <n v="34"/>
    <n v="17"/>
    <n v="306"/>
    <n v="153"/>
    <n v="153"/>
    <x v="45"/>
    <s v="Sports &amp; Recreation"/>
    <n v="12.1334991293512"/>
    <s v="Neither"/>
    <n v="5"/>
  </r>
  <r>
    <d v="2019-01-09T16:45:34"/>
    <s v="19-2346"/>
    <s v="P062"/>
    <x v="13"/>
    <n v="348"/>
    <n v="87"/>
    <n v="3480"/>
    <n v="870"/>
    <n v="2610"/>
    <x v="154"/>
    <s v="Sports &amp; Recreation"/>
    <n v="8.8878868765808274"/>
    <s v="Neither"/>
    <n v="5"/>
  </r>
  <r>
    <d v="2019-11-27T00:25:52"/>
    <s v="19-4888"/>
    <s v="P086"/>
    <x v="11"/>
    <n v="352"/>
    <n v="88"/>
    <n v="5632"/>
    <n v="1408"/>
    <n v="4224"/>
    <x v="8"/>
    <s v="Sports &amp; Recreation"/>
    <n v="10.988762477277161"/>
    <s v="Dissatisfied"/>
    <n v="1"/>
  </r>
  <r>
    <d v="2021-05-05T08:05:34"/>
    <s v="21-3324"/>
    <s v="P020"/>
    <x v="7"/>
    <n v="180"/>
    <n v="45"/>
    <n v="1980"/>
    <n v="495"/>
    <n v="1485"/>
    <x v="55"/>
    <s v="Creative &amp; Technology"/>
    <n v="13.765798454641494"/>
    <s v="Dissatisfied"/>
    <n v="1"/>
  </r>
  <r>
    <d v="2019-09-04T00:07:35"/>
    <s v="19-2872"/>
    <s v="P012"/>
    <x v="2"/>
    <n v="30"/>
    <n v="15"/>
    <n v="390"/>
    <n v="195"/>
    <n v="195"/>
    <x v="113"/>
    <s v="Community &amp; Government"/>
    <n v="11.655355879643379"/>
    <s v="Neither"/>
    <n v="5"/>
  </r>
  <r>
    <d v="2023-01-09T19:59:19"/>
    <s v="23-2873"/>
    <s v="P091"/>
    <x v="7"/>
    <n v="204"/>
    <n v="51"/>
    <n v="2244"/>
    <n v="561"/>
    <n v="1683"/>
    <x v="88"/>
    <s v="Facilities &amp; Services"/>
    <n v="14.906846445071711"/>
    <s v="Dissatisfied"/>
    <n v="1"/>
  </r>
  <r>
    <d v="2019-09-13T21:40:36"/>
    <s v="19-3991"/>
    <s v="P033"/>
    <x v="19"/>
    <n v="57"/>
    <n v="19"/>
    <n v="1083"/>
    <n v="361"/>
    <n v="722"/>
    <x v="207"/>
    <s v="Education"/>
    <n v="11.779256317174871"/>
    <s v="Satisfied"/>
    <n v="10"/>
  </r>
  <r>
    <d v="2019-05-05T00:02:39"/>
    <s v="19-4147"/>
    <s v="P016"/>
    <x v="7"/>
    <n v="110"/>
    <n v="55"/>
    <n v="1210"/>
    <n v="605"/>
    <n v="605"/>
    <x v="62"/>
    <s v="Education"/>
    <n v="12.396052160428608"/>
    <s v="Dissatisfied"/>
    <n v="1"/>
  </r>
  <r>
    <d v="2019-06-28T11:49:03"/>
    <s v="19-3106"/>
    <s v="P057"/>
    <x v="16"/>
    <n v="252"/>
    <n v="63"/>
    <n v="2268"/>
    <n v="567"/>
    <n v="1701"/>
    <x v="259"/>
    <s v="Education"/>
    <n v="15.268550004010105"/>
    <s v="Satisfied"/>
    <n v="10"/>
  </r>
  <r>
    <d v="2020-05-23T07:10:26"/>
    <s v="20-4105"/>
    <s v="P100"/>
    <x v="2"/>
    <n v="46"/>
    <n v="23"/>
    <n v="598"/>
    <n v="299"/>
    <n v="299"/>
    <x v="13"/>
    <s v="Sports &amp; Recreation"/>
    <n v="12.163730387337393"/>
    <s v="Dissatisfied"/>
    <n v="1"/>
  </r>
  <r>
    <d v="2019-07-01T15:28:32"/>
    <s v="19-1601"/>
    <s v="P061"/>
    <x v="5"/>
    <n v="264"/>
    <n v="88"/>
    <n v="792"/>
    <n v="264"/>
    <n v="528"/>
    <x v="197"/>
    <s v="Community &amp; Government"/>
    <n v="10.163794912095831"/>
    <s v="Neither"/>
    <n v="5"/>
  </r>
  <r>
    <d v="2018-09-22T13:24:36"/>
    <s v="18-3678"/>
    <s v="P048"/>
    <x v="17"/>
    <n v="252"/>
    <n v="63"/>
    <n v="252"/>
    <n v="63"/>
    <n v="189"/>
    <x v="27"/>
    <s v="Healthcare &amp; Safety"/>
    <n v="10.42743035829395"/>
    <s v="Neither"/>
    <n v="5"/>
  </r>
  <r>
    <d v="2017-11-30T17:12:41"/>
    <s v="17-3724"/>
    <s v="P041"/>
    <x v="2"/>
    <n v="144"/>
    <n v="36"/>
    <n v="1872"/>
    <n v="468"/>
    <n v="1404"/>
    <x v="201"/>
    <s v="Community &amp; Government"/>
    <n v="8.1628930629234038"/>
    <s v="Dissatisfied"/>
    <n v="1"/>
  </r>
  <r>
    <d v="2020-05-20T13:00:26"/>
    <s v="20-3535"/>
    <s v="P100"/>
    <x v="13"/>
    <n v="46"/>
    <n v="23"/>
    <n v="460"/>
    <n v="230"/>
    <n v="230"/>
    <x v="198"/>
    <s v="Corporate &amp; Professional"/>
    <n v="6.9183250411917196"/>
    <s v="Neither"/>
    <n v="5"/>
  </r>
  <r>
    <d v="2020-01-17T10:45:03"/>
    <s v="20-4040"/>
    <s v="P070"/>
    <x v="1"/>
    <n v="84"/>
    <n v="21"/>
    <n v="672"/>
    <n v="168"/>
    <n v="504"/>
    <x v="40"/>
    <s v="Corporate &amp; Professional"/>
    <n v="14.370283356317486"/>
    <s v="Satisfied"/>
    <n v="10"/>
  </r>
  <r>
    <d v="2022-07-09T23:45:56"/>
    <s v="22-3230"/>
    <s v="P076"/>
    <x v="3"/>
    <n v="94"/>
    <n v="47"/>
    <n v="376"/>
    <n v="188"/>
    <n v="188"/>
    <x v="120"/>
    <s v="Education"/>
    <n v="9.4239783062860578"/>
    <s v="Neither"/>
    <n v="5"/>
  </r>
  <r>
    <d v="2024-01-11T06:00:15"/>
    <s v="24-1637"/>
    <s v="P076"/>
    <x v="6"/>
    <n v="94"/>
    <n v="47"/>
    <n v="564"/>
    <n v="282"/>
    <n v="282"/>
    <x v="225"/>
    <s v="Healthcare &amp; Safety"/>
    <n v="9.4608554813364627"/>
    <s v="Neither"/>
    <n v="5"/>
  </r>
  <r>
    <d v="2021-04-11T09:32:08"/>
    <s v="21-1801"/>
    <s v="P096"/>
    <x v="14"/>
    <n v="144"/>
    <n v="48"/>
    <n v="1728"/>
    <n v="576"/>
    <n v="1152"/>
    <x v="201"/>
    <s v="Community &amp; Government"/>
    <n v="8.1628930629234038"/>
    <s v="Satisfied"/>
    <n v="10"/>
  </r>
  <r>
    <d v="2022-05-20T11:13:08"/>
    <s v="22-3162"/>
    <s v="P092"/>
    <x v="15"/>
    <n v="124"/>
    <n v="62"/>
    <n v="2108"/>
    <n v="1054"/>
    <n v="1054"/>
    <x v="84"/>
    <s v="Corporate &amp; Professional"/>
    <n v="11.428575823958646"/>
    <s v="Neither"/>
    <n v="5"/>
  </r>
  <r>
    <d v="2021-10-06T08:07:26"/>
    <s v="21-4522"/>
    <s v="P092"/>
    <x v="4"/>
    <n v="124"/>
    <n v="62"/>
    <n v="248"/>
    <n v="124"/>
    <n v="124"/>
    <x v="211"/>
    <s v="Healthcare &amp; Safety"/>
    <n v="13.106678263594747"/>
    <s v="Neither"/>
    <n v="5"/>
  </r>
  <r>
    <d v="2019-06-11T17:45:42"/>
    <s v="19-1876"/>
    <s v="P033"/>
    <x v="11"/>
    <n v="57"/>
    <n v="19"/>
    <n v="912"/>
    <n v="304"/>
    <n v="608"/>
    <x v="45"/>
    <s v="Sports &amp; Recreation"/>
    <n v="12.1334991293512"/>
    <s v="Dissatisfied"/>
    <n v="1"/>
  </r>
  <r>
    <d v="2017-06-29T02:48:06"/>
    <s v="17-2102"/>
    <s v="P088"/>
    <x v="18"/>
    <n v="192"/>
    <n v="96"/>
    <n v="3456"/>
    <n v="1728"/>
    <n v="1728"/>
    <x v="258"/>
    <s v="Corporate &amp; Professional"/>
    <n v="14.538471643780088"/>
    <s v="Dissatisfied"/>
    <n v="1"/>
  </r>
  <r>
    <d v="2021-02-03T10:40:05"/>
    <s v="21-1417"/>
    <s v="P007"/>
    <x v="10"/>
    <n v="225"/>
    <n v="75"/>
    <n v="1125"/>
    <n v="375"/>
    <n v="750"/>
    <x v="268"/>
    <s v="Sports &amp; Recreation"/>
    <n v="11.593991859287692"/>
    <s v="Neither"/>
    <n v="5"/>
  </r>
  <r>
    <d v="2018-08-20T23:55:36"/>
    <s v="18-1173"/>
    <s v="P062"/>
    <x v="4"/>
    <n v="348"/>
    <n v="87"/>
    <n v="696"/>
    <n v="174"/>
    <n v="522"/>
    <x v="92"/>
    <s v="Education"/>
    <n v="11.99399163482429"/>
    <s v="Dissatisfied"/>
    <n v="1"/>
  </r>
  <r>
    <d v="2019-06-15T08:58:33"/>
    <s v="19-2487"/>
    <s v="P087"/>
    <x v="18"/>
    <n v="176"/>
    <n v="88"/>
    <n v="3168"/>
    <n v="1584"/>
    <n v="1584"/>
    <x v="216"/>
    <s v="Corporate &amp; Professional"/>
    <n v="9.1057685343725456"/>
    <s v="Satisfied"/>
    <n v="10"/>
  </r>
  <r>
    <d v="2018-10-05T01:58:31"/>
    <s v="18-4101"/>
    <s v="P039"/>
    <x v="2"/>
    <n v="270"/>
    <n v="90"/>
    <n v="3510"/>
    <n v="1170"/>
    <n v="2340"/>
    <x v="86"/>
    <s v="Community &amp; Government"/>
    <n v="12.758430621858414"/>
    <s v="Dissatisfied"/>
    <n v="1"/>
  </r>
  <r>
    <d v="2019-09-22T05:05:32"/>
    <s v="19-1706"/>
    <s v="P076"/>
    <x v="19"/>
    <n v="94"/>
    <n v="47"/>
    <n v="1786"/>
    <n v="893"/>
    <n v="893"/>
    <x v="16"/>
    <s v="Sports &amp; Recreation"/>
    <n v="12.865074657680612"/>
    <s v="Neither"/>
    <n v="5"/>
  </r>
  <r>
    <d v="2019-04-10T21:06:13"/>
    <s v="19-4364"/>
    <s v="P025"/>
    <x v="9"/>
    <n v="210"/>
    <n v="70"/>
    <n v="4200"/>
    <n v="1400"/>
    <n v="2800"/>
    <x v="27"/>
    <s v="Healthcare &amp; Safety"/>
    <n v="10.42743035829395"/>
    <s v="Neither"/>
    <n v="5"/>
  </r>
  <r>
    <d v="2022-08-05T20:32:08"/>
    <s v="22-4344"/>
    <s v="P068"/>
    <x v="3"/>
    <n v="300"/>
    <n v="75"/>
    <n v="1200"/>
    <n v="300"/>
    <n v="900"/>
    <x v="44"/>
    <s v="Corporate &amp; Professional"/>
    <n v="9.9311000381363836"/>
    <s v="Neither"/>
    <n v="5"/>
  </r>
  <r>
    <d v="2021-10-27T03:54:56"/>
    <s v="21-4195"/>
    <s v="P079"/>
    <x v="7"/>
    <n v="188"/>
    <n v="94"/>
    <n v="2068"/>
    <n v="1034"/>
    <n v="1034"/>
    <x v="57"/>
    <s v="Facilities &amp; Services"/>
    <n v="12.177709716438097"/>
    <s v="Neither"/>
    <n v="5"/>
  </r>
  <r>
    <d v="2020-05-14T12:04:13"/>
    <s v="20-3510"/>
    <s v="P086"/>
    <x v="5"/>
    <n v="352"/>
    <n v="88"/>
    <n v="1056"/>
    <n v="264"/>
    <n v="792"/>
    <x v="121"/>
    <s v="Creative &amp; Technology"/>
    <n v="11.394777319422785"/>
    <s v="Satisfied"/>
    <n v="10"/>
  </r>
  <r>
    <d v="2019-03-08T15:25:17"/>
    <s v="19-4598"/>
    <s v="P056"/>
    <x v="17"/>
    <n v="72"/>
    <n v="36"/>
    <n v="72"/>
    <n v="36"/>
    <n v="36"/>
    <x v="62"/>
    <s v="Education"/>
    <n v="12.396052160428608"/>
    <s v="Satisfied"/>
    <n v="10"/>
  </r>
  <r>
    <d v="2019-11-21T15:24:42"/>
    <s v="19-1113"/>
    <s v="P045"/>
    <x v="18"/>
    <n v="100"/>
    <n v="25"/>
    <n v="1800"/>
    <n v="450"/>
    <n v="1350"/>
    <x v="71"/>
    <s v="Corporate &amp; Professional"/>
    <n v="11.274864741138284"/>
    <s v="Satisfied"/>
    <n v="10"/>
  </r>
  <r>
    <d v="2023-12-23T00:23:54"/>
    <s v="23-4665"/>
    <s v="P013"/>
    <x v="8"/>
    <n v="58"/>
    <n v="29"/>
    <n v="812"/>
    <n v="406"/>
    <n v="406"/>
    <x v="55"/>
    <s v="Creative &amp; Technology"/>
    <n v="13.765798454641494"/>
    <s v="Satisfied"/>
    <n v="10"/>
  </r>
  <r>
    <d v="2019-09-30T07:43:25"/>
    <s v="19-4101"/>
    <s v="P032"/>
    <x v="5"/>
    <n v="92"/>
    <n v="46"/>
    <n v="276"/>
    <n v="138"/>
    <n v="138"/>
    <x v="276"/>
    <s v="Education"/>
    <n v="10.518436853046438"/>
    <s v="Satisfied"/>
    <n v="10"/>
  </r>
  <r>
    <d v="2019-10-24T02:42:48"/>
    <s v="19-1894"/>
    <s v="P050"/>
    <x v="14"/>
    <n v="108"/>
    <n v="36"/>
    <n v="1296"/>
    <n v="432"/>
    <n v="864"/>
    <x v="82"/>
    <s v="Creative &amp; Technology"/>
    <n v="11.883396013219548"/>
    <s v="Neither"/>
    <n v="5"/>
  </r>
  <r>
    <d v="2019-12-15T22:02:00"/>
    <s v="19-2131"/>
    <s v="P071"/>
    <x v="14"/>
    <n v="210"/>
    <n v="70"/>
    <n v="2520"/>
    <n v="840"/>
    <n v="1680"/>
    <x v="25"/>
    <s v="Sports &amp; Recreation"/>
    <n v="11.128721898968678"/>
    <s v="Neither"/>
    <n v="5"/>
  </r>
  <r>
    <d v="2020-04-07T02:49:33"/>
    <s v="20-1604"/>
    <s v="P083"/>
    <x v="9"/>
    <n v="90"/>
    <n v="45"/>
    <n v="1800"/>
    <n v="900"/>
    <n v="900"/>
    <x v="164"/>
    <s v="Education"/>
    <n v="10.954865572729823"/>
    <s v="Satisfied"/>
    <n v="10"/>
  </r>
  <r>
    <d v="2021-04-03T17:50:53"/>
    <s v="21-4071"/>
    <s v="P095"/>
    <x v="14"/>
    <n v="116"/>
    <n v="29"/>
    <n v="1392"/>
    <n v="348"/>
    <n v="1044"/>
    <x v="234"/>
    <s v="Creative &amp; Technology"/>
    <n v="12.990345718839325"/>
    <s v="Neither"/>
    <n v="5"/>
  </r>
  <r>
    <d v="2021-04-11T14:33:29"/>
    <s v="21-3201"/>
    <s v="P092"/>
    <x v="1"/>
    <n v="124"/>
    <n v="62"/>
    <n v="992"/>
    <n v="496"/>
    <n v="496"/>
    <x v="246"/>
    <s v="Facilities &amp; Services"/>
    <n v="13.853438793083487"/>
    <s v="Neither"/>
    <n v="5"/>
  </r>
  <r>
    <d v="2019-07-26T03:09:20"/>
    <s v="19-3913"/>
    <s v="P026"/>
    <x v="4"/>
    <n v="280"/>
    <n v="70"/>
    <n v="560"/>
    <n v="140"/>
    <n v="420"/>
    <x v="35"/>
    <s v="Sports &amp; Recreation"/>
    <n v="12.487915239531313"/>
    <s v="Dissatisfied"/>
    <n v="1"/>
  </r>
  <r>
    <d v="2022-07-11T02:15:21"/>
    <s v="22-2994"/>
    <s v="P032"/>
    <x v="4"/>
    <n v="92"/>
    <n v="46"/>
    <n v="184"/>
    <n v="92"/>
    <n v="92"/>
    <x v="259"/>
    <s v="Education"/>
    <n v="15.268550004010105"/>
    <s v="Neither"/>
    <n v="5"/>
  </r>
  <r>
    <d v="2018-02-05T23:08:00"/>
    <s v="18-2123"/>
    <s v="P026"/>
    <x v="2"/>
    <n v="280"/>
    <n v="70"/>
    <n v="3640"/>
    <n v="910"/>
    <n v="2730"/>
    <x v="251"/>
    <s v="Creative &amp; Technology"/>
    <n v="9.1591412531773226"/>
    <s v="Dissatisfied"/>
    <n v="1"/>
  </r>
  <r>
    <d v="2018-10-16T20:41:53"/>
    <s v="18-2125"/>
    <s v="P061"/>
    <x v="14"/>
    <n v="264"/>
    <n v="88"/>
    <n v="3168"/>
    <n v="1056"/>
    <n v="2112"/>
    <x v="130"/>
    <s v="Healthcare &amp; Safety"/>
    <n v="13.923194761258239"/>
    <s v="Satisfied"/>
    <n v="10"/>
  </r>
  <r>
    <d v="2018-06-30T10:00:59"/>
    <s v="18-1029"/>
    <s v="P060"/>
    <x v="10"/>
    <n v="300"/>
    <n v="75"/>
    <n v="1500"/>
    <n v="375"/>
    <n v="1125"/>
    <x v="204"/>
    <s v="Corporate &amp; Professional"/>
    <n v="10.248947386022252"/>
    <s v="Neither"/>
    <n v="5"/>
  </r>
  <r>
    <d v="2020-05-19T04:41:40"/>
    <s v="20-1443"/>
    <s v="P039"/>
    <x v="0"/>
    <n v="270"/>
    <n v="90"/>
    <n v="4050"/>
    <n v="1350"/>
    <n v="2700"/>
    <x v="163"/>
    <s v="Corporate &amp; Professional"/>
    <n v="14.554851510602212"/>
    <s v="Neither"/>
    <n v="5"/>
  </r>
  <r>
    <d v="2020-02-25T09:57:07"/>
    <s v="20-4185"/>
    <s v="P076"/>
    <x v="12"/>
    <n v="94"/>
    <n v="47"/>
    <n v="658"/>
    <n v="329"/>
    <n v="329"/>
    <x v="185"/>
    <s v="Education"/>
    <n v="13.466362789017223"/>
    <s v="Dissatisfied"/>
    <n v="1"/>
  </r>
  <r>
    <d v="2020-08-27T08:55:19"/>
    <s v="20-1466"/>
    <s v="P018"/>
    <x v="11"/>
    <n v="108"/>
    <n v="54"/>
    <n v="1728"/>
    <n v="864"/>
    <n v="864"/>
    <x v="94"/>
    <s v="Corporate &amp; Professional"/>
    <n v="9.0350666811770921"/>
    <s v="Neither"/>
    <n v="5"/>
  </r>
  <r>
    <d v="2022-01-28T12:20:05"/>
    <s v="22-2143"/>
    <s v="P096"/>
    <x v="15"/>
    <n v="144"/>
    <n v="48"/>
    <n v="2448"/>
    <n v="816"/>
    <n v="1632"/>
    <x v="206"/>
    <s v="Community &amp; Government"/>
    <n v="12.699042739101285"/>
    <s v="Neither"/>
    <n v="5"/>
  </r>
  <r>
    <d v="2021-08-30T20:54:01"/>
    <s v="21-2446"/>
    <s v="P009"/>
    <x v="10"/>
    <n v="255"/>
    <n v="85"/>
    <n v="1275"/>
    <n v="425"/>
    <n v="850"/>
    <x v="89"/>
    <s v="Community &amp; Government"/>
    <n v="10.317615395419679"/>
    <s v="Neither"/>
    <n v="5"/>
  </r>
  <r>
    <d v="2022-05-10T21:01:07"/>
    <s v="22-1962"/>
    <s v="P053"/>
    <x v="1"/>
    <n v="50"/>
    <n v="25"/>
    <n v="400"/>
    <n v="200"/>
    <n v="200"/>
    <x v="95"/>
    <s v="Facilities &amp; Services"/>
    <n v="7.7337149713827413"/>
    <s v="Neither"/>
    <n v="5"/>
  </r>
  <r>
    <d v="2020-10-12T02:29:47"/>
    <s v="20-3652"/>
    <s v="P100"/>
    <x v="15"/>
    <n v="46"/>
    <n v="23"/>
    <n v="782"/>
    <n v="391"/>
    <n v="391"/>
    <x v="89"/>
    <s v="Community &amp; Government"/>
    <n v="10.317615395419679"/>
    <s v="Dissatisfied"/>
    <n v="1"/>
  </r>
  <r>
    <d v="2020-12-19T01:50:11"/>
    <s v="20-4141"/>
    <s v="P047"/>
    <x v="8"/>
    <n v="72"/>
    <n v="36"/>
    <n v="1008"/>
    <n v="504"/>
    <n v="504"/>
    <x v="191"/>
    <s v="Corporate &amp; Professional"/>
    <n v="12.131375018945562"/>
    <s v="Satisfied"/>
    <n v="10"/>
  </r>
  <r>
    <d v="2020-02-29T08:37:05"/>
    <s v="20-4261"/>
    <s v="P030"/>
    <x v="8"/>
    <n v="81"/>
    <n v="27"/>
    <n v="1134"/>
    <n v="378"/>
    <n v="756"/>
    <x v="8"/>
    <s v="Sports &amp; Recreation"/>
    <n v="10.988762477277161"/>
    <s v="Satisfied"/>
    <n v="10"/>
  </r>
  <r>
    <d v="2019-02-24T17:38:18"/>
    <s v="19-3619"/>
    <s v="P006"/>
    <x v="3"/>
    <n v="38"/>
    <n v="19"/>
    <n v="152"/>
    <n v="76"/>
    <n v="76"/>
    <x v="68"/>
    <s v="Sports &amp; Recreation"/>
    <n v="12.200533931675887"/>
    <s v="Satisfied"/>
    <n v="10"/>
  </r>
  <r>
    <d v="2019-01-18T07:19:16"/>
    <s v="19-4243"/>
    <s v="P099"/>
    <x v="18"/>
    <n v="132"/>
    <n v="33"/>
    <n v="2376"/>
    <n v="594"/>
    <n v="1782"/>
    <x v="73"/>
    <s v="Creative &amp; Technology"/>
    <n v="15.234329552872023"/>
    <s v="Neither"/>
    <n v="5"/>
  </r>
  <r>
    <d v="2023-01-18T19:09:19"/>
    <s v="23-3209"/>
    <s v="P027"/>
    <x v="3"/>
    <n v="140"/>
    <n v="70"/>
    <n v="560"/>
    <n v="280"/>
    <n v="280"/>
    <x v="40"/>
    <s v="Corporate &amp; Professional"/>
    <n v="14.370283356317486"/>
    <s v="Satisfied"/>
    <n v="10"/>
  </r>
  <r>
    <d v="2019-09-08T07:56:50"/>
    <s v="19-4009"/>
    <s v="P025"/>
    <x v="8"/>
    <n v="210"/>
    <n v="70"/>
    <n v="2940"/>
    <n v="980"/>
    <n v="1960"/>
    <x v="144"/>
    <s v="Education"/>
    <n v="16.368863536738775"/>
    <s v="Neither"/>
    <n v="5"/>
  </r>
  <r>
    <d v="2020-03-14T15:52:23"/>
    <s v="20-2479"/>
    <s v="P078"/>
    <x v="10"/>
    <n v="225"/>
    <n v="75"/>
    <n v="1125"/>
    <n v="375"/>
    <n v="750"/>
    <x v="83"/>
    <s v="Sports &amp; Recreation"/>
    <n v="11.504886852416154"/>
    <s v="Neither"/>
    <n v="5"/>
  </r>
  <r>
    <d v="2017-07-14T10:04:42"/>
    <s v="17-2584"/>
    <s v="P015"/>
    <x v="16"/>
    <n v="176"/>
    <n v="88"/>
    <n v="1584"/>
    <n v="792"/>
    <n v="792"/>
    <x v="9"/>
    <s v="Sports &amp; Recreation"/>
    <n v="15.602184182549776"/>
    <s v="Dissatisfied"/>
    <n v="1"/>
  </r>
  <r>
    <d v="2021-04-30T14:01:36"/>
    <s v="21-2446"/>
    <s v="P010"/>
    <x v="17"/>
    <n v="144"/>
    <n v="36"/>
    <n v="144"/>
    <n v="36"/>
    <n v="108"/>
    <x v="193"/>
    <s v="Corporate &amp; Professional"/>
    <n v="12.275875773922367"/>
    <s v="Neither"/>
    <n v="5"/>
  </r>
  <r>
    <d v="2018-12-27T13:48:09"/>
    <s v="18-1355"/>
    <s v="P088"/>
    <x v="9"/>
    <n v="192"/>
    <n v="96"/>
    <n v="3840"/>
    <n v="1920"/>
    <n v="1920"/>
    <x v="237"/>
    <s v="Creative &amp; Technology"/>
    <n v="11.485823039755857"/>
    <s v="Dissatisfied"/>
    <n v="1"/>
  </r>
  <r>
    <d v="2018-07-23T22:04:47"/>
    <s v="18-1286"/>
    <s v="P056"/>
    <x v="17"/>
    <n v="72"/>
    <n v="36"/>
    <n v="72"/>
    <n v="36"/>
    <n v="36"/>
    <x v="233"/>
    <s v="Education"/>
    <n v="9.5176115401380308"/>
    <s v="Neither"/>
    <n v="5"/>
  </r>
  <r>
    <d v="2019-10-30T17:09:42"/>
    <s v="19-4401"/>
    <s v="P072"/>
    <x v="13"/>
    <n v="132"/>
    <n v="44"/>
    <n v="1320"/>
    <n v="440"/>
    <n v="880"/>
    <x v="13"/>
    <s v="Sports &amp; Recreation"/>
    <n v="12.163730387337393"/>
    <s v="Dissatisfied"/>
    <n v="1"/>
  </r>
  <r>
    <d v="2021-04-30T22:53:56"/>
    <s v="21-1642"/>
    <s v="P090"/>
    <x v="15"/>
    <n v="57"/>
    <n v="19"/>
    <n v="969"/>
    <n v="323"/>
    <n v="646"/>
    <x v="55"/>
    <s v="Creative &amp; Technology"/>
    <n v="13.765798454641494"/>
    <s v="Dissatisfied"/>
    <n v="1"/>
  </r>
  <r>
    <d v="2021-06-14T08:20:46"/>
    <s v="21-2601"/>
    <s v="P053"/>
    <x v="1"/>
    <n v="50"/>
    <n v="25"/>
    <n v="400"/>
    <n v="200"/>
    <n v="200"/>
    <x v="12"/>
    <s v="Creative &amp; Technology"/>
    <n v="9.8384363471888783"/>
    <s v="Neither"/>
    <n v="5"/>
  </r>
  <r>
    <d v="2020-09-08T13:46:22"/>
    <s v="20-4239"/>
    <s v="P019"/>
    <x v="12"/>
    <n v="308"/>
    <n v="77"/>
    <n v="2156"/>
    <n v="539"/>
    <n v="1617"/>
    <x v="118"/>
    <s v="Community &amp; Government"/>
    <n v="15.60430546146185"/>
    <s v="Satisfied"/>
    <n v="10"/>
  </r>
  <r>
    <d v="2021-08-22T18:57:59"/>
    <s v="21-1734"/>
    <s v="P030"/>
    <x v="12"/>
    <n v="81"/>
    <n v="27"/>
    <n v="567"/>
    <n v="189"/>
    <n v="378"/>
    <x v="143"/>
    <s v="Community &amp; Government"/>
    <n v="12.732640267350657"/>
    <s v="Neither"/>
    <n v="5"/>
  </r>
  <r>
    <d v="2021-03-09T08:16:01"/>
    <s v="21-1226"/>
    <s v="P006"/>
    <x v="12"/>
    <n v="38"/>
    <n v="19"/>
    <n v="266"/>
    <n v="133"/>
    <n v="133"/>
    <x v="222"/>
    <s v="Community &amp; Government"/>
    <n v="13.095446915421235"/>
    <s v="Neither"/>
    <n v="5"/>
  </r>
  <r>
    <d v="2019-11-25T08:14:31"/>
    <s v="19-3291"/>
    <s v="P070"/>
    <x v="12"/>
    <n v="84"/>
    <n v="21"/>
    <n v="588"/>
    <n v="147"/>
    <n v="441"/>
    <x v="175"/>
    <s v="Creative &amp; Technology"/>
    <n v="13.150536103258979"/>
    <s v="Satisfied"/>
    <n v="10"/>
  </r>
  <r>
    <d v="2020-10-20T13:47:32"/>
    <s v="20-1955"/>
    <s v="P017"/>
    <x v="11"/>
    <n v="120"/>
    <n v="30"/>
    <n v="1920"/>
    <n v="480"/>
    <n v="1440"/>
    <x v="250"/>
    <s v="Community &amp; Government"/>
    <n v="9.2053706474810433"/>
    <s v="Neither"/>
    <n v="5"/>
  </r>
  <r>
    <d v="2019-11-25T05:58:35"/>
    <s v="19-2367"/>
    <s v="P098"/>
    <x v="4"/>
    <n v="201"/>
    <n v="67"/>
    <n v="402"/>
    <n v="134"/>
    <n v="268"/>
    <x v="223"/>
    <s v="Education"/>
    <n v="11.661237375491201"/>
    <s v="Neither"/>
    <n v="5"/>
  </r>
  <r>
    <d v="2021-02-25T08:01:54"/>
    <s v="21-3923"/>
    <s v="P093"/>
    <x v="0"/>
    <n v="384"/>
    <n v="96"/>
    <n v="5760"/>
    <n v="1440"/>
    <n v="4320"/>
    <x v="285"/>
    <s v="Healthcare &amp; Safety"/>
    <n v="13.2671922973198"/>
    <s v="Neither"/>
    <n v="5"/>
  </r>
  <r>
    <d v="2020-12-20T01:46:28"/>
    <s v="20-2203"/>
    <s v="P001"/>
    <x v="2"/>
    <n v="108"/>
    <n v="36"/>
    <n v="1404"/>
    <n v="468"/>
    <n v="936"/>
    <x v="84"/>
    <s v="Corporate &amp; Professional"/>
    <n v="11.428575823958646"/>
    <s v="Dissatisfied"/>
    <n v="1"/>
  </r>
  <r>
    <d v="2023-06-01T00:29:29"/>
    <s v="23-4735"/>
    <s v="P034"/>
    <x v="15"/>
    <n v="114"/>
    <n v="57"/>
    <n v="1938"/>
    <n v="969"/>
    <n v="969"/>
    <x v="73"/>
    <s v="Creative &amp; Technology"/>
    <n v="15.234329552872023"/>
    <s v="Satisfied"/>
    <n v="10"/>
  </r>
  <r>
    <d v="2020-01-24T11:34:43"/>
    <s v="20-2731"/>
    <s v="P071"/>
    <x v="18"/>
    <n v="210"/>
    <n v="70"/>
    <n v="3780"/>
    <n v="1260"/>
    <n v="2520"/>
    <x v="12"/>
    <s v="Creative &amp; Technology"/>
    <n v="9.8384363471888783"/>
    <s v="Neither"/>
    <n v="5"/>
  </r>
  <r>
    <d v="2020-02-18T10:58:06"/>
    <s v="20-2126"/>
    <s v="P020"/>
    <x v="15"/>
    <n v="180"/>
    <n v="45"/>
    <n v="3060"/>
    <n v="765"/>
    <n v="2295"/>
    <x v="154"/>
    <s v="Sports &amp; Recreation"/>
    <n v="8.8878868765808274"/>
    <s v="Neither"/>
    <n v="5"/>
  </r>
  <r>
    <d v="2018-12-27T02:06:31"/>
    <s v="18-2392"/>
    <s v="P049"/>
    <x v="19"/>
    <n v="356"/>
    <n v="89"/>
    <n v="6764"/>
    <n v="1691"/>
    <n v="5073"/>
    <x v="137"/>
    <s v="Facilities &amp; Services"/>
    <n v="15.861056998489449"/>
    <s v="Satisfied"/>
    <n v="10"/>
  </r>
  <r>
    <d v="2019-09-09T21:59:29"/>
    <s v="19-1368"/>
    <s v="P004"/>
    <x v="14"/>
    <n v="189"/>
    <n v="63"/>
    <n v="2268"/>
    <n v="756"/>
    <n v="1512"/>
    <x v="287"/>
    <s v="Community &amp; Government"/>
    <n v="14.412865837260112"/>
    <s v="Neither"/>
    <n v="5"/>
  </r>
  <r>
    <d v="2022-02-26T15:43:41"/>
    <s v="22-2470"/>
    <s v="P047"/>
    <x v="1"/>
    <n v="72"/>
    <n v="36"/>
    <n v="576"/>
    <n v="288"/>
    <n v="288"/>
    <x v="51"/>
    <s v="Facilities &amp; Services"/>
    <n v="10.523527521613014"/>
    <s v="Neither"/>
    <n v="5"/>
  </r>
  <r>
    <d v="2023-10-30T23:38:52"/>
    <s v="23-1994"/>
    <s v="P085"/>
    <x v="17"/>
    <n v="320"/>
    <n v="80"/>
    <n v="320"/>
    <n v="80"/>
    <n v="240"/>
    <x v="0"/>
    <s v="Corporate &amp; Professional"/>
    <n v="10.278063859084313"/>
    <s v="Neither"/>
    <n v="5"/>
  </r>
  <r>
    <d v="2019-11-16T10:07:51"/>
    <s v="19-3637"/>
    <s v="P078"/>
    <x v="18"/>
    <n v="225"/>
    <n v="75"/>
    <n v="4050"/>
    <n v="1350"/>
    <n v="2700"/>
    <x v="259"/>
    <s v="Education"/>
    <n v="15.268550004010105"/>
    <s v="Satisfied"/>
    <n v="10"/>
  </r>
  <r>
    <d v="2019-08-12T02:40:37"/>
    <s v="19-3708"/>
    <s v="P063"/>
    <x v="9"/>
    <n v="261"/>
    <n v="87"/>
    <n v="5220"/>
    <n v="1740"/>
    <n v="3480"/>
    <x v="175"/>
    <s v="Creative &amp; Technology"/>
    <n v="13.150536103258979"/>
    <s v="Neither"/>
    <n v="5"/>
  </r>
  <r>
    <d v="2019-08-06T08:24:50"/>
    <s v="19-1876"/>
    <s v="P003"/>
    <x v="11"/>
    <n v="189"/>
    <n v="63"/>
    <n v="3024"/>
    <n v="1008"/>
    <n v="2016"/>
    <x v="121"/>
    <s v="Creative &amp; Technology"/>
    <n v="11.394777319422785"/>
    <s v="Neither"/>
    <n v="5"/>
  </r>
  <r>
    <d v="2021-10-13T15:08:22"/>
    <s v="21-3195"/>
    <s v="P053"/>
    <x v="2"/>
    <n v="50"/>
    <n v="25"/>
    <n v="650"/>
    <n v="325"/>
    <n v="325"/>
    <x v="65"/>
    <s v="Healthcare &amp; Safety"/>
    <n v="14.377134310720955"/>
    <s v="Neither"/>
    <n v="5"/>
  </r>
  <r>
    <d v="2019-12-11T21:09:01"/>
    <s v="19-1308"/>
    <s v="P054"/>
    <x v="14"/>
    <n v="144"/>
    <n v="48"/>
    <n v="1728"/>
    <n v="576"/>
    <n v="1152"/>
    <x v="269"/>
    <s v="Corporate &amp; Professional"/>
    <n v="10.585251392347548"/>
    <s v="Satisfied"/>
    <n v="10"/>
  </r>
  <r>
    <d v="2020-06-22T23:08:11"/>
    <s v="20-1012"/>
    <s v="P082"/>
    <x v="12"/>
    <n v="312"/>
    <n v="78"/>
    <n v="2184"/>
    <n v="546"/>
    <n v="1638"/>
    <x v="160"/>
    <s v="Creative &amp; Technology"/>
    <n v="8.8514729234790472"/>
    <s v="Satisfied"/>
    <n v="10"/>
  </r>
  <r>
    <d v="2022-09-26T04:25:09"/>
    <s v="22-2005"/>
    <s v="P045"/>
    <x v="17"/>
    <n v="100"/>
    <n v="25"/>
    <n v="100"/>
    <n v="25"/>
    <n v="75"/>
    <x v="69"/>
    <s v="Healthcare &amp; Safety"/>
    <n v="9.3014286057233697"/>
    <s v="Satisfied"/>
    <n v="10"/>
  </r>
  <r>
    <d v="2020-12-02T05:21:28"/>
    <s v="20-1328"/>
    <s v="P057"/>
    <x v="4"/>
    <n v="252"/>
    <n v="63"/>
    <n v="504"/>
    <n v="126"/>
    <n v="378"/>
    <x v="235"/>
    <s v="Facilities &amp; Services"/>
    <n v="11.226611755437654"/>
    <s v="Neither"/>
    <n v="5"/>
  </r>
  <r>
    <d v="2019-04-14T12:06:36"/>
    <s v="19-4105"/>
    <s v="P081"/>
    <x v="6"/>
    <n v="50"/>
    <n v="25"/>
    <n v="300"/>
    <n v="150"/>
    <n v="150"/>
    <x v="94"/>
    <s v="Corporate &amp; Professional"/>
    <n v="9.0350666811770921"/>
    <s v="Dissatisfied"/>
    <n v="1"/>
  </r>
  <r>
    <d v="2019-08-10T07:50:16"/>
    <s v="19-3748"/>
    <s v="P006"/>
    <x v="3"/>
    <n v="38"/>
    <n v="19"/>
    <n v="152"/>
    <n v="76"/>
    <n v="76"/>
    <x v="275"/>
    <s v="Healthcare &amp; Safety"/>
    <n v="10.428287009858728"/>
    <s v="Dissatisfied"/>
    <n v="1"/>
  </r>
  <r>
    <d v="2020-04-04T08:40:27"/>
    <s v="20-3531"/>
    <s v="P066"/>
    <x v="18"/>
    <n v="34"/>
    <n v="17"/>
    <n v="612"/>
    <n v="306"/>
    <n v="306"/>
    <x v="288"/>
    <s v="Sports &amp; Recreation"/>
    <n v="10.78374703625888"/>
    <s v="Neither"/>
    <n v="5"/>
  </r>
  <r>
    <d v="2018-03-19T13:26:34"/>
    <s v="18-3801"/>
    <s v="P025"/>
    <x v="9"/>
    <n v="210"/>
    <n v="70"/>
    <n v="4200"/>
    <n v="1400"/>
    <n v="2800"/>
    <x v="53"/>
    <s v="Education"/>
    <n v="13.288482149665386"/>
    <s v="Satisfied"/>
    <n v="10"/>
  </r>
  <r>
    <d v="2019-03-27T05:21:55"/>
    <s v="19-2316"/>
    <s v="P097"/>
    <x v="12"/>
    <n v="92"/>
    <n v="46"/>
    <n v="644"/>
    <n v="322"/>
    <n v="322"/>
    <x v="183"/>
    <s v="Creative &amp; Technology"/>
    <n v="7.8974070387684714"/>
    <s v="Dissatisfied"/>
    <n v="1"/>
  </r>
  <r>
    <d v="2021-06-01T20:02:58"/>
    <s v="21-1292"/>
    <s v="P019"/>
    <x v="4"/>
    <n v="308"/>
    <n v="77"/>
    <n v="616"/>
    <n v="154"/>
    <n v="462"/>
    <x v="247"/>
    <s v="Facilities &amp; Services"/>
    <n v="12.502346728827876"/>
    <s v="Neither"/>
    <n v="5"/>
  </r>
  <r>
    <d v="2018-07-28T12:37:34"/>
    <s v="18-3680"/>
    <s v="P073"/>
    <x v="1"/>
    <n v="48"/>
    <n v="24"/>
    <n v="384"/>
    <n v="192"/>
    <n v="192"/>
    <x v="121"/>
    <s v="Creative &amp; Technology"/>
    <n v="11.394777319422785"/>
    <s v="Neither"/>
    <n v="5"/>
  </r>
  <r>
    <d v="2020-10-10T14:26:13"/>
    <s v="20-4080"/>
    <s v="P010"/>
    <x v="3"/>
    <n v="144"/>
    <n v="36"/>
    <n v="576"/>
    <n v="144"/>
    <n v="432"/>
    <x v="266"/>
    <s v="Corporate &amp; Professional"/>
    <n v="9.8776671534059073"/>
    <s v="Neither"/>
    <n v="5"/>
  </r>
  <r>
    <d v="2019-09-24T17:40:38"/>
    <s v="19-4363"/>
    <s v="P078"/>
    <x v="9"/>
    <n v="225"/>
    <n v="75"/>
    <n v="4500"/>
    <n v="1500"/>
    <n v="3000"/>
    <x v="118"/>
    <s v="Community &amp; Government"/>
    <n v="15.60430546146185"/>
    <s v="Neither"/>
    <n v="5"/>
  </r>
  <r>
    <d v="2019-11-30T16:17:34"/>
    <s v="19-4032"/>
    <s v="P047"/>
    <x v="8"/>
    <n v="72"/>
    <n v="36"/>
    <n v="1008"/>
    <n v="504"/>
    <n v="504"/>
    <x v="270"/>
    <s v="Education"/>
    <n v="14.129095302641241"/>
    <s v="Neither"/>
    <n v="5"/>
  </r>
  <r>
    <d v="2019-09-10T17:51:21"/>
    <s v="19-2728"/>
    <s v="P088"/>
    <x v="6"/>
    <n v="192"/>
    <n v="96"/>
    <n v="1152"/>
    <n v="576"/>
    <n v="576"/>
    <x v="171"/>
    <s v="Education"/>
    <n v="11.808681852148307"/>
    <s v="Neither"/>
    <n v="5"/>
  </r>
  <r>
    <d v="2020-09-05T18:48:17"/>
    <s v="20-2782"/>
    <s v="P042"/>
    <x v="16"/>
    <n v="50"/>
    <n v="25"/>
    <n v="450"/>
    <n v="225"/>
    <n v="225"/>
    <x v="68"/>
    <s v="Sports &amp; Recreation"/>
    <n v="12.200533931675887"/>
    <s v="Neither"/>
    <n v="5"/>
  </r>
  <r>
    <d v="2023-03-10T00:28:31"/>
    <s v="23-4998"/>
    <s v="P034"/>
    <x v="3"/>
    <n v="114"/>
    <n v="57"/>
    <n v="456"/>
    <n v="228"/>
    <n v="228"/>
    <x v="280"/>
    <s v="Education"/>
    <n v="9.1264071155960682"/>
    <s v="Dissatisfied"/>
    <n v="1"/>
  </r>
  <r>
    <d v="2019-07-17T20:14:45"/>
    <s v="19-4970"/>
    <s v="P028"/>
    <x v="6"/>
    <n v="156"/>
    <n v="78"/>
    <n v="936"/>
    <n v="468"/>
    <n v="468"/>
    <x v="191"/>
    <s v="Corporate &amp; Professional"/>
    <n v="12.131375018945562"/>
    <s v="Neither"/>
    <n v="5"/>
  </r>
  <r>
    <d v="2019-11-25T20:10:23"/>
    <s v="19-1540"/>
    <s v="P099"/>
    <x v="10"/>
    <n v="132"/>
    <n v="33"/>
    <n v="660"/>
    <n v="165"/>
    <n v="495"/>
    <x v="15"/>
    <s v="Community &amp; Government"/>
    <n v="11.631646244583138"/>
    <s v="Dissatisfied"/>
    <n v="1"/>
  </r>
  <r>
    <d v="2017-10-06T17:52:32"/>
    <s v="17-4372"/>
    <s v="P020"/>
    <x v="2"/>
    <n v="180"/>
    <n v="45"/>
    <n v="2340"/>
    <n v="585"/>
    <n v="1755"/>
    <x v="78"/>
    <s v="Education"/>
    <n v="11.756374828790458"/>
    <s v="Dissatisfied"/>
    <n v="1"/>
  </r>
  <r>
    <d v="2020-04-11T10:22:25"/>
    <s v="20-3604"/>
    <s v="P087"/>
    <x v="19"/>
    <n v="176"/>
    <n v="88"/>
    <n v="3344"/>
    <n v="1672"/>
    <n v="1672"/>
    <x v="29"/>
    <s v="Facilities &amp; Services"/>
    <n v="15.487214309603928"/>
    <s v="Neither"/>
    <n v="5"/>
  </r>
  <r>
    <d v="2020-03-29T14:04:31"/>
    <s v="20-2051"/>
    <s v="P098"/>
    <x v="1"/>
    <n v="201"/>
    <n v="67"/>
    <n v="1608"/>
    <n v="536"/>
    <n v="1072"/>
    <x v="69"/>
    <s v="Healthcare &amp; Safety"/>
    <n v="9.3014286057233697"/>
    <s v="Neither"/>
    <n v="5"/>
  </r>
  <r>
    <d v="2019-11-11T15:39:56"/>
    <s v="19-4564"/>
    <s v="P039"/>
    <x v="6"/>
    <n v="270"/>
    <n v="90"/>
    <n v="1620"/>
    <n v="540"/>
    <n v="1080"/>
    <x v="70"/>
    <s v="Community &amp; Government"/>
    <n v="14.593670394271927"/>
    <s v="Dissatisfied"/>
    <n v="1"/>
  </r>
  <r>
    <d v="2020-08-29T08:20:29"/>
    <s v="20-3838"/>
    <s v="P091"/>
    <x v="15"/>
    <n v="204"/>
    <n v="51"/>
    <n v="3468"/>
    <n v="867"/>
    <n v="2601"/>
    <x v="75"/>
    <s v="Healthcare &amp; Safety"/>
    <n v="13.918153610259502"/>
    <s v="Neither"/>
    <n v="5"/>
  </r>
  <r>
    <d v="2021-01-12T20:15:37"/>
    <s v="21-3764"/>
    <s v="P005"/>
    <x v="3"/>
    <n v="76"/>
    <n v="19"/>
    <n v="304"/>
    <n v="76"/>
    <n v="228"/>
    <x v="112"/>
    <s v="Creative &amp; Technology"/>
    <n v="12.004541523616258"/>
    <s v="Satisfied"/>
    <n v="10"/>
  </r>
  <r>
    <d v="2021-06-06T21:25:45"/>
    <s v="21-2697"/>
    <s v="P094"/>
    <x v="1"/>
    <n v="80"/>
    <n v="20"/>
    <n v="640"/>
    <n v="160"/>
    <n v="480"/>
    <x v="164"/>
    <s v="Education"/>
    <n v="10.954865572729823"/>
    <s v="Neither"/>
    <n v="5"/>
  </r>
  <r>
    <d v="2019-06-03T05:07:29"/>
    <s v="19-2767"/>
    <s v="P059"/>
    <x v="18"/>
    <n v="267"/>
    <n v="89"/>
    <n v="4806"/>
    <n v="1602"/>
    <n v="3204"/>
    <x v="243"/>
    <s v="Creative &amp; Technology"/>
    <n v="11.952554704438674"/>
    <s v="Neither"/>
    <n v="5"/>
  </r>
  <r>
    <d v="2022-05-21T14:24:03"/>
    <s v="22-4411"/>
    <s v="P046"/>
    <x v="0"/>
    <n v="38"/>
    <n v="19"/>
    <n v="570"/>
    <n v="285"/>
    <n v="285"/>
    <x v="217"/>
    <s v="Education"/>
    <n v="11.862005526237752"/>
    <s v="Satisfied"/>
    <n v="10"/>
  </r>
  <r>
    <d v="2020-07-14T15:41:00"/>
    <s v="20-2758"/>
    <s v="P090"/>
    <x v="17"/>
    <n v="57"/>
    <n v="19"/>
    <n v="57"/>
    <n v="19"/>
    <n v="38"/>
    <x v="38"/>
    <s v="Facilities &amp; Services"/>
    <n v="13.378080355059918"/>
    <s v="Neither"/>
    <n v="5"/>
  </r>
  <r>
    <d v="2016-12-16T20:50:15"/>
    <s v="16-4872"/>
    <s v="P055"/>
    <x v="16"/>
    <n v="360"/>
    <n v="90"/>
    <n v="3240"/>
    <n v="810"/>
    <n v="2430"/>
    <x v="101"/>
    <s v="Sports &amp; Recreation"/>
    <n v="10.816866337473218"/>
    <s v="Satisfied"/>
    <n v="10"/>
  </r>
  <r>
    <d v="2018-11-23T02:24:39"/>
    <s v="18-3929"/>
    <s v="P065"/>
    <x v="10"/>
    <n v="50"/>
    <n v="25"/>
    <n v="250"/>
    <n v="125"/>
    <n v="125"/>
    <x v="247"/>
    <s v="Facilities &amp; Services"/>
    <n v="12.502346728827876"/>
    <s v="Neither"/>
    <n v="5"/>
  </r>
  <r>
    <d v="2021-10-30T13:55:11"/>
    <s v="21-2894"/>
    <s v="P064"/>
    <x v="10"/>
    <n v="231"/>
    <n v="77"/>
    <n v="1155"/>
    <n v="385"/>
    <n v="770"/>
    <x v="119"/>
    <s v="Education"/>
    <n v="12.456740895640767"/>
    <s v="Neither"/>
    <n v="5"/>
  </r>
  <r>
    <d v="2019-11-28T01:43:37"/>
    <s v="19-2603"/>
    <s v="P087"/>
    <x v="4"/>
    <n v="176"/>
    <n v="88"/>
    <n v="352"/>
    <n v="176"/>
    <n v="176"/>
    <x v="54"/>
    <s v="Community &amp; Government"/>
    <n v="13.890275354050972"/>
    <s v="Neither"/>
    <n v="5"/>
  </r>
  <r>
    <d v="2021-10-31T11:06:23"/>
    <s v="21-2944"/>
    <s v="P063"/>
    <x v="19"/>
    <n v="261"/>
    <n v="87"/>
    <n v="4959"/>
    <n v="1653"/>
    <n v="3306"/>
    <x v="189"/>
    <s v="Community &amp; Government"/>
    <n v="12.954911944548844"/>
    <s v="Neither"/>
    <n v="5"/>
  </r>
  <r>
    <d v="2019-07-15T05:04:28"/>
    <s v="19-3829"/>
    <s v="P065"/>
    <x v="18"/>
    <n v="50"/>
    <n v="25"/>
    <n v="900"/>
    <n v="450"/>
    <n v="450"/>
    <x v="164"/>
    <s v="Education"/>
    <n v="10.954865572729823"/>
    <s v="Dissatisfied"/>
    <n v="1"/>
  </r>
  <r>
    <d v="2019-10-31T03:59:29"/>
    <s v="19-3604"/>
    <s v="P074"/>
    <x v="8"/>
    <n v="352"/>
    <n v="88"/>
    <n v="4928"/>
    <n v="1232"/>
    <n v="3696"/>
    <x v="46"/>
    <s v="Healthcare &amp; Safety"/>
    <n v="11.36085047138285"/>
    <s v="Neither"/>
    <n v="5"/>
  </r>
  <r>
    <d v="2022-03-28T06:59:31"/>
    <s v="22-4570"/>
    <s v="P067"/>
    <x v="3"/>
    <n v="144"/>
    <n v="36"/>
    <n v="576"/>
    <n v="144"/>
    <n v="432"/>
    <x v="207"/>
    <s v="Education"/>
    <n v="11.779256317174871"/>
    <s v="Neither"/>
    <n v="5"/>
  </r>
  <r>
    <d v="2021-11-17T10:34:53"/>
    <s v="21-4382"/>
    <s v="P006"/>
    <x v="19"/>
    <n v="38"/>
    <n v="19"/>
    <n v="722"/>
    <n v="361"/>
    <n v="361"/>
    <x v="36"/>
    <s v="Creative &amp; Technology"/>
    <n v="8.1085102757869372"/>
    <s v="Neither"/>
    <n v="5"/>
  </r>
  <r>
    <d v="2019-10-15T13:38:02"/>
    <s v="19-4990"/>
    <s v="P069"/>
    <x v="19"/>
    <n v="150"/>
    <n v="75"/>
    <n v="2850"/>
    <n v="1425"/>
    <n v="1425"/>
    <x v="251"/>
    <s v="Creative &amp; Technology"/>
    <n v="9.1591412531773226"/>
    <s v="Neither"/>
    <n v="5"/>
  </r>
  <r>
    <d v="2019-08-02T19:25:33"/>
    <s v="19-4291"/>
    <s v="P003"/>
    <x v="14"/>
    <n v="189"/>
    <n v="63"/>
    <n v="2268"/>
    <n v="756"/>
    <n v="1512"/>
    <x v="42"/>
    <s v="Community &amp; Government"/>
    <n v="10.216282609482219"/>
    <s v="Satisfied"/>
    <n v="10"/>
  </r>
  <r>
    <d v="2018-12-03T08:19:09"/>
    <s v="18-2203"/>
    <s v="P077"/>
    <x v="9"/>
    <n v="162"/>
    <n v="54"/>
    <n v="3240"/>
    <n v="1080"/>
    <n v="2160"/>
    <x v="79"/>
    <s v="Facilities &amp; Services"/>
    <n v="12.661538237835474"/>
    <s v="Satisfied"/>
    <n v="10"/>
  </r>
  <r>
    <d v="2020-11-28T13:19:11"/>
    <s v="20-2862"/>
    <s v="P038"/>
    <x v="18"/>
    <n v="240"/>
    <n v="80"/>
    <n v="4320"/>
    <n v="1440"/>
    <n v="2880"/>
    <x v="107"/>
    <s v="Community &amp; Government"/>
    <n v="11.986565560885863"/>
    <s v="Satisfied"/>
    <n v="10"/>
  </r>
  <r>
    <d v="2020-05-02T09:53:51"/>
    <s v="20-3242"/>
    <s v="P051"/>
    <x v="14"/>
    <n v="135"/>
    <n v="45"/>
    <n v="1620"/>
    <n v="540"/>
    <n v="1080"/>
    <x v="114"/>
    <s v="Healthcare &amp; Safety"/>
    <n v="14.423322704129969"/>
    <s v="Dissatisfied"/>
    <n v="1"/>
  </r>
  <r>
    <d v="2021-03-30T06:18:07"/>
    <s v="21-2033"/>
    <s v="P079"/>
    <x v="0"/>
    <n v="188"/>
    <n v="94"/>
    <n v="2820"/>
    <n v="1410"/>
    <n v="1410"/>
    <x v="238"/>
    <s v="Education"/>
    <n v="13.275355576494196"/>
    <s v="Satisfied"/>
    <n v="10"/>
  </r>
  <r>
    <d v="2021-01-03T02:15:07"/>
    <s v="21-2017"/>
    <s v="P014"/>
    <x v="14"/>
    <n v="166"/>
    <n v="83"/>
    <n v="1992"/>
    <n v="996"/>
    <n v="996"/>
    <x v="152"/>
    <s v="Sports &amp; Recreation"/>
    <n v="11.249825090458803"/>
    <s v="Neither"/>
    <n v="5"/>
  </r>
  <r>
    <d v="2021-02-07T11:51:36"/>
    <s v="21-1658"/>
    <s v="P062"/>
    <x v="14"/>
    <n v="348"/>
    <n v="87"/>
    <n v="4176"/>
    <n v="1044"/>
    <n v="3132"/>
    <x v="266"/>
    <s v="Corporate &amp; Professional"/>
    <n v="9.8776671534059073"/>
    <s v="Neither"/>
    <n v="5"/>
  </r>
  <r>
    <d v="2019-10-09T18:04:27"/>
    <s v="19-3542"/>
    <s v="P024"/>
    <x v="15"/>
    <n v="66"/>
    <n v="33"/>
    <n v="1122"/>
    <n v="561"/>
    <n v="561"/>
    <x v="83"/>
    <s v="Sports &amp; Recreation"/>
    <n v="11.504886852416154"/>
    <s v="Dissatisfied"/>
    <n v="1"/>
  </r>
  <r>
    <d v="2021-08-29T01:16:05"/>
    <s v="21-1698"/>
    <s v="P078"/>
    <x v="4"/>
    <n v="225"/>
    <n v="75"/>
    <n v="450"/>
    <n v="150"/>
    <n v="300"/>
    <x v="269"/>
    <s v="Corporate &amp; Professional"/>
    <n v="10.585251392347548"/>
    <s v="Neither"/>
    <n v="5"/>
  </r>
  <r>
    <d v="2021-08-10T05:16:33"/>
    <s v="21-3725"/>
    <s v="P031"/>
    <x v="15"/>
    <n v="146"/>
    <n v="73"/>
    <n v="2482"/>
    <n v="1241"/>
    <n v="1241"/>
    <x v="150"/>
    <s v="Education"/>
    <n v="12.889576147248359"/>
    <s v="Satisfied"/>
    <n v="10"/>
  </r>
  <r>
    <d v="2020-06-16T13:09:24"/>
    <s v="20-1935"/>
    <s v="P025"/>
    <x v="6"/>
    <n v="210"/>
    <n v="70"/>
    <n v="1260"/>
    <n v="420"/>
    <n v="840"/>
    <x v="166"/>
    <s v="Healthcare &amp; Safety"/>
    <n v="10.112765954734209"/>
    <s v="Dissatisfied"/>
    <n v="1"/>
  </r>
  <r>
    <d v="2019-11-03T03:04:30"/>
    <s v="19-4432"/>
    <s v="P098"/>
    <x v="4"/>
    <n v="201"/>
    <n v="67"/>
    <n v="402"/>
    <n v="134"/>
    <n v="268"/>
    <x v="203"/>
    <s v="Creative &amp; Technology"/>
    <n v="13.486912834801583"/>
    <s v="Satisfied"/>
    <n v="10"/>
  </r>
  <r>
    <d v="2021-04-28T05:05:29"/>
    <s v="21-1490"/>
    <s v="P017"/>
    <x v="1"/>
    <n v="120"/>
    <n v="30"/>
    <n v="960"/>
    <n v="240"/>
    <n v="720"/>
    <x v="283"/>
    <s v="Creative &amp; Technology"/>
    <n v="11.0700865530371"/>
    <s v="Neither"/>
    <n v="5"/>
  </r>
  <r>
    <d v="2019-05-04T22:06:56"/>
    <s v="19-4476"/>
    <s v="P048"/>
    <x v="14"/>
    <n v="252"/>
    <n v="63"/>
    <n v="3024"/>
    <n v="756"/>
    <n v="2268"/>
    <x v="30"/>
    <s v="Corporate &amp; Professional"/>
    <n v="12.844063202784817"/>
    <s v="Neither"/>
    <n v="5"/>
  </r>
  <r>
    <d v="2019-09-07T20:24:58"/>
    <s v="19-3150"/>
    <s v="P083"/>
    <x v="16"/>
    <n v="90"/>
    <n v="45"/>
    <n v="810"/>
    <n v="405"/>
    <n v="405"/>
    <x v="46"/>
    <s v="Healthcare &amp; Safety"/>
    <n v="11.36085047138285"/>
    <s v="Neither"/>
    <n v="5"/>
  </r>
  <r>
    <d v="2021-08-13T11:34:29"/>
    <s v="21-1230"/>
    <s v="P064"/>
    <x v="2"/>
    <n v="231"/>
    <n v="77"/>
    <n v="3003"/>
    <n v="1001"/>
    <n v="2002"/>
    <x v="256"/>
    <s v="Creative &amp; Technology"/>
    <n v="12.173451788225162"/>
    <s v="Satisfied"/>
    <n v="10"/>
  </r>
  <r>
    <d v="2019-08-28T04:45:50"/>
    <s v="19-2527"/>
    <s v="P098"/>
    <x v="13"/>
    <n v="201"/>
    <n v="67"/>
    <n v="2010"/>
    <n v="670"/>
    <n v="1340"/>
    <x v="113"/>
    <s v="Community &amp; Government"/>
    <n v="11.655355879643379"/>
    <s v="Satisfied"/>
    <n v="10"/>
  </r>
  <r>
    <d v="2020-11-01T06:03:11"/>
    <s v="20-1938"/>
    <s v="P089"/>
    <x v="11"/>
    <n v="102"/>
    <n v="51"/>
    <n v="1632"/>
    <n v="816"/>
    <n v="816"/>
    <x v="171"/>
    <s v="Education"/>
    <n v="11.808681852148307"/>
    <s v="Neither"/>
    <n v="5"/>
  </r>
  <r>
    <d v="2019-02-05T20:16:18"/>
    <s v="19-1190"/>
    <s v="P061"/>
    <x v="14"/>
    <n v="264"/>
    <n v="88"/>
    <n v="3168"/>
    <n v="1056"/>
    <n v="2112"/>
    <x v="199"/>
    <s v="Healthcare &amp; Safety"/>
    <n v="14.460020532456038"/>
    <s v="Neither"/>
    <n v="5"/>
  </r>
  <r>
    <d v="2020-04-01T10:01:49"/>
    <s v="20-1750"/>
    <s v="P009"/>
    <x v="4"/>
    <n v="255"/>
    <n v="85"/>
    <n v="510"/>
    <n v="170"/>
    <n v="340"/>
    <x v="206"/>
    <s v="Community &amp; Government"/>
    <n v="12.699042739101285"/>
    <s v="Neither"/>
    <n v="5"/>
  </r>
  <r>
    <d v="2022-05-24T10:15:31"/>
    <s v="22-2206"/>
    <s v="P085"/>
    <x v="2"/>
    <n v="320"/>
    <n v="80"/>
    <n v="4160"/>
    <n v="1040"/>
    <n v="3120"/>
    <x v="289"/>
    <s v="Community &amp; Government"/>
    <n v="11.238524301148807"/>
    <s v="Neither"/>
    <n v="5"/>
  </r>
  <r>
    <d v="2020-06-25T06:10:46"/>
    <s v="20-2011"/>
    <s v="P070"/>
    <x v="2"/>
    <n v="84"/>
    <n v="21"/>
    <n v="1092"/>
    <n v="273"/>
    <n v="819"/>
    <x v="133"/>
    <s v="Corporate &amp; Professional"/>
    <n v="5.9872353338051019"/>
    <s v="Neither"/>
    <n v="5"/>
  </r>
  <r>
    <d v="2020-03-03T01:12:44"/>
    <s v="20-2270"/>
    <s v="P048"/>
    <x v="14"/>
    <n v="252"/>
    <n v="63"/>
    <n v="3024"/>
    <n v="756"/>
    <n v="2268"/>
    <x v="176"/>
    <s v="Corporate &amp; Professional"/>
    <n v="11.769937929618399"/>
    <s v="Dissatisfied"/>
    <n v="1"/>
  </r>
  <r>
    <d v="2022-04-12T15:32:36"/>
    <s v="22-4453"/>
    <s v="P098"/>
    <x v="5"/>
    <n v="201"/>
    <n v="67"/>
    <n v="603"/>
    <n v="201"/>
    <n v="402"/>
    <x v="53"/>
    <s v="Education"/>
    <n v="13.288482149665386"/>
    <s v="Satisfied"/>
    <n v="10"/>
  </r>
  <r>
    <d v="2021-12-31T08:17:41"/>
    <s v="21-2542"/>
    <s v="P057"/>
    <x v="7"/>
    <n v="252"/>
    <n v="63"/>
    <n v="2772"/>
    <n v="693"/>
    <n v="2079"/>
    <x v="46"/>
    <s v="Healthcare &amp; Safety"/>
    <n v="11.36085047138285"/>
    <s v="Neither"/>
    <n v="5"/>
  </r>
  <r>
    <d v="2022-01-12T08:17:24"/>
    <s v="22-2212"/>
    <s v="P054"/>
    <x v="4"/>
    <n v="144"/>
    <n v="48"/>
    <n v="288"/>
    <n v="96"/>
    <n v="192"/>
    <x v="80"/>
    <s v="Education"/>
    <n v="12.503632939408062"/>
    <s v="Neither"/>
    <n v="5"/>
  </r>
  <r>
    <d v="2020-09-21T23:15:49"/>
    <s v="20-1536"/>
    <s v="P043"/>
    <x v="6"/>
    <n v="184"/>
    <n v="92"/>
    <n v="1104"/>
    <n v="552"/>
    <n v="552"/>
    <x v="112"/>
    <s v="Creative &amp; Technology"/>
    <n v="12.004541523616258"/>
    <s v="Satisfied"/>
    <n v="10"/>
  </r>
  <r>
    <d v="2021-06-17T15:50:58"/>
    <s v="21-1367"/>
    <s v="P079"/>
    <x v="16"/>
    <n v="188"/>
    <n v="94"/>
    <n v="1692"/>
    <n v="846"/>
    <n v="846"/>
    <x v="276"/>
    <s v="Education"/>
    <n v="10.518436853046438"/>
    <s v="Neither"/>
    <n v="5"/>
  </r>
  <r>
    <d v="2021-04-30T20:36:30"/>
    <s v="21-2814"/>
    <s v="P097"/>
    <x v="15"/>
    <n v="92"/>
    <n v="46"/>
    <n v="1564"/>
    <n v="782"/>
    <n v="782"/>
    <x v="105"/>
    <s v="Corporate &amp; Professional"/>
    <n v="11.070908141213383"/>
    <s v="Satisfied"/>
    <n v="10"/>
  </r>
  <r>
    <d v="2020-06-02T23:06:25"/>
    <s v="20-2039"/>
    <s v="P021"/>
    <x v="17"/>
    <n v="207"/>
    <n v="69"/>
    <n v="207"/>
    <n v="69"/>
    <n v="138"/>
    <x v="137"/>
    <s v="Facilities &amp; Services"/>
    <n v="15.861056998489449"/>
    <s v="Neither"/>
    <n v="5"/>
  </r>
  <r>
    <d v="2020-05-22T01:49:16"/>
    <s v="20-1104"/>
    <s v="P097"/>
    <x v="9"/>
    <n v="92"/>
    <n v="46"/>
    <n v="1840"/>
    <n v="920"/>
    <n v="920"/>
    <x v="160"/>
    <s v="Creative &amp; Technology"/>
    <n v="8.8514729234790472"/>
    <s v="Dissatisfied"/>
    <n v="1"/>
  </r>
  <r>
    <d v="2019-08-06T10:48:13"/>
    <s v="19-4613"/>
    <s v="P018"/>
    <x v="19"/>
    <n v="108"/>
    <n v="54"/>
    <n v="2052"/>
    <n v="1026"/>
    <n v="1026"/>
    <x v="228"/>
    <s v="Corporate &amp; Professional"/>
    <n v="16.254955391951082"/>
    <s v="Satisfied"/>
    <n v="10"/>
  </r>
  <r>
    <d v="2020-01-28T12:44:19"/>
    <s v="20-3567"/>
    <s v="P043"/>
    <x v="8"/>
    <n v="184"/>
    <n v="92"/>
    <n v="2576"/>
    <n v="1288"/>
    <n v="1288"/>
    <x v="214"/>
    <s v="Corporate &amp; Professional"/>
    <n v="12.985332015423809"/>
    <s v="Satisfied"/>
    <n v="10"/>
  </r>
  <r>
    <d v="2021-02-28T19:53:39"/>
    <s v="21-1444"/>
    <s v="P055"/>
    <x v="15"/>
    <n v="360"/>
    <n v="90"/>
    <n v="6120"/>
    <n v="1530"/>
    <n v="4590"/>
    <x v="282"/>
    <s v="Community &amp; Government"/>
    <n v="14.157909724393564"/>
    <s v="Neither"/>
    <n v="5"/>
  </r>
  <r>
    <d v="2019-06-12T09:34:36"/>
    <s v="19-2066"/>
    <s v="P024"/>
    <x v="18"/>
    <n v="66"/>
    <n v="33"/>
    <n v="1188"/>
    <n v="594"/>
    <n v="594"/>
    <x v="81"/>
    <s v="Community &amp; Government"/>
    <n v="9.821882845934784"/>
    <s v="Neither"/>
    <n v="5"/>
  </r>
  <r>
    <d v="2019-06-25T02:54:14"/>
    <s v="19-4996"/>
    <s v="P043"/>
    <x v="19"/>
    <n v="184"/>
    <n v="92"/>
    <n v="3496"/>
    <n v="1748"/>
    <n v="1748"/>
    <x v="88"/>
    <s v="Facilities &amp; Services"/>
    <n v="14.906846445071711"/>
    <s v="Neither"/>
    <n v="5"/>
  </r>
  <r>
    <d v="2019-11-17T18:51:04"/>
    <s v="19-4743"/>
    <s v="P032"/>
    <x v="0"/>
    <n v="92"/>
    <n v="46"/>
    <n v="1380"/>
    <n v="690"/>
    <n v="690"/>
    <x v="254"/>
    <s v="Corporate &amp; Professional"/>
    <n v="8.1743378387804331"/>
    <s v="Neither"/>
    <n v="5"/>
  </r>
  <r>
    <d v="2021-03-21T08:20:47"/>
    <s v="21-2308"/>
    <s v="P073"/>
    <x v="7"/>
    <n v="48"/>
    <n v="24"/>
    <n v="528"/>
    <n v="264"/>
    <n v="264"/>
    <x v="249"/>
    <s v="Corporate &amp; Professional"/>
    <n v="13.397308081757757"/>
    <s v="Neither"/>
    <n v="5"/>
  </r>
  <r>
    <d v="2018-12-03T00:00:08"/>
    <s v="18-4364"/>
    <s v="P079"/>
    <x v="3"/>
    <n v="188"/>
    <n v="94"/>
    <n v="752"/>
    <n v="376"/>
    <n v="376"/>
    <x v="153"/>
    <s v="Corporate &amp; Professional"/>
    <n v="11.799431383856128"/>
    <s v="Neither"/>
    <n v="5"/>
  </r>
  <r>
    <d v="2019-10-03T21:47:29"/>
    <s v="19-2579"/>
    <s v="P018"/>
    <x v="6"/>
    <n v="108"/>
    <n v="54"/>
    <n v="648"/>
    <n v="324"/>
    <n v="324"/>
    <x v="83"/>
    <s v="Sports &amp; Recreation"/>
    <n v="11.504886852416154"/>
    <s v="Neither"/>
    <n v="5"/>
  </r>
  <r>
    <d v="2019-06-14T02:21:18"/>
    <s v="19-3606"/>
    <s v="P024"/>
    <x v="17"/>
    <n v="66"/>
    <n v="33"/>
    <n v="66"/>
    <n v="33"/>
    <n v="33"/>
    <x v="171"/>
    <s v="Education"/>
    <n v="11.808681852148307"/>
    <s v="Neither"/>
    <n v="5"/>
  </r>
  <r>
    <d v="2020-12-21T07:23:49"/>
    <s v="20-3535"/>
    <s v="P075"/>
    <x v="10"/>
    <n v="160"/>
    <n v="80"/>
    <n v="800"/>
    <n v="400"/>
    <n v="400"/>
    <x v="110"/>
    <s v="Sports &amp; Recreation"/>
    <n v="14.690198582365463"/>
    <s v="Neither"/>
    <n v="5"/>
  </r>
  <r>
    <d v="2020-03-07T05:56:52"/>
    <s v="20-3178"/>
    <s v="P071"/>
    <x v="18"/>
    <n v="210"/>
    <n v="70"/>
    <n v="3780"/>
    <n v="1260"/>
    <n v="2520"/>
    <x v="18"/>
    <s v="Sports &amp; Recreation"/>
    <n v="12.072414596936037"/>
    <s v="Neither"/>
    <n v="5"/>
  </r>
  <r>
    <d v="2019-05-19T05:30:54"/>
    <s v="19-3650"/>
    <s v="P020"/>
    <x v="2"/>
    <n v="180"/>
    <n v="45"/>
    <n v="2340"/>
    <n v="585"/>
    <n v="1755"/>
    <x v="194"/>
    <s v="Community &amp; Government"/>
    <n v="9.879282537628514"/>
    <s v="Neither"/>
    <n v="5"/>
  </r>
  <r>
    <d v="2019-09-29T00:54:11"/>
    <s v="19-2609"/>
    <s v="P061"/>
    <x v="9"/>
    <n v="264"/>
    <n v="88"/>
    <n v="5280"/>
    <n v="1760"/>
    <n v="3520"/>
    <x v="222"/>
    <s v="Community &amp; Government"/>
    <n v="13.095446915421235"/>
    <s v="Neither"/>
    <n v="5"/>
  </r>
  <r>
    <d v="2021-07-11T12:51:59"/>
    <s v="21-1991"/>
    <s v="P086"/>
    <x v="9"/>
    <n v="352"/>
    <n v="88"/>
    <n v="7040"/>
    <n v="1760"/>
    <n v="5280"/>
    <x v="223"/>
    <s v="Education"/>
    <n v="11.661237375491201"/>
    <s v="Dissatisfied"/>
    <n v="1"/>
  </r>
  <r>
    <d v="2021-04-25T22:26:34"/>
    <s v="21-1121"/>
    <s v="P039"/>
    <x v="14"/>
    <n v="270"/>
    <n v="90"/>
    <n v="3240"/>
    <n v="1080"/>
    <n v="2160"/>
    <x v="135"/>
    <s v="Corporate &amp; Professional"/>
    <n v="10.408704992688252"/>
    <s v="Satisfied"/>
    <n v="10"/>
  </r>
  <r>
    <d v="2019-11-10T23:31:07"/>
    <s v="19-2728"/>
    <s v="P036"/>
    <x v="17"/>
    <n v="280"/>
    <n v="70"/>
    <n v="280"/>
    <n v="70"/>
    <n v="210"/>
    <x v="230"/>
    <s v="Community &amp; Government"/>
    <n v="12.155895475340943"/>
    <s v="Neither"/>
    <n v="5"/>
  </r>
  <r>
    <d v="2018-09-25T06:09:52"/>
    <s v="18-1834"/>
    <s v="P003"/>
    <x v="18"/>
    <n v="189"/>
    <n v="63"/>
    <n v="3402"/>
    <n v="1134"/>
    <n v="2268"/>
    <x v="67"/>
    <s v="Community &amp; Government"/>
    <n v="11.346510807401776"/>
    <s v="Satisfied"/>
    <n v="10"/>
  </r>
  <r>
    <d v="2021-01-21T07:53:06"/>
    <s v="21-4595"/>
    <s v="P073"/>
    <x v="0"/>
    <n v="48"/>
    <n v="24"/>
    <n v="720"/>
    <n v="360"/>
    <n v="360"/>
    <x v="4"/>
    <s v="Education"/>
    <n v="15.24190997853951"/>
    <s v="Neither"/>
    <n v="5"/>
  </r>
  <r>
    <d v="2022-05-06T07:30:12"/>
    <s v="22-3856"/>
    <s v="P017"/>
    <x v="15"/>
    <n v="120"/>
    <n v="30"/>
    <n v="2040"/>
    <n v="510"/>
    <n v="1530"/>
    <x v="109"/>
    <s v="Sports &amp; Recreation"/>
    <n v="13.092530646074781"/>
    <s v="Neither"/>
    <n v="5"/>
  </r>
  <r>
    <d v="2020-02-04T03:06:51"/>
    <s v="20-1859"/>
    <s v="P048"/>
    <x v="11"/>
    <n v="252"/>
    <n v="63"/>
    <n v="4032"/>
    <n v="1008"/>
    <n v="3024"/>
    <x v="235"/>
    <s v="Facilities &amp; Services"/>
    <n v="11.226611755437654"/>
    <s v="Satisfied"/>
    <n v="10"/>
  </r>
  <r>
    <d v="2021-12-09T03:17:28"/>
    <s v="21-1703"/>
    <s v="P057"/>
    <x v="4"/>
    <n v="252"/>
    <n v="63"/>
    <n v="504"/>
    <n v="126"/>
    <n v="378"/>
    <x v="195"/>
    <s v="Community &amp; Government"/>
    <n v="12.679725647708608"/>
    <s v="Neither"/>
    <n v="5"/>
  </r>
  <r>
    <d v="2021-01-15T23:51:31"/>
    <s v="21-1926"/>
    <s v="P077"/>
    <x v="15"/>
    <n v="162"/>
    <n v="54"/>
    <n v="2754"/>
    <n v="918"/>
    <n v="1836"/>
    <x v="207"/>
    <s v="Education"/>
    <n v="11.779256317174871"/>
    <s v="Neither"/>
    <n v="5"/>
  </r>
  <r>
    <d v="2021-07-08T22:31:28"/>
    <s v="21-2705"/>
    <s v="P084"/>
    <x v="13"/>
    <n v="154"/>
    <n v="77"/>
    <n v="1540"/>
    <n v="770"/>
    <n v="770"/>
    <x v="21"/>
    <s v="Facilities &amp; Services"/>
    <n v="13.717776078041958"/>
    <s v="Satisfied"/>
    <n v="10"/>
  </r>
  <r>
    <d v="2021-12-30T08:29:07"/>
    <s v="21-1901"/>
    <s v="P100"/>
    <x v="12"/>
    <n v="46"/>
    <n v="23"/>
    <n v="322"/>
    <n v="161"/>
    <n v="161"/>
    <x v="64"/>
    <s v="Corporate &amp; Professional"/>
    <n v="11.083482342133532"/>
    <s v="Satisfied"/>
    <n v="10"/>
  </r>
  <r>
    <d v="2021-03-26T11:26:56"/>
    <s v="21-2956"/>
    <s v="P014"/>
    <x v="15"/>
    <n v="166"/>
    <n v="83"/>
    <n v="2822"/>
    <n v="1411"/>
    <n v="1411"/>
    <x v="282"/>
    <s v="Community &amp; Government"/>
    <n v="14.157909724393564"/>
    <s v="Neither"/>
    <n v="5"/>
  </r>
  <r>
    <d v="2021-03-03T21:06:28"/>
    <s v="21-3805"/>
    <s v="P100"/>
    <x v="12"/>
    <n v="46"/>
    <n v="23"/>
    <n v="322"/>
    <n v="161"/>
    <n v="161"/>
    <x v="164"/>
    <s v="Education"/>
    <n v="10.954865572729823"/>
    <s v="Neither"/>
    <n v="5"/>
  </r>
  <r>
    <d v="2018-03-27T18:01:55"/>
    <s v="18-1155"/>
    <s v="P003"/>
    <x v="13"/>
    <n v="189"/>
    <n v="63"/>
    <n v="1890"/>
    <n v="630"/>
    <n v="1260"/>
    <x v="191"/>
    <s v="Corporate &amp; Professional"/>
    <n v="12.131375018945562"/>
    <s v="Satisfied"/>
    <n v="10"/>
  </r>
  <r>
    <d v="2019-02-05T19:51:55"/>
    <s v="19-2377"/>
    <s v="P090"/>
    <x v="9"/>
    <n v="57"/>
    <n v="19"/>
    <n v="1140"/>
    <n v="380"/>
    <n v="760"/>
    <x v="168"/>
    <s v="Healthcare &amp; Safety"/>
    <n v="9.74650548941427"/>
    <s v="Neither"/>
    <n v="5"/>
  </r>
  <r>
    <d v="2019-07-06T04:06:52"/>
    <s v="19-4341"/>
    <s v="P012"/>
    <x v="8"/>
    <n v="30"/>
    <n v="15"/>
    <n v="420"/>
    <n v="210"/>
    <n v="210"/>
    <x v="236"/>
    <s v="Creative &amp; Technology"/>
    <n v="13.827196127590291"/>
    <s v="Satisfied"/>
    <n v="10"/>
  </r>
  <r>
    <d v="2020-12-18T05:26:28"/>
    <s v="20-3403"/>
    <s v="P002"/>
    <x v="18"/>
    <n v="144"/>
    <n v="36"/>
    <n v="2592"/>
    <n v="648"/>
    <n v="1944"/>
    <x v="268"/>
    <s v="Sports &amp; Recreation"/>
    <n v="11.593991859287692"/>
    <s v="Neither"/>
    <n v="5"/>
  </r>
  <r>
    <d v="2019-01-20T21:12:42"/>
    <s v="19-1574"/>
    <s v="P068"/>
    <x v="5"/>
    <n v="300"/>
    <n v="75"/>
    <n v="900"/>
    <n v="225"/>
    <n v="675"/>
    <x v="170"/>
    <s v="Sports &amp; Recreation"/>
    <n v="10.037135914792184"/>
    <s v="Satisfied"/>
    <n v="10"/>
  </r>
  <r>
    <d v="2022-06-27T23:38:17"/>
    <s v="22-3886"/>
    <s v="P071"/>
    <x v="6"/>
    <n v="210"/>
    <n v="70"/>
    <n v="1260"/>
    <n v="420"/>
    <n v="840"/>
    <x v="222"/>
    <s v="Community &amp; Government"/>
    <n v="13.095446915421235"/>
    <s v="Neither"/>
    <n v="5"/>
  </r>
  <r>
    <d v="2018-12-02T17:25:36"/>
    <s v="18-3164"/>
    <s v="P095"/>
    <x v="19"/>
    <n v="116"/>
    <n v="29"/>
    <n v="2204"/>
    <n v="551"/>
    <n v="1653"/>
    <x v="212"/>
    <s v="Sports &amp; Recreation"/>
    <n v="11.443503623244197"/>
    <s v="Satisfied"/>
    <n v="10"/>
  </r>
  <r>
    <d v="2017-09-28T16:48:34"/>
    <s v="17-1767"/>
    <s v="P031"/>
    <x v="8"/>
    <n v="146"/>
    <n v="73"/>
    <n v="2044"/>
    <n v="1022"/>
    <n v="1022"/>
    <x v="32"/>
    <s v="Facilities &amp; Services"/>
    <n v="11.410471033945758"/>
    <s v="Neither"/>
    <n v="5"/>
  </r>
  <r>
    <d v="2019-05-06T22:02:37"/>
    <s v="19-4194"/>
    <s v="P053"/>
    <x v="13"/>
    <n v="50"/>
    <n v="25"/>
    <n v="500"/>
    <n v="250"/>
    <n v="250"/>
    <x v="43"/>
    <s v="Corporate &amp; Professional"/>
    <n v="15.121383064708469"/>
    <s v="Neither"/>
    <n v="5"/>
  </r>
  <r>
    <d v="2020-01-21T23:16:43"/>
    <s v="20-2032"/>
    <s v="P027"/>
    <x v="19"/>
    <n v="140"/>
    <n v="70"/>
    <n v="2660"/>
    <n v="1330"/>
    <n v="1330"/>
    <x v="290"/>
    <s v="Community &amp; Government"/>
    <n v="15.239568994601312"/>
    <s v="Neither"/>
    <n v="5"/>
  </r>
  <r>
    <d v="2020-05-10T12:47:01"/>
    <s v="20-1184"/>
    <s v="P015"/>
    <x v="13"/>
    <n v="176"/>
    <n v="88"/>
    <n v="1760"/>
    <n v="880"/>
    <n v="880"/>
    <x v="17"/>
    <s v="Education"/>
    <n v="9.8238489437106278"/>
    <s v="Neither"/>
    <n v="5"/>
  </r>
  <r>
    <d v="2022-01-12T11:08:13"/>
    <s v="22-1168"/>
    <s v="P049"/>
    <x v="8"/>
    <n v="356"/>
    <n v="89"/>
    <n v="4984"/>
    <n v="1246"/>
    <n v="3738"/>
    <x v="52"/>
    <s v="Facilities &amp; Services"/>
    <n v="14.573178107544177"/>
    <s v="Neither"/>
    <n v="5"/>
  </r>
  <r>
    <d v="2019-03-13T19:16:00"/>
    <s v="19-1522"/>
    <s v="P081"/>
    <x v="4"/>
    <n v="50"/>
    <n v="25"/>
    <n v="100"/>
    <n v="50"/>
    <n v="50"/>
    <x v="236"/>
    <s v="Creative &amp; Technology"/>
    <n v="13.827196127590291"/>
    <s v="Neither"/>
    <n v="5"/>
  </r>
  <r>
    <d v="2019-10-16T21:59:56"/>
    <s v="19-3014"/>
    <s v="P020"/>
    <x v="13"/>
    <n v="180"/>
    <n v="45"/>
    <n v="1800"/>
    <n v="450"/>
    <n v="1350"/>
    <x v="209"/>
    <s v="Facilities &amp; Services"/>
    <n v="10.956589836772277"/>
    <s v="Satisfied"/>
    <n v="10"/>
  </r>
  <r>
    <d v="2020-03-17T06:34:30"/>
    <s v="20-2437"/>
    <s v="P018"/>
    <x v="5"/>
    <n v="108"/>
    <n v="54"/>
    <n v="324"/>
    <n v="162"/>
    <n v="162"/>
    <x v="43"/>
    <s v="Corporate &amp; Professional"/>
    <n v="15.121383064708469"/>
    <s v="Dissatisfied"/>
    <n v="1"/>
  </r>
  <r>
    <d v="2021-04-27T15:06:23"/>
    <s v="21-1781"/>
    <s v="P028"/>
    <x v="1"/>
    <n v="156"/>
    <n v="78"/>
    <n v="1248"/>
    <n v="624"/>
    <n v="624"/>
    <x v="46"/>
    <s v="Healthcare &amp; Safety"/>
    <n v="11.36085047138285"/>
    <s v="Satisfied"/>
    <n v="10"/>
  </r>
  <r>
    <d v="2020-03-25T13:38:39"/>
    <s v="20-2930"/>
    <s v="P006"/>
    <x v="12"/>
    <n v="38"/>
    <n v="19"/>
    <n v="266"/>
    <n v="133"/>
    <n v="133"/>
    <x v="55"/>
    <s v="Creative &amp; Technology"/>
    <n v="13.765798454641494"/>
    <s v="Neither"/>
    <n v="5"/>
  </r>
  <r>
    <d v="2018-12-11T07:30:57"/>
    <s v="18-2503"/>
    <s v="P087"/>
    <x v="0"/>
    <n v="176"/>
    <n v="88"/>
    <n v="2640"/>
    <n v="1320"/>
    <n v="1320"/>
    <x v="167"/>
    <s v="Healthcare &amp; Safety"/>
    <n v="16.695690968264284"/>
    <s v="Dissatisfied"/>
    <n v="1"/>
  </r>
  <r>
    <d v="2020-05-17T12:19:49"/>
    <s v="20-4618"/>
    <s v="P032"/>
    <x v="0"/>
    <n v="92"/>
    <n v="46"/>
    <n v="1380"/>
    <n v="690"/>
    <n v="690"/>
    <x v="24"/>
    <s v="Sports &amp; Recreation"/>
    <n v="14.697745043716761"/>
    <s v="Neither"/>
    <n v="5"/>
  </r>
  <r>
    <d v="2023-02-22T18:57:47"/>
    <s v="23-4418"/>
    <s v="P028"/>
    <x v="13"/>
    <n v="156"/>
    <n v="78"/>
    <n v="1560"/>
    <n v="780"/>
    <n v="780"/>
    <x v="13"/>
    <s v="Sports &amp; Recreation"/>
    <n v="12.163730387337393"/>
    <s v="Neither"/>
    <n v="5"/>
  </r>
  <r>
    <d v="2019-06-10T06:59:39"/>
    <s v="19-1430"/>
    <s v="P030"/>
    <x v="0"/>
    <n v="81"/>
    <n v="27"/>
    <n v="1215"/>
    <n v="405"/>
    <n v="810"/>
    <x v="268"/>
    <s v="Sports &amp; Recreation"/>
    <n v="11.593991859287692"/>
    <s v="Satisfied"/>
    <n v="10"/>
  </r>
  <r>
    <d v="2020-11-26T04:17:15"/>
    <s v="20-3237"/>
    <s v="P084"/>
    <x v="17"/>
    <n v="154"/>
    <n v="77"/>
    <n v="154"/>
    <n v="77"/>
    <n v="77"/>
    <x v="193"/>
    <s v="Corporate &amp; Professional"/>
    <n v="12.275875773922367"/>
    <s v="Satisfied"/>
    <n v="10"/>
  </r>
  <r>
    <d v="2019-11-05T00:59:42"/>
    <s v="19-2068"/>
    <s v="P003"/>
    <x v="7"/>
    <n v="189"/>
    <n v="63"/>
    <n v="2079"/>
    <n v="693"/>
    <n v="1386"/>
    <x v="139"/>
    <s v="Creative &amp; Technology"/>
    <n v="15.770846827234339"/>
    <s v="Satisfied"/>
    <n v="10"/>
  </r>
  <r>
    <d v="2020-09-26T14:26:50"/>
    <s v="20-4489"/>
    <s v="P037"/>
    <x v="3"/>
    <n v="160"/>
    <n v="80"/>
    <n v="640"/>
    <n v="320"/>
    <n v="320"/>
    <x v="193"/>
    <s v="Corporate &amp; Professional"/>
    <n v="12.275875773922367"/>
    <s v="Neither"/>
    <n v="5"/>
  </r>
  <r>
    <d v="2018-07-13T09:19:49"/>
    <s v="18-4352"/>
    <s v="P031"/>
    <x v="1"/>
    <n v="146"/>
    <n v="73"/>
    <n v="1168"/>
    <n v="584"/>
    <n v="584"/>
    <x v="140"/>
    <s v="Education"/>
    <n v="13.332534707865639"/>
    <s v="Dissatisfied"/>
    <n v="1"/>
  </r>
  <r>
    <d v="2019-02-21T13:37:22"/>
    <s v="19-2463"/>
    <s v="P056"/>
    <x v="9"/>
    <n v="72"/>
    <n v="36"/>
    <n v="1440"/>
    <n v="720"/>
    <n v="720"/>
    <x v="143"/>
    <s v="Community &amp; Government"/>
    <n v="12.732640267350657"/>
    <s v="Neither"/>
    <n v="5"/>
  </r>
  <r>
    <d v="2020-06-17T02:15:23"/>
    <s v="20-2755"/>
    <s v="P082"/>
    <x v="0"/>
    <n v="312"/>
    <n v="78"/>
    <n v="4680"/>
    <n v="1170"/>
    <n v="3510"/>
    <x v="101"/>
    <s v="Sports &amp; Recreation"/>
    <n v="10.816866337473218"/>
    <s v="Neither"/>
    <n v="5"/>
  </r>
  <r>
    <d v="2021-10-12T05:24:07"/>
    <s v="21-4343"/>
    <s v="P078"/>
    <x v="10"/>
    <n v="225"/>
    <n v="75"/>
    <n v="1125"/>
    <n v="375"/>
    <n v="750"/>
    <x v="9"/>
    <s v="Sports &amp; Recreation"/>
    <n v="15.602184182549776"/>
    <s v="Neither"/>
    <n v="5"/>
  </r>
  <r>
    <d v="2020-03-20T14:02:10"/>
    <s v="20-1096"/>
    <s v="P096"/>
    <x v="11"/>
    <n v="144"/>
    <n v="48"/>
    <n v="2304"/>
    <n v="768"/>
    <n v="1536"/>
    <x v="265"/>
    <s v="Corporate &amp; Professional"/>
    <n v="12.55774399806273"/>
    <s v="Neither"/>
    <n v="5"/>
  </r>
  <r>
    <d v="2021-02-04T06:59:39"/>
    <s v="21-3068"/>
    <s v="P009"/>
    <x v="9"/>
    <n v="255"/>
    <n v="85"/>
    <n v="5100"/>
    <n v="1700"/>
    <n v="3400"/>
    <x v="85"/>
    <s v="Creative &amp; Technology"/>
    <n v="10.570474361325047"/>
    <s v="Dissatisfied"/>
    <n v="1"/>
  </r>
  <r>
    <d v="2020-12-02T10:41:39"/>
    <s v="20-4460"/>
    <s v="P025"/>
    <x v="19"/>
    <n v="210"/>
    <n v="70"/>
    <n v="3990"/>
    <n v="1330"/>
    <n v="2660"/>
    <x v="187"/>
    <s v="Creative &amp; Technology"/>
    <n v="13.259563298324382"/>
    <s v="Neither"/>
    <n v="5"/>
  </r>
  <r>
    <d v="2019-11-24T22:24:14"/>
    <s v="19-2789"/>
    <s v="P032"/>
    <x v="4"/>
    <n v="92"/>
    <n v="46"/>
    <n v="184"/>
    <n v="92"/>
    <n v="92"/>
    <x v="101"/>
    <s v="Sports &amp; Recreation"/>
    <n v="10.816866337473218"/>
    <s v="Neither"/>
    <n v="5"/>
  </r>
  <r>
    <d v="2018-02-12T03:32:12"/>
    <s v="18-1439"/>
    <s v="P082"/>
    <x v="3"/>
    <n v="312"/>
    <n v="78"/>
    <n v="1248"/>
    <n v="312"/>
    <n v="936"/>
    <x v="48"/>
    <s v="Creative &amp; Technology"/>
    <n v="11.939773463335372"/>
    <s v="Dissatisfied"/>
    <n v="1"/>
  </r>
  <r>
    <d v="2019-09-29T08:23:09"/>
    <s v="19-3097"/>
    <s v="P017"/>
    <x v="7"/>
    <n v="120"/>
    <n v="30"/>
    <n v="1320"/>
    <n v="330"/>
    <n v="990"/>
    <x v="17"/>
    <s v="Education"/>
    <n v="9.8238489437106278"/>
    <s v="Neither"/>
    <n v="5"/>
  </r>
  <r>
    <d v="2019-09-19T08:57:34"/>
    <s v="19-3720"/>
    <s v="P078"/>
    <x v="14"/>
    <n v="225"/>
    <n v="75"/>
    <n v="2700"/>
    <n v="900"/>
    <n v="1800"/>
    <x v="247"/>
    <s v="Facilities &amp; Services"/>
    <n v="12.502346728827876"/>
    <s v="Dissatisfied"/>
    <n v="1"/>
  </r>
  <r>
    <d v="2020-07-12T20:37:14"/>
    <s v="20-4261"/>
    <s v="P100"/>
    <x v="7"/>
    <n v="46"/>
    <n v="23"/>
    <n v="506"/>
    <n v="253"/>
    <n v="253"/>
    <x v="123"/>
    <s v="Facilities &amp; Services"/>
    <n v="9.1877733607656964"/>
    <s v="Neither"/>
    <n v="5"/>
  </r>
  <r>
    <d v="2020-08-25T23:36:19"/>
    <s v="20-4509"/>
    <s v="P060"/>
    <x v="0"/>
    <n v="300"/>
    <n v="75"/>
    <n v="4500"/>
    <n v="1125"/>
    <n v="3375"/>
    <x v="125"/>
    <s v="Sports &amp; Recreation"/>
    <n v="12.682358648534777"/>
    <s v="Neither"/>
    <n v="5"/>
  </r>
  <r>
    <d v="2020-08-13T16:11:07"/>
    <s v="20-3483"/>
    <s v="P026"/>
    <x v="6"/>
    <n v="280"/>
    <n v="70"/>
    <n v="1680"/>
    <n v="420"/>
    <n v="1260"/>
    <x v="82"/>
    <s v="Creative &amp; Technology"/>
    <n v="11.883396013219548"/>
    <s v="Satisfied"/>
    <n v="10"/>
  </r>
  <r>
    <d v="2020-08-09T08:38:29"/>
    <s v="20-2850"/>
    <s v="P096"/>
    <x v="10"/>
    <n v="144"/>
    <n v="48"/>
    <n v="720"/>
    <n v="240"/>
    <n v="480"/>
    <x v="39"/>
    <s v="Creative &amp; Technology"/>
    <n v="11.841063669683448"/>
    <s v="Satisfied"/>
    <n v="10"/>
  </r>
  <r>
    <d v="2020-11-10T06:00:22"/>
    <s v="20-2475"/>
    <s v="P076"/>
    <x v="8"/>
    <n v="94"/>
    <n v="47"/>
    <n v="1316"/>
    <n v="658"/>
    <n v="658"/>
    <x v="12"/>
    <s v="Creative &amp; Technology"/>
    <n v="9.8384363471888783"/>
    <s v="Satisfied"/>
    <n v="10"/>
  </r>
  <r>
    <d v="2021-09-03T01:32:41"/>
    <s v="21-2456"/>
    <s v="P003"/>
    <x v="10"/>
    <n v="189"/>
    <n v="63"/>
    <n v="945"/>
    <n v="315"/>
    <n v="630"/>
    <x v="250"/>
    <s v="Community &amp; Government"/>
    <n v="9.2053706474810433"/>
    <s v="Neither"/>
    <n v="5"/>
  </r>
  <r>
    <d v="2018-03-02T02:05:34"/>
    <s v="18-3779"/>
    <s v="P086"/>
    <x v="6"/>
    <n v="352"/>
    <n v="88"/>
    <n v="2112"/>
    <n v="528"/>
    <n v="1584"/>
    <x v="291"/>
    <s v="Facilities &amp; Services"/>
    <n v="11.375127981841125"/>
    <s v="Satisfied"/>
    <n v="10"/>
  </r>
  <r>
    <d v="2019-12-09T11:28:34"/>
    <s v="19-2926"/>
    <s v="P041"/>
    <x v="8"/>
    <n v="144"/>
    <n v="36"/>
    <n v="2016"/>
    <n v="504"/>
    <n v="1512"/>
    <x v="248"/>
    <s v="Creative &amp; Technology"/>
    <n v="11.130819205617987"/>
    <s v="Neither"/>
    <n v="5"/>
  </r>
  <r>
    <d v="2022-07-20T23:03:56"/>
    <s v="22-3515"/>
    <s v="P066"/>
    <x v="9"/>
    <n v="34"/>
    <n v="17"/>
    <n v="680"/>
    <n v="340"/>
    <n v="340"/>
    <x v="211"/>
    <s v="Healthcare &amp; Safety"/>
    <n v="13.106678263594747"/>
    <s v="Neither"/>
    <n v="5"/>
  </r>
  <r>
    <d v="2016-04-16T11:30:06"/>
    <s v="16-2216"/>
    <s v="P074"/>
    <x v="13"/>
    <n v="352"/>
    <n v="88"/>
    <n v="3520"/>
    <n v="880"/>
    <n v="2640"/>
    <x v="27"/>
    <s v="Healthcare &amp; Safety"/>
    <n v="10.42743035829395"/>
    <s v="Dissatisfied"/>
    <n v="1"/>
  </r>
  <r>
    <d v="2019-10-07T11:28:12"/>
    <s v="19-4723"/>
    <s v="P081"/>
    <x v="2"/>
    <n v="50"/>
    <n v="25"/>
    <n v="650"/>
    <n v="325"/>
    <n v="325"/>
    <x v="47"/>
    <s v="Healthcare &amp; Safety"/>
    <n v="11.727497850343074"/>
    <s v="Dissatisfied"/>
    <n v="1"/>
  </r>
  <r>
    <d v="2021-05-28T00:41:33"/>
    <s v="21-3980"/>
    <s v="P016"/>
    <x v="0"/>
    <n v="110"/>
    <n v="55"/>
    <n v="1650"/>
    <n v="825"/>
    <n v="825"/>
    <x v="52"/>
    <s v="Facilities &amp; Services"/>
    <n v="14.573178107544177"/>
    <s v="Neither"/>
    <n v="5"/>
  </r>
  <r>
    <d v="2023-05-14T00:01:19"/>
    <s v="23-2256"/>
    <s v="P051"/>
    <x v="0"/>
    <n v="135"/>
    <n v="45"/>
    <n v="2025"/>
    <n v="675"/>
    <n v="1350"/>
    <x v="44"/>
    <s v="Corporate &amp; Professional"/>
    <n v="9.9311000381363836"/>
    <s v="Satisfied"/>
    <n v="10"/>
  </r>
  <r>
    <d v="2018-03-10T08:45:06"/>
    <s v="18-2449"/>
    <s v="P056"/>
    <x v="19"/>
    <n v="72"/>
    <n v="36"/>
    <n v="1368"/>
    <n v="684"/>
    <n v="684"/>
    <x v="121"/>
    <s v="Creative &amp; Technology"/>
    <n v="11.394777319422785"/>
    <s v="Neither"/>
    <n v="5"/>
  </r>
  <r>
    <d v="2023-03-26T00:45:36"/>
    <s v="23-1579"/>
    <s v="P040"/>
    <x v="8"/>
    <n v="160"/>
    <n v="80"/>
    <n v="2240"/>
    <n v="1120"/>
    <n v="1120"/>
    <x v="107"/>
    <s v="Community &amp; Government"/>
    <n v="11.986565560885863"/>
    <s v="Neither"/>
    <n v="5"/>
  </r>
  <r>
    <d v="2019-09-28T17:46:38"/>
    <s v="19-2336"/>
    <s v="P030"/>
    <x v="7"/>
    <n v="81"/>
    <n v="27"/>
    <n v="891"/>
    <n v="297"/>
    <n v="594"/>
    <x v="126"/>
    <s v="Creative &amp; Technology"/>
    <n v="12.399050786131125"/>
    <s v="Neither"/>
    <n v="5"/>
  </r>
  <r>
    <d v="2021-09-01T11:13:07"/>
    <s v="21-4047"/>
    <s v="P070"/>
    <x v="6"/>
    <n v="84"/>
    <n v="21"/>
    <n v="504"/>
    <n v="126"/>
    <n v="378"/>
    <x v="148"/>
    <s v="Healthcare &amp; Safety"/>
    <n v="14.845213075061906"/>
    <s v="Dissatisfied"/>
    <n v="1"/>
  </r>
  <r>
    <d v="2020-01-17T12:12:59"/>
    <s v="20-2852"/>
    <s v="P003"/>
    <x v="1"/>
    <n v="189"/>
    <n v="63"/>
    <n v="1512"/>
    <n v="504"/>
    <n v="1008"/>
    <x v="226"/>
    <s v="Community &amp; Government"/>
    <n v="11.927799225928501"/>
    <s v="Neither"/>
    <n v="5"/>
  </r>
  <r>
    <d v="2020-07-02T16:02:16"/>
    <s v="20-2709"/>
    <s v="P040"/>
    <x v="18"/>
    <n v="160"/>
    <n v="80"/>
    <n v="2880"/>
    <n v="1440"/>
    <n v="1440"/>
    <x v="74"/>
    <s v="Education"/>
    <n v="12.699346182652626"/>
    <s v="Neither"/>
    <n v="5"/>
  </r>
  <r>
    <d v="2015-07-31T21:22:47"/>
    <s v="15-4617"/>
    <s v="P075"/>
    <x v="19"/>
    <n v="160"/>
    <n v="80"/>
    <n v="3040"/>
    <n v="1520"/>
    <n v="1520"/>
    <x v="78"/>
    <s v="Education"/>
    <n v="11.756374828790458"/>
    <s v="Neither"/>
    <n v="5"/>
  </r>
  <r>
    <d v="2021-06-25T23:26:54"/>
    <s v="21-2613"/>
    <s v="P009"/>
    <x v="6"/>
    <n v="255"/>
    <n v="85"/>
    <n v="1530"/>
    <n v="510"/>
    <n v="1020"/>
    <x v="223"/>
    <s v="Education"/>
    <n v="11.661237375491201"/>
    <s v="Neither"/>
    <n v="5"/>
  </r>
  <r>
    <d v="2020-11-19T22:47:39"/>
    <s v="20-4297"/>
    <s v="P033"/>
    <x v="10"/>
    <n v="57"/>
    <n v="19"/>
    <n v="285"/>
    <n v="95"/>
    <n v="190"/>
    <x v="44"/>
    <s v="Corporate &amp; Professional"/>
    <n v="9.9311000381363836"/>
    <s v="Dissatisfied"/>
    <n v="1"/>
  </r>
  <r>
    <d v="2018-08-07T21:30:59"/>
    <s v="18-1946"/>
    <s v="P010"/>
    <x v="9"/>
    <n v="144"/>
    <n v="36"/>
    <n v="2880"/>
    <n v="720"/>
    <n v="2160"/>
    <x v="268"/>
    <s v="Sports &amp; Recreation"/>
    <n v="11.593991859287692"/>
    <s v="Neither"/>
    <n v="5"/>
  </r>
  <r>
    <d v="2019-04-28T10:57:50"/>
    <s v="19-2205"/>
    <s v="P031"/>
    <x v="10"/>
    <n v="146"/>
    <n v="73"/>
    <n v="730"/>
    <n v="365"/>
    <n v="365"/>
    <x v="23"/>
    <s v="Healthcare &amp; Safety"/>
    <n v="13.407340878370247"/>
    <s v="Neither"/>
    <n v="5"/>
  </r>
  <r>
    <d v="2021-10-30T07:40:14"/>
    <s v="21-4930"/>
    <s v="P085"/>
    <x v="3"/>
    <n v="320"/>
    <n v="80"/>
    <n v="1280"/>
    <n v="320"/>
    <n v="960"/>
    <x v="72"/>
    <s v="Community &amp; Government"/>
    <n v="15.458859683514467"/>
    <s v="Neither"/>
    <n v="5"/>
  </r>
  <r>
    <d v="2018-11-15T00:28:04"/>
    <s v="18-2157"/>
    <s v="P021"/>
    <x v="3"/>
    <n v="207"/>
    <n v="69"/>
    <n v="828"/>
    <n v="276"/>
    <n v="552"/>
    <x v="225"/>
    <s v="Healthcare &amp; Safety"/>
    <n v="9.4608554813364627"/>
    <s v="Satisfied"/>
    <n v="10"/>
  </r>
  <r>
    <d v="2020-03-31T03:44:51"/>
    <s v="20-3789"/>
    <s v="P043"/>
    <x v="3"/>
    <n v="184"/>
    <n v="92"/>
    <n v="736"/>
    <n v="368"/>
    <n v="368"/>
    <x v="292"/>
    <s v="Creative &amp; Technology"/>
    <n v="13.537350739681813"/>
    <s v="Satisfied"/>
    <n v="10"/>
  </r>
  <r>
    <d v="2021-08-09T04:08:25"/>
    <s v="21-4567"/>
    <s v="P060"/>
    <x v="19"/>
    <n v="300"/>
    <n v="75"/>
    <n v="5700"/>
    <n v="1425"/>
    <n v="4275"/>
    <x v="158"/>
    <s v="Creative &amp; Technology"/>
    <n v="15.207985888346794"/>
    <s v="Neither"/>
    <n v="5"/>
  </r>
  <r>
    <d v="2021-05-24T20:17:33"/>
    <s v="21-4977"/>
    <s v="P067"/>
    <x v="5"/>
    <n v="144"/>
    <n v="36"/>
    <n v="432"/>
    <n v="108"/>
    <n v="324"/>
    <x v="178"/>
    <s v="Education"/>
    <n v="14.760829371220243"/>
    <s v="Neither"/>
    <n v="5"/>
  </r>
  <r>
    <d v="2018-06-24T22:20:53"/>
    <s v="18-2014"/>
    <s v="P069"/>
    <x v="12"/>
    <n v="150"/>
    <n v="75"/>
    <n v="1050"/>
    <n v="525"/>
    <n v="525"/>
    <x v="90"/>
    <s v="Healthcare &amp; Safety"/>
    <n v="7.0114620475168028"/>
    <s v="Neither"/>
    <n v="5"/>
  </r>
  <r>
    <d v="2020-07-08T23:47:53"/>
    <s v="20-1432"/>
    <s v="P067"/>
    <x v="6"/>
    <n v="144"/>
    <n v="36"/>
    <n v="864"/>
    <n v="216"/>
    <n v="648"/>
    <x v="207"/>
    <s v="Education"/>
    <n v="11.779256317174871"/>
    <s v="Neither"/>
    <n v="5"/>
  </r>
  <r>
    <d v="2019-06-08T08:13:56"/>
    <s v="19-4994"/>
    <s v="P004"/>
    <x v="0"/>
    <n v="189"/>
    <n v="63"/>
    <n v="2835"/>
    <n v="945"/>
    <n v="1890"/>
    <x v="35"/>
    <s v="Sports &amp; Recreation"/>
    <n v="12.487915239531313"/>
    <s v="Neither"/>
    <n v="5"/>
  </r>
  <r>
    <d v="2020-04-26T12:59:05"/>
    <s v="20-1479"/>
    <s v="P010"/>
    <x v="2"/>
    <n v="144"/>
    <n v="36"/>
    <n v="1872"/>
    <n v="468"/>
    <n v="1404"/>
    <x v="43"/>
    <s v="Corporate &amp; Professional"/>
    <n v="15.121383064708469"/>
    <s v="Satisfied"/>
    <n v="10"/>
  </r>
  <r>
    <d v="2020-12-07T12:13:19"/>
    <s v="20-3920"/>
    <s v="P072"/>
    <x v="19"/>
    <n v="132"/>
    <n v="44"/>
    <n v="2508"/>
    <n v="836"/>
    <n v="1672"/>
    <x v="134"/>
    <s v="Sports &amp; Recreation"/>
    <n v="12.532428411174646"/>
    <s v="Neither"/>
    <n v="5"/>
  </r>
  <r>
    <d v="2018-12-28T07:11:50"/>
    <s v="18-1813"/>
    <s v="P063"/>
    <x v="10"/>
    <n v="261"/>
    <n v="87"/>
    <n v="1305"/>
    <n v="435"/>
    <n v="870"/>
    <x v="40"/>
    <s v="Corporate &amp; Professional"/>
    <n v="14.370283356317486"/>
    <s v="Neither"/>
    <n v="5"/>
  </r>
  <r>
    <d v="2022-02-08T01:01:44"/>
    <s v="22-4308"/>
    <s v="P046"/>
    <x v="19"/>
    <n v="38"/>
    <n v="19"/>
    <n v="722"/>
    <n v="361"/>
    <n v="361"/>
    <x v="231"/>
    <s v="Facilities &amp; Services"/>
    <n v="14.060995290679429"/>
    <s v="Satisfied"/>
    <n v="10"/>
  </r>
  <r>
    <d v="2021-02-25T03:06:09"/>
    <s v="21-3865"/>
    <s v="P019"/>
    <x v="18"/>
    <n v="308"/>
    <n v="77"/>
    <n v="5544"/>
    <n v="1386"/>
    <n v="4158"/>
    <x v="277"/>
    <s v="Sports &amp; Recreation"/>
    <n v="10.01033276255276"/>
    <s v="Neither"/>
    <n v="5"/>
  </r>
  <r>
    <d v="2018-01-23T08:00:55"/>
    <s v="18-4523"/>
    <s v="P018"/>
    <x v="5"/>
    <n v="108"/>
    <n v="54"/>
    <n v="324"/>
    <n v="162"/>
    <n v="162"/>
    <x v="175"/>
    <s v="Creative &amp; Technology"/>
    <n v="13.150536103258979"/>
    <s v="Dissatisfied"/>
    <n v="1"/>
  </r>
  <r>
    <d v="2019-11-16T00:00:56"/>
    <s v="19-1635"/>
    <s v="P001"/>
    <x v="3"/>
    <n v="108"/>
    <n v="36"/>
    <n v="432"/>
    <n v="144"/>
    <n v="288"/>
    <x v="292"/>
    <s v="Creative &amp; Technology"/>
    <n v="13.537350739681813"/>
    <s v="Neither"/>
    <n v="5"/>
  </r>
  <r>
    <d v="2018-04-30T03:28:49"/>
    <s v="18-2162"/>
    <s v="P059"/>
    <x v="0"/>
    <n v="267"/>
    <n v="89"/>
    <n v="4005"/>
    <n v="1335"/>
    <n v="2670"/>
    <x v="254"/>
    <s v="Corporate &amp; Professional"/>
    <n v="8.1743378387804331"/>
    <s v="Satisfied"/>
    <n v="10"/>
  </r>
  <r>
    <d v="2021-08-01T14:26:47"/>
    <s v="21-1401"/>
    <s v="P022"/>
    <x v="12"/>
    <n v="153"/>
    <n v="51"/>
    <n v="1071"/>
    <n v="357"/>
    <n v="714"/>
    <x v="128"/>
    <s v="Healthcare &amp; Safety"/>
    <n v="10.96230865592911"/>
    <s v="Neither"/>
    <n v="5"/>
  </r>
  <r>
    <d v="2018-02-12T11:09:19"/>
    <s v="18-1804"/>
    <s v="P045"/>
    <x v="14"/>
    <n v="100"/>
    <n v="25"/>
    <n v="1200"/>
    <n v="300"/>
    <n v="900"/>
    <x v="38"/>
    <s v="Facilities &amp; Services"/>
    <n v="13.378080355059918"/>
    <s v="Neither"/>
    <n v="5"/>
  </r>
  <r>
    <d v="2017-09-30T03:13:58"/>
    <s v="17-2606"/>
    <s v="P034"/>
    <x v="17"/>
    <n v="114"/>
    <n v="57"/>
    <n v="114"/>
    <n v="57"/>
    <n v="57"/>
    <x v="292"/>
    <s v="Creative &amp; Technology"/>
    <n v="13.537350739681813"/>
    <s v="Neither"/>
    <n v="5"/>
  </r>
  <r>
    <d v="2021-07-26T19:32:48"/>
    <s v="21-3343"/>
    <s v="P040"/>
    <x v="7"/>
    <n v="160"/>
    <n v="80"/>
    <n v="1760"/>
    <n v="880"/>
    <n v="880"/>
    <x v="191"/>
    <s v="Corporate &amp; Professional"/>
    <n v="12.131375018945562"/>
    <s v="Neither"/>
    <n v="5"/>
  </r>
  <r>
    <d v="2018-05-09T03:55:13"/>
    <s v="18-2248"/>
    <s v="P015"/>
    <x v="19"/>
    <n v="176"/>
    <n v="88"/>
    <n v="3344"/>
    <n v="1672"/>
    <n v="1672"/>
    <x v="258"/>
    <s v="Corporate &amp; Professional"/>
    <n v="14.538471643780088"/>
    <s v="Neither"/>
    <n v="5"/>
  </r>
  <r>
    <d v="2019-08-16T08:30:07"/>
    <s v="19-2286"/>
    <s v="P032"/>
    <x v="16"/>
    <n v="92"/>
    <n v="46"/>
    <n v="828"/>
    <n v="414"/>
    <n v="414"/>
    <x v="292"/>
    <s v="Creative &amp; Technology"/>
    <n v="13.537350739681813"/>
    <s v="Satisfied"/>
    <n v="10"/>
  </r>
  <r>
    <d v="2021-08-10T07:52:04"/>
    <s v="21-2782"/>
    <s v="P036"/>
    <x v="3"/>
    <n v="280"/>
    <n v="70"/>
    <n v="1120"/>
    <n v="280"/>
    <n v="840"/>
    <x v="41"/>
    <s v="Community &amp; Government"/>
    <n v="12.452986387489583"/>
    <s v="Neither"/>
    <n v="5"/>
  </r>
  <r>
    <d v="2020-07-09T14:19:31"/>
    <s v="20-3206"/>
    <s v="P093"/>
    <x v="14"/>
    <n v="384"/>
    <n v="96"/>
    <n v="4608"/>
    <n v="1152"/>
    <n v="3456"/>
    <x v="21"/>
    <s v="Facilities &amp; Services"/>
    <n v="13.717776078041958"/>
    <s v="Neither"/>
    <n v="5"/>
  </r>
  <r>
    <d v="2017-04-27T07:17:14"/>
    <s v="17-2258"/>
    <s v="P047"/>
    <x v="14"/>
    <n v="72"/>
    <n v="36"/>
    <n v="864"/>
    <n v="432"/>
    <n v="432"/>
    <x v="35"/>
    <s v="Sports &amp; Recreation"/>
    <n v="12.487915239531313"/>
    <s v="Dissatisfied"/>
    <n v="1"/>
  </r>
  <r>
    <d v="2021-10-01T09:35:18"/>
    <s v="21-2027"/>
    <s v="P020"/>
    <x v="4"/>
    <n v="180"/>
    <n v="45"/>
    <n v="360"/>
    <n v="90"/>
    <n v="270"/>
    <x v="282"/>
    <s v="Community &amp; Government"/>
    <n v="14.157909724393564"/>
    <s v="Dissatisfied"/>
    <n v="1"/>
  </r>
  <r>
    <d v="2020-07-08T01:19:09"/>
    <s v="20-3393"/>
    <s v="P027"/>
    <x v="1"/>
    <n v="140"/>
    <n v="70"/>
    <n v="1120"/>
    <n v="560"/>
    <n v="560"/>
    <x v="36"/>
    <s v="Creative &amp; Technology"/>
    <n v="8.1085102757869372"/>
    <s v="Neither"/>
    <n v="5"/>
  </r>
  <r>
    <d v="2019-05-30T03:07:10"/>
    <s v="19-2683"/>
    <s v="P007"/>
    <x v="17"/>
    <n v="225"/>
    <n v="75"/>
    <n v="225"/>
    <n v="75"/>
    <n v="150"/>
    <x v="21"/>
    <s v="Facilities &amp; Services"/>
    <n v="13.717776078041958"/>
    <s v="Neither"/>
    <n v="5"/>
  </r>
  <r>
    <d v="2017-07-07T12:42:43"/>
    <s v="17-3969"/>
    <s v="P019"/>
    <x v="6"/>
    <n v="308"/>
    <n v="77"/>
    <n v="1848"/>
    <n v="462"/>
    <n v="1386"/>
    <x v="40"/>
    <s v="Corporate &amp; Professional"/>
    <n v="14.370283356317486"/>
    <s v="Neither"/>
    <n v="5"/>
  </r>
  <r>
    <d v="2023-02-14T06:01:27"/>
    <s v="23-4489"/>
    <s v="P091"/>
    <x v="0"/>
    <n v="204"/>
    <n v="51"/>
    <n v="3060"/>
    <n v="765"/>
    <n v="2295"/>
    <x v="279"/>
    <s v="Corporate &amp; Professional"/>
    <n v="6.221489120484736"/>
    <s v="Dissatisfied"/>
    <n v="1"/>
  </r>
  <r>
    <d v="2021-03-31T05:27:29"/>
    <s v="21-3553"/>
    <s v="P065"/>
    <x v="17"/>
    <n v="50"/>
    <n v="25"/>
    <n v="50"/>
    <n v="25"/>
    <n v="25"/>
    <x v="293"/>
    <s v="Creative &amp; Technology"/>
    <n v="7.9096461399190003"/>
    <s v="Satisfied"/>
    <n v="10"/>
  </r>
  <r>
    <d v="2020-08-02T14:55:38"/>
    <s v="20-2328"/>
    <s v="P027"/>
    <x v="5"/>
    <n v="140"/>
    <n v="70"/>
    <n v="420"/>
    <n v="210"/>
    <n v="210"/>
    <x v="181"/>
    <s v="Sports &amp; Recreation"/>
    <n v="11.072271050116964"/>
    <s v="Dissatisfied"/>
    <n v="1"/>
  </r>
  <r>
    <d v="2019-11-16T06:36:25"/>
    <s v="19-1770"/>
    <s v="P037"/>
    <x v="8"/>
    <n v="160"/>
    <n v="80"/>
    <n v="2240"/>
    <n v="1120"/>
    <n v="1120"/>
    <x v="174"/>
    <s v="Corporate &amp; Professional"/>
    <n v="12.921682080641304"/>
    <s v="Dissatisfied"/>
    <n v="1"/>
  </r>
  <r>
    <d v="2022-05-01T22:15:37"/>
    <s v="22-4199"/>
    <s v="P027"/>
    <x v="0"/>
    <n v="140"/>
    <n v="70"/>
    <n v="2100"/>
    <n v="1050"/>
    <n v="1050"/>
    <x v="234"/>
    <s v="Creative &amp; Technology"/>
    <n v="12.990345718839325"/>
    <s v="Satisfied"/>
    <n v="10"/>
  </r>
  <r>
    <d v="2020-11-18T02:17:48"/>
    <s v="20-3176"/>
    <s v="P094"/>
    <x v="18"/>
    <n v="80"/>
    <n v="20"/>
    <n v="1440"/>
    <n v="360"/>
    <n v="1080"/>
    <x v="96"/>
    <s v="Healthcare &amp; Safety"/>
    <n v="11.221666113009938"/>
    <s v="Satisfied"/>
    <n v="10"/>
  </r>
  <r>
    <d v="2020-02-26T15:02:56"/>
    <s v="20-4973"/>
    <s v="P081"/>
    <x v="8"/>
    <n v="50"/>
    <n v="25"/>
    <n v="700"/>
    <n v="350"/>
    <n v="350"/>
    <x v="175"/>
    <s v="Creative &amp; Technology"/>
    <n v="13.150536103258979"/>
    <s v="Dissatisfied"/>
    <n v="1"/>
  </r>
  <r>
    <d v="2020-12-05T20:16:17"/>
    <s v="20-3474"/>
    <s v="P048"/>
    <x v="9"/>
    <n v="252"/>
    <n v="63"/>
    <n v="5040"/>
    <n v="1260"/>
    <n v="3780"/>
    <x v="247"/>
    <s v="Facilities &amp; Services"/>
    <n v="12.502346728827876"/>
    <s v="Dissatisfied"/>
    <n v="1"/>
  </r>
  <r>
    <d v="2019-03-26T17:03:54"/>
    <s v="19-4590"/>
    <s v="P004"/>
    <x v="1"/>
    <n v="189"/>
    <n v="63"/>
    <n v="1512"/>
    <n v="504"/>
    <n v="1008"/>
    <x v="174"/>
    <s v="Corporate &amp; Professional"/>
    <n v="12.921682080641304"/>
    <s v="Neither"/>
    <n v="5"/>
  </r>
  <r>
    <d v="2016-12-11T12:05:50"/>
    <s v="16-1764"/>
    <s v="P065"/>
    <x v="11"/>
    <n v="50"/>
    <n v="25"/>
    <n v="800"/>
    <n v="400"/>
    <n v="400"/>
    <x v="183"/>
    <s v="Creative &amp; Technology"/>
    <n v="7.8974070387684714"/>
    <s v="Neither"/>
    <n v="5"/>
  </r>
  <r>
    <d v="2022-01-08T10:41:32"/>
    <s v="22-1066"/>
    <s v="P051"/>
    <x v="4"/>
    <n v="135"/>
    <n v="45"/>
    <n v="270"/>
    <n v="90"/>
    <n v="180"/>
    <x v="22"/>
    <s v="Sports &amp; Recreation"/>
    <n v="9.7467096260695598"/>
    <s v="Neither"/>
    <n v="5"/>
  </r>
  <r>
    <d v="2020-07-05T23:17:24"/>
    <s v="20-3289"/>
    <s v="P027"/>
    <x v="1"/>
    <n v="140"/>
    <n v="70"/>
    <n v="1120"/>
    <n v="560"/>
    <n v="560"/>
    <x v="12"/>
    <s v="Creative &amp; Technology"/>
    <n v="9.8384363471888783"/>
    <s v="Neither"/>
    <n v="5"/>
  </r>
  <r>
    <d v="2021-05-04T14:28:02"/>
    <s v="21-4495"/>
    <s v="P066"/>
    <x v="4"/>
    <n v="34"/>
    <n v="17"/>
    <n v="68"/>
    <n v="34"/>
    <n v="34"/>
    <x v="71"/>
    <s v="Corporate &amp; Professional"/>
    <n v="11.274864741138284"/>
    <s v="Satisfied"/>
    <n v="10"/>
  </r>
  <r>
    <d v="2017-09-07T02:33:27"/>
    <s v="17-3805"/>
    <s v="P051"/>
    <x v="16"/>
    <n v="135"/>
    <n v="45"/>
    <n v="1215"/>
    <n v="405"/>
    <n v="810"/>
    <x v="262"/>
    <s v="Healthcare &amp; Safety"/>
    <n v="13.00553764131261"/>
    <s v="Neither"/>
    <n v="5"/>
  </r>
  <r>
    <d v="2020-08-13T17:03:44"/>
    <s v="20-1816"/>
    <s v="P091"/>
    <x v="7"/>
    <n v="204"/>
    <n v="51"/>
    <n v="2244"/>
    <n v="561"/>
    <n v="1683"/>
    <x v="219"/>
    <s v="Facilities &amp; Services"/>
    <n v="11.289144410898391"/>
    <s v="Satisfied"/>
    <n v="10"/>
  </r>
  <r>
    <d v="2018-11-20T00:47:32"/>
    <s v="18-4640"/>
    <s v="P060"/>
    <x v="8"/>
    <n v="300"/>
    <n v="75"/>
    <n v="4200"/>
    <n v="1050"/>
    <n v="3150"/>
    <x v="133"/>
    <s v="Corporate &amp; Professional"/>
    <n v="5.9872353338051019"/>
    <s v="Satisfied"/>
    <n v="10"/>
  </r>
  <r>
    <d v="2020-07-06T23:55:20"/>
    <s v="20-1099"/>
    <s v="P054"/>
    <x v="1"/>
    <n v="144"/>
    <n v="48"/>
    <n v="1152"/>
    <n v="384"/>
    <n v="768"/>
    <x v="215"/>
    <s v="Facilities &amp; Services"/>
    <n v="14.817898176328208"/>
    <s v="Satisfied"/>
    <n v="10"/>
  </r>
  <r>
    <d v="2019-09-17T10:27:38"/>
    <s v="19-4438"/>
    <s v="P082"/>
    <x v="7"/>
    <n v="312"/>
    <n v="78"/>
    <n v="3432"/>
    <n v="858"/>
    <n v="2574"/>
    <x v="165"/>
    <s v="Creative &amp; Technology"/>
    <n v="13.929237493388955"/>
    <s v="Neither"/>
    <n v="5"/>
  </r>
  <r>
    <d v="2019-10-26T13:48:57"/>
    <s v="19-4639"/>
    <s v="P022"/>
    <x v="13"/>
    <n v="153"/>
    <n v="51"/>
    <n v="1530"/>
    <n v="510"/>
    <n v="1020"/>
    <x v="69"/>
    <s v="Healthcare &amp; Safety"/>
    <n v="9.3014286057233697"/>
    <s v="Neither"/>
    <n v="5"/>
  </r>
  <r>
    <d v="2020-04-10T12:37:19"/>
    <s v="20-2449"/>
    <s v="P049"/>
    <x v="17"/>
    <n v="356"/>
    <n v="89"/>
    <n v="356"/>
    <n v="89"/>
    <n v="267"/>
    <x v="120"/>
    <s v="Education"/>
    <n v="9.4239783062860578"/>
    <s v="Neither"/>
    <n v="5"/>
  </r>
  <r>
    <d v="2019-08-08T08:15:10"/>
    <s v="19-4145"/>
    <s v="P026"/>
    <x v="5"/>
    <n v="280"/>
    <n v="70"/>
    <n v="840"/>
    <n v="210"/>
    <n v="630"/>
    <x v="110"/>
    <s v="Sports &amp; Recreation"/>
    <n v="14.690198582365463"/>
    <s v="Neither"/>
    <n v="5"/>
  </r>
  <r>
    <d v="2019-01-29T00:36:52"/>
    <s v="19-1930"/>
    <s v="P072"/>
    <x v="15"/>
    <n v="132"/>
    <n v="44"/>
    <n v="2244"/>
    <n v="748"/>
    <n v="1496"/>
    <x v="270"/>
    <s v="Education"/>
    <n v="14.129095302641241"/>
    <s v="Dissatisfied"/>
    <n v="1"/>
  </r>
  <r>
    <d v="2019-07-24T04:33:53"/>
    <s v="19-3943"/>
    <s v="P085"/>
    <x v="14"/>
    <n v="320"/>
    <n v="80"/>
    <n v="3840"/>
    <n v="960"/>
    <n v="2880"/>
    <x v="162"/>
    <s v="Creative &amp; Technology"/>
    <n v="14.064516999204997"/>
    <s v="Neither"/>
    <n v="5"/>
  </r>
  <r>
    <d v="2021-03-24T13:52:14"/>
    <s v="21-3543"/>
    <s v="P062"/>
    <x v="18"/>
    <n v="348"/>
    <n v="87"/>
    <n v="6264"/>
    <n v="1566"/>
    <n v="4698"/>
    <x v="9"/>
    <s v="Sports &amp; Recreation"/>
    <n v="15.602184182549776"/>
    <s v="Neither"/>
    <n v="5"/>
  </r>
  <r>
    <d v="2018-12-03T01:03:14"/>
    <s v="18-4595"/>
    <s v="P002"/>
    <x v="16"/>
    <n v="144"/>
    <n v="36"/>
    <n v="1296"/>
    <n v="324"/>
    <n v="972"/>
    <x v="153"/>
    <s v="Corporate &amp; Professional"/>
    <n v="11.799431383856128"/>
    <s v="Dissatisfied"/>
    <n v="1"/>
  </r>
  <r>
    <d v="2021-01-20T20:20:32"/>
    <s v="21-1517"/>
    <s v="P044"/>
    <x v="18"/>
    <n v="368"/>
    <n v="92"/>
    <n v="6624"/>
    <n v="1656"/>
    <n v="4968"/>
    <x v="118"/>
    <s v="Community &amp; Government"/>
    <n v="15.60430546146185"/>
    <s v="Dissatisfied"/>
    <n v="1"/>
  </r>
  <r>
    <d v="2018-12-18T05:06:26"/>
    <s v="18-3400"/>
    <s v="P037"/>
    <x v="12"/>
    <n v="160"/>
    <n v="80"/>
    <n v="1120"/>
    <n v="560"/>
    <n v="560"/>
    <x v="276"/>
    <s v="Education"/>
    <n v="10.518436853046438"/>
    <s v="Neither"/>
    <n v="5"/>
  </r>
  <r>
    <d v="2020-02-17T20:07:29"/>
    <s v="20-1698"/>
    <s v="P072"/>
    <x v="1"/>
    <n v="132"/>
    <n v="44"/>
    <n v="1056"/>
    <n v="352"/>
    <n v="704"/>
    <x v="273"/>
    <s v="Corporate &amp; Professional"/>
    <n v="11.971065679104063"/>
    <s v="Dissatisfied"/>
    <n v="1"/>
  </r>
  <r>
    <d v="2022-12-18T02:36:04"/>
    <s v="22-3511"/>
    <s v="P011"/>
    <x v="14"/>
    <n v="264"/>
    <n v="88"/>
    <n v="3168"/>
    <n v="1056"/>
    <n v="2112"/>
    <x v="187"/>
    <s v="Creative &amp; Technology"/>
    <n v="13.259563298324382"/>
    <s v="Satisfied"/>
    <n v="10"/>
  </r>
  <r>
    <d v="2020-12-15T06:55:43"/>
    <s v="20-4794"/>
    <s v="P028"/>
    <x v="16"/>
    <n v="156"/>
    <n v="78"/>
    <n v="1404"/>
    <n v="702"/>
    <n v="702"/>
    <x v="15"/>
    <s v="Community &amp; Government"/>
    <n v="11.631646244583138"/>
    <s v="Neither"/>
    <n v="5"/>
  </r>
  <r>
    <d v="2020-01-16T11:11:11"/>
    <s v="20-2220"/>
    <s v="P071"/>
    <x v="11"/>
    <n v="210"/>
    <n v="70"/>
    <n v="3360"/>
    <n v="1120"/>
    <n v="2240"/>
    <x v="102"/>
    <s v="Facilities &amp; Services"/>
    <n v="9.8928038181361391"/>
    <s v="Neither"/>
    <n v="5"/>
  </r>
  <r>
    <d v="2020-02-26T15:06:34"/>
    <s v="20-4675"/>
    <s v="P093"/>
    <x v="15"/>
    <n v="384"/>
    <n v="96"/>
    <n v="6528"/>
    <n v="1632"/>
    <n v="4896"/>
    <x v="53"/>
    <s v="Education"/>
    <n v="13.288482149665386"/>
    <s v="Neither"/>
    <n v="5"/>
  </r>
  <r>
    <d v="2019-08-28T08:02:51"/>
    <s v="19-4891"/>
    <s v="P030"/>
    <x v="12"/>
    <n v="81"/>
    <n v="27"/>
    <n v="567"/>
    <n v="189"/>
    <n v="378"/>
    <x v="201"/>
    <s v="Community &amp; Government"/>
    <n v="8.1628930629234038"/>
    <s v="Dissatisfied"/>
    <n v="1"/>
  </r>
  <r>
    <d v="2021-05-03T04:26:11"/>
    <s v="21-3315"/>
    <s v="P047"/>
    <x v="8"/>
    <n v="72"/>
    <n v="36"/>
    <n v="1008"/>
    <n v="504"/>
    <n v="504"/>
    <x v="75"/>
    <s v="Healthcare &amp; Safety"/>
    <n v="13.918153610259502"/>
    <s v="Satisfied"/>
    <n v="10"/>
  </r>
  <r>
    <d v="2021-11-17T01:07:25"/>
    <s v="21-3898"/>
    <s v="P067"/>
    <x v="6"/>
    <n v="144"/>
    <n v="36"/>
    <n v="864"/>
    <n v="216"/>
    <n v="648"/>
    <x v="57"/>
    <s v="Facilities &amp; Services"/>
    <n v="12.177709716438097"/>
    <s v="Neither"/>
    <n v="5"/>
  </r>
  <r>
    <d v="2021-09-03T14:52:09"/>
    <s v="21-1849"/>
    <s v="P091"/>
    <x v="3"/>
    <n v="204"/>
    <n v="51"/>
    <n v="816"/>
    <n v="204"/>
    <n v="612"/>
    <x v="241"/>
    <s v="Community &amp; Government"/>
    <n v="15.856807810268592"/>
    <s v="Neither"/>
    <n v="5"/>
  </r>
  <r>
    <d v="2017-07-31T03:39:07"/>
    <s v="17-3225"/>
    <s v="P100"/>
    <x v="17"/>
    <n v="46"/>
    <n v="23"/>
    <n v="46"/>
    <n v="23"/>
    <n v="23"/>
    <x v="62"/>
    <s v="Education"/>
    <n v="12.396052160428608"/>
    <s v="Neither"/>
    <n v="5"/>
  </r>
  <r>
    <d v="2020-11-13T16:23:21"/>
    <s v="20-4922"/>
    <s v="P092"/>
    <x v="11"/>
    <n v="124"/>
    <n v="62"/>
    <n v="1984"/>
    <n v="992"/>
    <n v="992"/>
    <x v="181"/>
    <s v="Sports &amp; Recreation"/>
    <n v="11.072271050116964"/>
    <s v="Neither"/>
    <n v="5"/>
  </r>
  <r>
    <d v="2020-05-30T22:01:29"/>
    <s v="20-2240"/>
    <s v="P009"/>
    <x v="19"/>
    <n v="255"/>
    <n v="85"/>
    <n v="4845"/>
    <n v="1615"/>
    <n v="3230"/>
    <x v="137"/>
    <s v="Facilities &amp; Services"/>
    <n v="15.861056998489449"/>
    <s v="Satisfied"/>
    <n v="10"/>
  </r>
  <r>
    <d v="2020-04-03T00:00:20"/>
    <s v="20-1636"/>
    <s v="P087"/>
    <x v="17"/>
    <n v="176"/>
    <n v="88"/>
    <n v="176"/>
    <n v="88"/>
    <n v="88"/>
    <x v="101"/>
    <s v="Sports &amp; Recreation"/>
    <n v="10.816866337473218"/>
    <s v="Neither"/>
    <n v="5"/>
  </r>
  <r>
    <d v="2021-06-29T03:44:45"/>
    <s v="21-3462"/>
    <s v="P004"/>
    <x v="2"/>
    <n v="189"/>
    <n v="63"/>
    <n v="2457"/>
    <n v="819"/>
    <n v="1638"/>
    <x v="110"/>
    <s v="Sports &amp; Recreation"/>
    <n v="14.690198582365463"/>
    <s v="Satisfied"/>
    <n v="10"/>
  </r>
  <r>
    <d v="2020-05-05T03:35:20"/>
    <s v="20-3930"/>
    <s v="P017"/>
    <x v="14"/>
    <n v="120"/>
    <n v="30"/>
    <n v="1440"/>
    <n v="360"/>
    <n v="1080"/>
    <x v="131"/>
    <s v="Corporate &amp; Professional"/>
    <n v="11.701919153133453"/>
    <s v="Dissatisfied"/>
    <n v="1"/>
  </r>
  <r>
    <d v="2019-12-31T03:16:17"/>
    <s v="19-3560"/>
    <s v="P020"/>
    <x v="14"/>
    <n v="180"/>
    <n v="45"/>
    <n v="2160"/>
    <n v="540"/>
    <n v="1620"/>
    <x v="24"/>
    <s v="Sports &amp; Recreation"/>
    <n v="14.697745043716761"/>
    <s v="Neither"/>
    <n v="5"/>
  </r>
  <r>
    <d v="2022-02-25T11:58:19"/>
    <s v="22-2426"/>
    <s v="P091"/>
    <x v="7"/>
    <n v="204"/>
    <n v="51"/>
    <n v="2244"/>
    <n v="561"/>
    <n v="1683"/>
    <x v="214"/>
    <s v="Corporate &amp; Professional"/>
    <n v="12.985332015423809"/>
    <s v="Satisfied"/>
    <n v="10"/>
  </r>
  <r>
    <d v="2019-01-17T04:13:35"/>
    <s v="19-4292"/>
    <s v="P055"/>
    <x v="4"/>
    <n v="360"/>
    <n v="90"/>
    <n v="720"/>
    <n v="180"/>
    <n v="540"/>
    <x v="49"/>
    <s v="Creative &amp; Technology"/>
    <n v="11.31221475547909"/>
    <s v="Neither"/>
    <n v="5"/>
  </r>
  <r>
    <d v="2021-11-13T05:50:19"/>
    <s v="21-3326"/>
    <s v="P071"/>
    <x v="1"/>
    <n v="210"/>
    <n v="70"/>
    <n v="1680"/>
    <n v="560"/>
    <n v="1120"/>
    <x v="216"/>
    <s v="Corporate &amp; Professional"/>
    <n v="9.1057685343725456"/>
    <s v="Satisfied"/>
    <n v="10"/>
  </r>
  <r>
    <d v="2018-08-16T02:46:23"/>
    <s v="18-3504"/>
    <s v="P021"/>
    <x v="1"/>
    <n v="207"/>
    <n v="69"/>
    <n v="1656"/>
    <n v="552"/>
    <n v="1104"/>
    <x v="19"/>
    <s v="Community &amp; Government"/>
    <n v="15.140903556171683"/>
    <s v="Satisfied"/>
    <n v="10"/>
  </r>
  <r>
    <d v="2020-06-14T10:23:51"/>
    <s v="20-3792"/>
    <s v="P010"/>
    <x v="6"/>
    <n v="144"/>
    <n v="36"/>
    <n v="864"/>
    <n v="216"/>
    <n v="648"/>
    <x v="94"/>
    <s v="Corporate &amp; Professional"/>
    <n v="9.0350666811770921"/>
    <s v="Neither"/>
    <n v="5"/>
  </r>
  <r>
    <d v="2019-12-18T16:10:31"/>
    <s v="19-1849"/>
    <s v="P091"/>
    <x v="14"/>
    <n v="204"/>
    <n v="51"/>
    <n v="2448"/>
    <n v="612"/>
    <n v="1836"/>
    <x v="225"/>
    <s v="Healthcare &amp; Safety"/>
    <n v="9.4608554813364627"/>
    <s v="Neither"/>
    <n v="5"/>
  </r>
  <r>
    <d v="2019-01-31T13:08:53"/>
    <s v="19-1739"/>
    <s v="P030"/>
    <x v="10"/>
    <n v="81"/>
    <n v="27"/>
    <n v="405"/>
    <n v="135"/>
    <n v="270"/>
    <x v="26"/>
    <s v="Sports &amp; Recreation"/>
    <n v="14.16303548174143"/>
    <s v="Neither"/>
    <n v="5"/>
  </r>
  <r>
    <d v="2019-07-25T21:49:10"/>
    <s v="19-4175"/>
    <s v="P033"/>
    <x v="17"/>
    <n v="57"/>
    <n v="19"/>
    <n v="57"/>
    <n v="19"/>
    <n v="38"/>
    <x v="164"/>
    <s v="Education"/>
    <n v="10.954865572729823"/>
    <s v="Dissatisfied"/>
    <n v="1"/>
  </r>
  <r>
    <d v="2020-11-26T04:03:56"/>
    <s v="20-1125"/>
    <s v="P011"/>
    <x v="11"/>
    <n v="264"/>
    <n v="88"/>
    <n v="4224"/>
    <n v="1408"/>
    <n v="2816"/>
    <x v="58"/>
    <s v="Creative &amp; Technology"/>
    <n v="11.995406972581796"/>
    <s v="Neither"/>
    <n v="5"/>
  </r>
  <r>
    <d v="2020-12-28T16:05:13"/>
    <s v="20-2459"/>
    <s v="P066"/>
    <x v="3"/>
    <n v="34"/>
    <n v="17"/>
    <n v="136"/>
    <n v="68"/>
    <n v="68"/>
    <x v="283"/>
    <s v="Creative &amp; Technology"/>
    <n v="11.0700865530371"/>
    <s v="Dissatisfied"/>
    <n v="1"/>
  </r>
  <r>
    <d v="2021-11-18T12:24:45"/>
    <s v="21-3934"/>
    <s v="P057"/>
    <x v="16"/>
    <n v="252"/>
    <n v="63"/>
    <n v="2268"/>
    <n v="567"/>
    <n v="1701"/>
    <x v="266"/>
    <s v="Corporate &amp; Professional"/>
    <n v="9.8776671534059073"/>
    <s v="Neither"/>
    <n v="5"/>
  </r>
  <r>
    <d v="2021-08-05T09:05:40"/>
    <s v="21-3429"/>
    <s v="P038"/>
    <x v="5"/>
    <n v="240"/>
    <n v="80"/>
    <n v="720"/>
    <n v="240"/>
    <n v="480"/>
    <x v="198"/>
    <s v="Corporate &amp; Professional"/>
    <n v="6.9183250411917196"/>
    <s v="Neither"/>
    <n v="5"/>
  </r>
  <r>
    <d v="2023-03-21T07:17:57"/>
    <s v="23-3459"/>
    <s v="P051"/>
    <x v="19"/>
    <n v="135"/>
    <n v="45"/>
    <n v="2565"/>
    <n v="855"/>
    <n v="1710"/>
    <x v="278"/>
    <s v="Facilities &amp; Services"/>
    <n v="12.427459362224146"/>
    <s v="Neither"/>
    <n v="5"/>
  </r>
  <r>
    <d v="2018-12-20T22:39:19"/>
    <s v="18-3073"/>
    <s v="P055"/>
    <x v="6"/>
    <n v="360"/>
    <n v="90"/>
    <n v="2160"/>
    <n v="540"/>
    <n v="1620"/>
    <x v="161"/>
    <s v="Corporate &amp; Professional"/>
    <n v="11.003496633574638"/>
    <s v="Neither"/>
    <n v="5"/>
  </r>
  <r>
    <d v="2020-09-08T18:20:12"/>
    <s v="20-2275"/>
    <s v="P095"/>
    <x v="8"/>
    <n v="116"/>
    <n v="29"/>
    <n v="1624"/>
    <n v="406"/>
    <n v="1218"/>
    <x v="253"/>
    <s v="Facilities &amp; Services"/>
    <n v="11.961761925704458"/>
    <s v="Neither"/>
    <n v="5"/>
  </r>
  <r>
    <d v="2020-07-07T06:35:24"/>
    <s v="20-4639"/>
    <s v="P061"/>
    <x v="9"/>
    <n v="264"/>
    <n v="88"/>
    <n v="5280"/>
    <n v="1760"/>
    <n v="3520"/>
    <x v="24"/>
    <s v="Sports &amp; Recreation"/>
    <n v="14.697745043716761"/>
    <s v="Satisfied"/>
    <n v="10"/>
  </r>
  <r>
    <d v="2020-04-17T09:31:19"/>
    <s v="20-2333"/>
    <s v="P037"/>
    <x v="16"/>
    <n v="160"/>
    <n v="80"/>
    <n v="1440"/>
    <n v="720"/>
    <n v="720"/>
    <x v="56"/>
    <s v="Corporate &amp; Professional"/>
    <n v="12.007834550770397"/>
    <s v="Neither"/>
    <n v="5"/>
  </r>
  <r>
    <d v="2021-07-15T09:28:40"/>
    <s v="21-4957"/>
    <s v="P028"/>
    <x v="17"/>
    <n v="156"/>
    <n v="78"/>
    <n v="156"/>
    <n v="78"/>
    <n v="78"/>
    <x v="148"/>
    <s v="Healthcare &amp; Safety"/>
    <n v="14.845213075061906"/>
    <s v="Neither"/>
    <n v="5"/>
  </r>
  <r>
    <d v="2020-02-22T13:42:56"/>
    <s v="20-4738"/>
    <s v="P084"/>
    <x v="0"/>
    <n v="154"/>
    <n v="77"/>
    <n v="2310"/>
    <n v="1155"/>
    <n v="1155"/>
    <x v="190"/>
    <s v="Corporate &amp; Professional"/>
    <n v="15.478388039566896"/>
    <s v="Neither"/>
    <n v="5"/>
  </r>
  <r>
    <d v="2021-03-16T15:04:46"/>
    <s v="21-2350"/>
    <s v="P043"/>
    <x v="8"/>
    <n v="184"/>
    <n v="92"/>
    <n v="2576"/>
    <n v="1288"/>
    <n v="1288"/>
    <x v="63"/>
    <s v="Sports &amp; Recreation"/>
    <n v="14.030594525378042"/>
    <s v="Satisfied"/>
    <n v="10"/>
  </r>
  <r>
    <d v="2020-08-31T00:04:07"/>
    <s v="20-3189"/>
    <s v="P044"/>
    <x v="0"/>
    <n v="368"/>
    <n v="92"/>
    <n v="5520"/>
    <n v="1380"/>
    <n v="4140"/>
    <x v="122"/>
    <s v="Creative &amp; Technology"/>
    <n v="11.082295381980092"/>
    <s v="Satisfied"/>
    <n v="10"/>
  </r>
  <r>
    <d v="2019-07-12T14:25:51"/>
    <s v="19-3861"/>
    <s v="P029"/>
    <x v="19"/>
    <n v="300"/>
    <n v="75"/>
    <n v="5700"/>
    <n v="1425"/>
    <n v="4275"/>
    <x v="21"/>
    <s v="Facilities &amp; Services"/>
    <n v="13.717776078041958"/>
    <s v="Neither"/>
    <n v="5"/>
  </r>
  <r>
    <d v="2021-01-24T15:47:30"/>
    <s v="21-2350"/>
    <s v="P084"/>
    <x v="4"/>
    <n v="154"/>
    <n v="77"/>
    <n v="308"/>
    <n v="154"/>
    <n v="154"/>
    <x v="9"/>
    <s v="Sports &amp; Recreation"/>
    <n v="15.602184182549776"/>
    <s v="Neither"/>
    <n v="5"/>
  </r>
  <r>
    <d v="2020-07-11T08:38:36"/>
    <s v="20-3505"/>
    <s v="P098"/>
    <x v="17"/>
    <n v="201"/>
    <n v="67"/>
    <n v="201"/>
    <n v="67"/>
    <n v="134"/>
    <x v="262"/>
    <s v="Healthcare &amp; Safety"/>
    <n v="13.00553764131261"/>
    <s v="Satisfied"/>
    <n v="10"/>
  </r>
  <r>
    <d v="2022-10-18T07:23:25"/>
    <s v="22-3604"/>
    <s v="P023"/>
    <x v="13"/>
    <n v="126"/>
    <n v="42"/>
    <n v="1260"/>
    <n v="420"/>
    <n v="840"/>
    <x v="48"/>
    <s v="Creative &amp; Technology"/>
    <n v="11.939773463335372"/>
    <s v="Dissatisfied"/>
    <n v="1"/>
  </r>
  <r>
    <d v="2019-06-09T06:51:07"/>
    <s v="19-2421"/>
    <s v="P002"/>
    <x v="12"/>
    <n v="144"/>
    <n v="36"/>
    <n v="1008"/>
    <n v="252"/>
    <n v="756"/>
    <x v="248"/>
    <s v="Creative &amp; Technology"/>
    <n v="11.130819205617987"/>
    <s v="Satisfied"/>
    <n v="10"/>
  </r>
  <r>
    <d v="2018-11-12T11:22:13"/>
    <s v="18-2563"/>
    <s v="P059"/>
    <x v="14"/>
    <n v="267"/>
    <n v="89"/>
    <n v="3204"/>
    <n v="1068"/>
    <n v="2136"/>
    <x v="44"/>
    <s v="Corporate &amp; Professional"/>
    <n v="9.9311000381363836"/>
    <s v="Satisfied"/>
    <n v="10"/>
  </r>
  <r>
    <d v="2021-10-30T12:36:05"/>
    <s v="21-1935"/>
    <s v="P009"/>
    <x v="3"/>
    <n v="255"/>
    <n v="85"/>
    <n v="1020"/>
    <n v="340"/>
    <n v="680"/>
    <x v="226"/>
    <s v="Community &amp; Government"/>
    <n v="11.927799225928501"/>
    <s v="Satisfied"/>
    <n v="10"/>
  </r>
  <r>
    <d v="2021-03-08T03:26:58"/>
    <s v="21-1986"/>
    <s v="P046"/>
    <x v="9"/>
    <n v="38"/>
    <n v="19"/>
    <n v="760"/>
    <n v="380"/>
    <n v="380"/>
    <x v="35"/>
    <s v="Sports &amp; Recreation"/>
    <n v="12.487915239531313"/>
    <s v="Neither"/>
    <n v="5"/>
  </r>
  <r>
    <d v="2018-11-09T08:49:58"/>
    <s v="18-4563"/>
    <s v="P100"/>
    <x v="15"/>
    <n v="46"/>
    <n v="23"/>
    <n v="782"/>
    <n v="391"/>
    <n v="391"/>
    <x v="200"/>
    <s v="Community &amp; Government"/>
    <n v="12.460490918487697"/>
    <s v="Neither"/>
    <n v="5"/>
  </r>
  <r>
    <d v="2021-02-07T21:23:30"/>
    <s v="21-3842"/>
    <s v="P091"/>
    <x v="5"/>
    <n v="204"/>
    <n v="51"/>
    <n v="612"/>
    <n v="153"/>
    <n v="459"/>
    <x v="161"/>
    <s v="Corporate &amp; Professional"/>
    <n v="11.003496633574638"/>
    <s v="Neither"/>
    <n v="5"/>
  </r>
  <r>
    <d v="2018-07-17T23:27:04"/>
    <s v="18-3887"/>
    <s v="P005"/>
    <x v="7"/>
    <n v="76"/>
    <n v="19"/>
    <n v="836"/>
    <n v="209"/>
    <n v="627"/>
    <x v="146"/>
    <s v="Creative &amp; Technology"/>
    <n v="10.764293826791503"/>
    <s v="Neither"/>
    <n v="5"/>
  </r>
  <r>
    <d v="2017-12-03T02:14:19"/>
    <s v="17-2741"/>
    <s v="P013"/>
    <x v="5"/>
    <n v="58"/>
    <n v="29"/>
    <n v="174"/>
    <n v="87"/>
    <n v="87"/>
    <x v="178"/>
    <s v="Education"/>
    <n v="14.760829371220243"/>
    <s v="Satisfied"/>
    <n v="10"/>
  </r>
  <r>
    <d v="2017-11-13T11:55:50"/>
    <s v="17-4776"/>
    <s v="P007"/>
    <x v="10"/>
    <n v="225"/>
    <n v="75"/>
    <n v="1125"/>
    <n v="375"/>
    <n v="750"/>
    <x v="281"/>
    <s v="Community &amp; Government"/>
    <n v="13.811876869930865"/>
    <s v="Neither"/>
    <n v="5"/>
  </r>
  <r>
    <d v="2018-10-01T16:33:24"/>
    <s v="18-1994"/>
    <s v="P090"/>
    <x v="5"/>
    <n v="57"/>
    <n v="19"/>
    <n v="171"/>
    <n v="57"/>
    <n v="114"/>
    <x v="177"/>
    <s v="Creative &amp; Technology"/>
    <n v="14.66147716237918"/>
    <s v="Dissatisfied"/>
    <n v="1"/>
  </r>
  <r>
    <d v="2020-04-01T18:20:15"/>
    <s v="20-1286"/>
    <s v="P072"/>
    <x v="2"/>
    <n v="132"/>
    <n v="44"/>
    <n v="1716"/>
    <n v="572"/>
    <n v="1144"/>
    <x v="228"/>
    <s v="Corporate &amp; Professional"/>
    <n v="16.254955391951082"/>
    <s v="Dissatisfied"/>
    <n v="1"/>
  </r>
  <r>
    <d v="2019-03-02T02:07:39"/>
    <s v="19-1981"/>
    <s v="P083"/>
    <x v="18"/>
    <n v="90"/>
    <n v="45"/>
    <n v="1620"/>
    <n v="810"/>
    <n v="810"/>
    <x v="94"/>
    <s v="Corporate &amp; Professional"/>
    <n v="9.0350666811770921"/>
    <s v="Satisfied"/>
    <n v="10"/>
  </r>
  <r>
    <d v="2022-09-24T23:58:40"/>
    <s v="22-4893"/>
    <s v="P072"/>
    <x v="14"/>
    <n v="132"/>
    <n v="44"/>
    <n v="1584"/>
    <n v="528"/>
    <n v="1056"/>
    <x v="262"/>
    <s v="Healthcare &amp; Safety"/>
    <n v="13.00553764131261"/>
    <s v="Neither"/>
    <n v="5"/>
  </r>
  <r>
    <d v="2017-12-16T19:04:03"/>
    <s v="17-2359"/>
    <s v="P060"/>
    <x v="10"/>
    <n v="300"/>
    <n v="75"/>
    <n v="1500"/>
    <n v="375"/>
    <n v="1125"/>
    <x v="45"/>
    <s v="Sports &amp; Recreation"/>
    <n v="12.1334991293512"/>
    <s v="Neither"/>
    <n v="5"/>
  </r>
  <r>
    <d v="2022-05-26T02:28:35"/>
    <s v="22-4142"/>
    <s v="P089"/>
    <x v="3"/>
    <n v="102"/>
    <n v="51"/>
    <n v="408"/>
    <n v="204"/>
    <n v="204"/>
    <x v="96"/>
    <s v="Healthcare &amp; Safety"/>
    <n v="11.221666113009938"/>
    <s v="Satisfied"/>
    <n v="10"/>
  </r>
  <r>
    <d v="2019-01-28T02:49:04"/>
    <s v="19-2248"/>
    <s v="P067"/>
    <x v="19"/>
    <n v="144"/>
    <n v="36"/>
    <n v="2736"/>
    <n v="684"/>
    <n v="2052"/>
    <x v="184"/>
    <s v="Community &amp; Government"/>
    <n v="8.8169309002713945"/>
    <s v="Satisfied"/>
    <n v="10"/>
  </r>
  <r>
    <d v="2021-05-20T19:53:46"/>
    <s v="21-4088"/>
    <s v="P078"/>
    <x v="13"/>
    <n v="225"/>
    <n v="75"/>
    <n v="2250"/>
    <n v="750"/>
    <n v="1500"/>
    <x v="51"/>
    <s v="Facilities &amp; Services"/>
    <n v="10.523527521613014"/>
    <s v="Neither"/>
    <n v="5"/>
  </r>
  <r>
    <d v="2020-09-06T16:24:15"/>
    <s v="20-4071"/>
    <s v="P066"/>
    <x v="4"/>
    <n v="34"/>
    <n v="17"/>
    <n v="68"/>
    <n v="34"/>
    <n v="34"/>
    <x v="233"/>
    <s v="Education"/>
    <n v="9.5176115401380308"/>
    <s v="Neither"/>
    <n v="5"/>
  </r>
  <r>
    <d v="2018-11-17T08:18:35"/>
    <s v="18-4582"/>
    <s v="P017"/>
    <x v="17"/>
    <n v="120"/>
    <n v="30"/>
    <n v="120"/>
    <n v="30"/>
    <n v="90"/>
    <x v="230"/>
    <s v="Community &amp; Government"/>
    <n v="12.155895475340943"/>
    <s v="Neither"/>
    <n v="5"/>
  </r>
  <r>
    <d v="2021-08-23T08:59:48"/>
    <s v="21-4364"/>
    <s v="P044"/>
    <x v="18"/>
    <n v="368"/>
    <n v="92"/>
    <n v="6624"/>
    <n v="1656"/>
    <n v="4968"/>
    <x v="283"/>
    <s v="Creative &amp; Technology"/>
    <n v="11.0700865530371"/>
    <s v="Neither"/>
    <n v="5"/>
  </r>
  <r>
    <d v="2018-12-11T20:23:09"/>
    <s v="18-4488"/>
    <s v="P075"/>
    <x v="13"/>
    <n v="160"/>
    <n v="80"/>
    <n v="1600"/>
    <n v="800"/>
    <n v="800"/>
    <x v="242"/>
    <s v="Corporate &amp; Professional"/>
    <n v="13.062292798511226"/>
    <s v="Satisfied"/>
    <n v="10"/>
  </r>
  <r>
    <d v="2021-05-26T17:12:26"/>
    <s v="21-1834"/>
    <s v="P078"/>
    <x v="6"/>
    <n v="225"/>
    <n v="75"/>
    <n v="1350"/>
    <n v="450"/>
    <n v="900"/>
    <x v="94"/>
    <s v="Corporate &amp; Professional"/>
    <n v="9.0350666811770921"/>
    <s v="Neither"/>
    <n v="5"/>
  </r>
  <r>
    <d v="2019-12-01T06:37:45"/>
    <s v="19-4914"/>
    <s v="P086"/>
    <x v="14"/>
    <n v="352"/>
    <n v="88"/>
    <n v="4224"/>
    <n v="1056"/>
    <n v="3168"/>
    <x v="6"/>
    <s v="Creative &amp; Technology"/>
    <n v="11.749993886708426"/>
    <s v="Neither"/>
    <n v="5"/>
  </r>
  <r>
    <d v="2021-01-18T01:32:50"/>
    <s v="21-1583"/>
    <s v="P065"/>
    <x v="8"/>
    <n v="50"/>
    <n v="25"/>
    <n v="700"/>
    <n v="350"/>
    <n v="350"/>
    <x v="200"/>
    <s v="Community &amp; Government"/>
    <n v="12.460490918487697"/>
    <s v="Neither"/>
    <n v="5"/>
  </r>
  <r>
    <d v="2017-09-14T04:21:55"/>
    <s v="17-4811"/>
    <s v="P066"/>
    <x v="1"/>
    <n v="34"/>
    <n v="17"/>
    <n v="272"/>
    <n v="136"/>
    <n v="136"/>
    <x v="49"/>
    <s v="Creative &amp; Technology"/>
    <n v="11.31221475547909"/>
    <s v="Dissatisfied"/>
    <n v="1"/>
  </r>
  <r>
    <d v="2020-04-17T00:51:05"/>
    <s v="20-1391"/>
    <s v="P095"/>
    <x v="7"/>
    <n v="116"/>
    <n v="29"/>
    <n v="1276"/>
    <n v="319"/>
    <n v="957"/>
    <x v="143"/>
    <s v="Community &amp; Government"/>
    <n v="12.732640267350657"/>
    <s v="Satisfied"/>
    <n v="10"/>
  </r>
  <r>
    <d v="2019-11-15T13:45:43"/>
    <s v="19-2819"/>
    <s v="P030"/>
    <x v="16"/>
    <n v="81"/>
    <n v="27"/>
    <n v="729"/>
    <n v="243"/>
    <n v="486"/>
    <x v="44"/>
    <s v="Corporate &amp; Professional"/>
    <n v="9.9311000381363836"/>
    <s v="Dissatisfied"/>
    <n v="1"/>
  </r>
  <r>
    <d v="2016-11-19T06:31:44"/>
    <s v="16-2390"/>
    <s v="P043"/>
    <x v="1"/>
    <n v="184"/>
    <n v="92"/>
    <n v="1472"/>
    <n v="736"/>
    <n v="736"/>
    <x v="275"/>
    <s v="Healthcare &amp; Safety"/>
    <n v="10.428287009858728"/>
    <s v="Neither"/>
    <n v="5"/>
  </r>
  <r>
    <d v="2020-02-19T13:08:34"/>
    <s v="20-2462"/>
    <s v="P015"/>
    <x v="0"/>
    <n v="176"/>
    <n v="88"/>
    <n v="2640"/>
    <n v="1320"/>
    <n v="1320"/>
    <x v="17"/>
    <s v="Education"/>
    <n v="9.8238489437106278"/>
    <s v="Neither"/>
    <n v="5"/>
  </r>
  <r>
    <d v="2021-08-26T14:45:56"/>
    <s v="21-2233"/>
    <s v="P023"/>
    <x v="3"/>
    <n v="126"/>
    <n v="42"/>
    <n v="504"/>
    <n v="168"/>
    <n v="336"/>
    <x v="131"/>
    <s v="Corporate &amp; Professional"/>
    <n v="11.701919153133453"/>
    <s v="Satisfied"/>
    <n v="10"/>
  </r>
  <r>
    <d v="2019-02-15T23:59:18"/>
    <s v="19-3035"/>
    <s v="P067"/>
    <x v="16"/>
    <n v="144"/>
    <n v="36"/>
    <n v="1296"/>
    <n v="324"/>
    <n v="972"/>
    <x v="6"/>
    <s v="Creative &amp; Technology"/>
    <n v="11.749993886708426"/>
    <s v="Neither"/>
    <n v="5"/>
  </r>
  <r>
    <d v="2021-06-29T05:22:49"/>
    <s v="21-4889"/>
    <s v="P088"/>
    <x v="10"/>
    <n v="192"/>
    <n v="96"/>
    <n v="960"/>
    <n v="480"/>
    <n v="480"/>
    <x v="124"/>
    <s v="Sports &amp; Recreation"/>
    <n v="13.115597690631557"/>
    <s v="Dissatisfied"/>
    <n v="1"/>
  </r>
  <r>
    <d v="2018-06-17T06:29:41"/>
    <s v="18-2153"/>
    <s v="P038"/>
    <x v="12"/>
    <n v="240"/>
    <n v="80"/>
    <n v="1680"/>
    <n v="560"/>
    <n v="1120"/>
    <x v="101"/>
    <s v="Sports &amp; Recreation"/>
    <n v="10.816866337473218"/>
    <s v="Dissatisfied"/>
    <n v="1"/>
  </r>
  <r>
    <d v="2021-02-24T11:37:39"/>
    <s v="21-3861"/>
    <s v="P014"/>
    <x v="12"/>
    <n v="166"/>
    <n v="83"/>
    <n v="1162"/>
    <n v="581"/>
    <n v="581"/>
    <x v="9"/>
    <s v="Sports &amp; Recreation"/>
    <n v="15.602184182549776"/>
    <s v="Neither"/>
    <n v="5"/>
  </r>
  <r>
    <d v="2020-09-21T21:55:26"/>
    <s v="20-2381"/>
    <s v="P026"/>
    <x v="18"/>
    <n v="280"/>
    <n v="70"/>
    <n v="5040"/>
    <n v="1260"/>
    <n v="3780"/>
    <x v="129"/>
    <s v="Community &amp; Government"/>
    <n v="10.813269600021069"/>
    <s v="Satisfied"/>
    <n v="10"/>
  </r>
  <r>
    <d v="2019-05-03T00:51:25"/>
    <s v="19-3850"/>
    <s v="P044"/>
    <x v="19"/>
    <n v="368"/>
    <n v="92"/>
    <n v="6992"/>
    <n v="1748"/>
    <n v="5244"/>
    <x v="27"/>
    <s v="Healthcare &amp; Safety"/>
    <n v="10.42743035829395"/>
    <s v="Neither"/>
    <n v="5"/>
  </r>
  <r>
    <d v="2022-10-08T06:42:28"/>
    <s v="22-3748"/>
    <s v="P096"/>
    <x v="5"/>
    <n v="144"/>
    <n v="48"/>
    <n v="432"/>
    <n v="144"/>
    <n v="288"/>
    <x v="50"/>
    <s v="Creative &amp; Technology"/>
    <n v="12.551203838971933"/>
    <s v="Satisfied"/>
    <n v="10"/>
  </r>
  <r>
    <d v="2020-11-27T13:44:07"/>
    <s v="20-3872"/>
    <s v="P025"/>
    <x v="15"/>
    <n v="210"/>
    <n v="70"/>
    <n v="3570"/>
    <n v="1190"/>
    <n v="2380"/>
    <x v="2"/>
    <s v="Facilities &amp; Services"/>
    <n v="9.3226775515721787"/>
    <s v="Neither"/>
    <n v="5"/>
  </r>
  <r>
    <d v="2019-05-24T01:55:52"/>
    <s v="19-1536"/>
    <s v="P004"/>
    <x v="13"/>
    <n v="189"/>
    <n v="63"/>
    <n v="1890"/>
    <n v="630"/>
    <n v="1260"/>
    <x v="200"/>
    <s v="Community &amp; Government"/>
    <n v="12.460490918487697"/>
    <s v="Dissatisfied"/>
    <n v="1"/>
  </r>
  <r>
    <d v="2019-06-15T09:40:17"/>
    <s v="19-3399"/>
    <s v="P034"/>
    <x v="8"/>
    <n v="114"/>
    <n v="57"/>
    <n v="1596"/>
    <n v="798"/>
    <n v="798"/>
    <x v="243"/>
    <s v="Creative &amp; Technology"/>
    <n v="11.952554704438674"/>
    <s v="Neither"/>
    <n v="5"/>
  </r>
  <r>
    <d v="2020-07-17T06:48:25"/>
    <s v="20-2068"/>
    <s v="P025"/>
    <x v="19"/>
    <n v="210"/>
    <n v="70"/>
    <n v="3990"/>
    <n v="1330"/>
    <n v="2660"/>
    <x v="13"/>
    <s v="Sports &amp; Recreation"/>
    <n v="12.163730387337393"/>
    <s v="Dissatisfied"/>
    <n v="1"/>
  </r>
  <r>
    <d v="2019-05-23T23:24:24"/>
    <s v="19-3256"/>
    <s v="P040"/>
    <x v="14"/>
    <n v="160"/>
    <n v="80"/>
    <n v="1920"/>
    <n v="960"/>
    <n v="960"/>
    <x v="113"/>
    <s v="Community &amp; Government"/>
    <n v="11.655355879643379"/>
    <s v="Neither"/>
    <n v="5"/>
  </r>
  <r>
    <d v="2019-09-24T14:40:53"/>
    <s v="19-3575"/>
    <s v="P038"/>
    <x v="11"/>
    <n v="240"/>
    <n v="80"/>
    <n v="3840"/>
    <n v="1280"/>
    <n v="2560"/>
    <x v="102"/>
    <s v="Facilities &amp; Services"/>
    <n v="9.8928038181361391"/>
    <s v="Satisfied"/>
    <n v="10"/>
  </r>
  <r>
    <d v="2019-03-16T01:37:05"/>
    <s v="19-2159"/>
    <s v="P019"/>
    <x v="3"/>
    <n v="308"/>
    <n v="77"/>
    <n v="1232"/>
    <n v="308"/>
    <n v="924"/>
    <x v="240"/>
    <s v="Sports &amp; Recreation"/>
    <n v="12.701325659159139"/>
    <s v="Neither"/>
    <n v="5"/>
  </r>
  <r>
    <d v="2019-10-14T18:38:27"/>
    <s v="19-2985"/>
    <s v="P003"/>
    <x v="6"/>
    <n v="189"/>
    <n v="63"/>
    <n v="1134"/>
    <n v="378"/>
    <n v="756"/>
    <x v="194"/>
    <s v="Community &amp; Government"/>
    <n v="9.879282537628514"/>
    <s v="Neither"/>
    <n v="5"/>
  </r>
  <r>
    <d v="2022-12-29T23:16:46"/>
    <s v="22-1388"/>
    <s v="P059"/>
    <x v="17"/>
    <n v="267"/>
    <n v="89"/>
    <n v="267"/>
    <n v="89"/>
    <n v="178"/>
    <x v="69"/>
    <s v="Healthcare &amp; Safety"/>
    <n v="9.3014286057233697"/>
    <s v="Satisfied"/>
    <n v="10"/>
  </r>
  <r>
    <d v="2020-07-23T05:26:11"/>
    <s v="20-1033"/>
    <s v="P015"/>
    <x v="6"/>
    <n v="176"/>
    <n v="88"/>
    <n v="1056"/>
    <n v="528"/>
    <n v="528"/>
    <x v="241"/>
    <s v="Community &amp; Government"/>
    <n v="15.856807810268592"/>
    <s v="Neither"/>
    <n v="5"/>
  </r>
  <r>
    <d v="2021-08-10T13:05:28"/>
    <s v="21-1000"/>
    <s v="P076"/>
    <x v="11"/>
    <n v="94"/>
    <n v="47"/>
    <n v="1504"/>
    <n v="752"/>
    <n v="752"/>
    <x v="188"/>
    <s v="Healthcare &amp; Safety"/>
    <n v="9.8892508156549788"/>
    <s v="Neither"/>
    <n v="5"/>
  </r>
  <r>
    <d v="2019-05-05T12:48:39"/>
    <s v="19-2330"/>
    <s v="P023"/>
    <x v="18"/>
    <n v="126"/>
    <n v="42"/>
    <n v="2268"/>
    <n v="756"/>
    <n v="1512"/>
    <x v="23"/>
    <s v="Healthcare &amp; Safety"/>
    <n v="13.407340878370247"/>
    <s v="Neither"/>
    <n v="5"/>
  </r>
  <r>
    <d v="2023-02-15T13:14:11"/>
    <s v="23-1220"/>
    <s v="P078"/>
    <x v="1"/>
    <n v="225"/>
    <n v="75"/>
    <n v="1800"/>
    <n v="600"/>
    <n v="1200"/>
    <x v="271"/>
    <s v="Sports &amp; Recreation"/>
    <n v="13.601235361661526"/>
    <s v="Neither"/>
    <n v="5"/>
  </r>
  <r>
    <d v="2019-11-22T13:20:20"/>
    <s v="19-2175"/>
    <s v="P076"/>
    <x v="12"/>
    <n v="94"/>
    <n v="47"/>
    <n v="658"/>
    <n v="329"/>
    <n v="329"/>
    <x v="27"/>
    <s v="Healthcare &amp; Safety"/>
    <n v="10.42743035829395"/>
    <s v="Neither"/>
    <n v="5"/>
  </r>
  <r>
    <d v="2018-12-31T00:05:35"/>
    <s v="18-1050"/>
    <s v="P077"/>
    <x v="9"/>
    <n v="162"/>
    <n v="54"/>
    <n v="3240"/>
    <n v="1080"/>
    <n v="2160"/>
    <x v="258"/>
    <s v="Corporate &amp; Professional"/>
    <n v="14.538471643780088"/>
    <s v="Neither"/>
    <n v="5"/>
  </r>
  <r>
    <d v="2020-04-11T06:33:33"/>
    <s v="20-3589"/>
    <s v="P052"/>
    <x v="17"/>
    <n v="352"/>
    <n v="88"/>
    <n v="352"/>
    <n v="88"/>
    <n v="264"/>
    <x v="4"/>
    <s v="Education"/>
    <n v="15.24190997853951"/>
    <s v="Satisfied"/>
    <n v="10"/>
  </r>
  <r>
    <d v="2022-08-18T00:27:20"/>
    <s v="22-3059"/>
    <s v="P077"/>
    <x v="18"/>
    <n v="162"/>
    <n v="54"/>
    <n v="2916"/>
    <n v="972"/>
    <n v="1944"/>
    <x v="242"/>
    <s v="Corporate &amp; Professional"/>
    <n v="13.062292798511226"/>
    <s v="Neither"/>
    <n v="5"/>
  </r>
  <r>
    <d v="2020-03-04T19:04:14"/>
    <s v="20-2963"/>
    <s v="P059"/>
    <x v="14"/>
    <n v="267"/>
    <n v="89"/>
    <n v="3204"/>
    <n v="1068"/>
    <n v="2136"/>
    <x v="109"/>
    <s v="Sports &amp; Recreation"/>
    <n v="13.092530646074781"/>
    <s v="Neither"/>
    <n v="5"/>
  </r>
  <r>
    <d v="2021-08-18T06:51:17"/>
    <s v="21-1160"/>
    <s v="P025"/>
    <x v="2"/>
    <n v="210"/>
    <n v="70"/>
    <n v="2730"/>
    <n v="910"/>
    <n v="1820"/>
    <x v="52"/>
    <s v="Facilities &amp; Services"/>
    <n v="14.573178107544177"/>
    <s v="Neither"/>
    <n v="5"/>
  </r>
  <r>
    <d v="2021-05-29T18:01:03"/>
    <s v="21-1910"/>
    <s v="P017"/>
    <x v="2"/>
    <n v="120"/>
    <n v="30"/>
    <n v="1560"/>
    <n v="390"/>
    <n v="1170"/>
    <x v="71"/>
    <s v="Corporate &amp; Professional"/>
    <n v="11.274864741138284"/>
    <s v="Neither"/>
    <n v="5"/>
  </r>
  <r>
    <d v="2017-09-02T19:13:06"/>
    <s v="17-2114"/>
    <s v="P008"/>
    <x v="6"/>
    <n v="225"/>
    <n v="75"/>
    <n v="1350"/>
    <n v="450"/>
    <n v="900"/>
    <x v="104"/>
    <s v="Facilities &amp; Services"/>
    <n v="11.769293993029555"/>
    <s v="Neither"/>
    <n v="5"/>
  </r>
  <r>
    <d v="2022-07-18T09:37:55"/>
    <s v="22-1754"/>
    <s v="P009"/>
    <x v="3"/>
    <n v="255"/>
    <n v="85"/>
    <n v="1020"/>
    <n v="340"/>
    <n v="680"/>
    <x v="206"/>
    <s v="Community &amp; Government"/>
    <n v="12.699042739101285"/>
    <s v="Neither"/>
    <n v="5"/>
  </r>
  <r>
    <d v="2020-06-29T04:41:19"/>
    <s v="20-3710"/>
    <s v="P087"/>
    <x v="5"/>
    <n v="176"/>
    <n v="88"/>
    <n v="528"/>
    <n v="264"/>
    <n v="264"/>
    <x v="160"/>
    <s v="Creative &amp; Technology"/>
    <n v="8.8514729234790472"/>
    <s v="Dissatisfied"/>
    <n v="1"/>
  </r>
  <r>
    <d v="2018-05-18T01:41:11"/>
    <s v="18-1831"/>
    <s v="P070"/>
    <x v="2"/>
    <n v="84"/>
    <n v="21"/>
    <n v="1092"/>
    <n v="273"/>
    <n v="819"/>
    <x v="199"/>
    <s v="Healthcare &amp; Safety"/>
    <n v="14.460020532456038"/>
    <s v="Neither"/>
    <n v="5"/>
  </r>
  <r>
    <d v="2019-03-06T11:52:05"/>
    <s v="19-1851"/>
    <s v="P035"/>
    <x v="6"/>
    <n v="144"/>
    <n v="48"/>
    <n v="864"/>
    <n v="288"/>
    <n v="576"/>
    <x v="150"/>
    <s v="Education"/>
    <n v="12.889576147248359"/>
    <s v="Dissatisfied"/>
    <n v="1"/>
  </r>
  <r>
    <d v="2019-06-02T15:09:16"/>
    <s v="19-4384"/>
    <s v="P046"/>
    <x v="6"/>
    <n v="38"/>
    <n v="19"/>
    <n v="228"/>
    <n v="114"/>
    <n v="114"/>
    <x v="91"/>
    <s v="Creative &amp; Technology"/>
    <n v="11.03324198943719"/>
    <s v="Satisfied"/>
    <n v="10"/>
  </r>
  <r>
    <d v="2019-09-20T19:39:24"/>
    <s v="19-3866"/>
    <s v="P046"/>
    <x v="16"/>
    <n v="38"/>
    <n v="19"/>
    <n v="342"/>
    <n v="171"/>
    <n v="171"/>
    <x v="34"/>
    <s v="Sports &amp; Recreation"/>
    <n v="11.406233913305266"/>
    <s v="Dissatisfied"/>
    <n v="1"/>
  </r>
  <r>
    <d v="2020-03-07T06:19:12"/>
    <s v="20-2989"/>
    <s v="P057"/>
    <x v="17"/>
    <n v="252"/>
    <n v="63"/>
    <n v="252"/>
    <n v="63"/>
    <n v="189"/>
    <x v="252"/>
    <s v="Community &amp; Government"/>
    <n v="10.968401424454578"/>
    <s v="Neither"/>
    <n v="5"/>
  </r>
  <r>
    <d v="2020-07-25T07:38:56"/>
    <s v="20-1666"/>
    <s v="P003"/>
    <x v="10"/>
    <n v="189"/>
    <n v="63"/>
    <n v="945"/>
    <n v="315"/>
    <n v="630"/>
    <x v="132"/>
    <s v="Education"/>
    <n v="13.857835104514242"/>
    <s v="Dissatisfied"/>
    <n v="1"/>
  </r>
  <r>
    <d v="2024-01-07T04:22:04"/>
    <s v="24-1428"/>
    <s v="P070"/>
    <x v="17"/>
    <n v="84"/>
    <n v="21"/>
    <n v="84"/>
    <n v="21"/>
    <n v="63"/>
    <x v="264"/>
    <s v="Education"/>
    <n v="10.818241047231139"/>
    <s v="Neither"/>
    <n v="5"/>
  </r>
  <r>
    <d v="2016-11-02T13:23:41"/>
    <s v="16-1558"/>
    <s v="P040"/>
    <x v="11"/>
    <n v="160"/>
    <n v="80"/>
    <n v="2560"/>
    <n v="1280"/>
    <n v="1280"/>
    <x v="272"/>
    <s v="Facilities &amp; Services"/>
    <n v="10.517826055804084"/>
    <s v="Neither"/>
    <n v="5"/>
  </r>
  <r>
    <d v="2019-02-25T10:04:16"/>
    <s v="19-1978"/>
    <s v="P076"/>
    <x v="8"/>
    <n v="94"/>
    <n v="47"/>
    <n v="1316"/>
    <n v="658"/>
    <n v="658"/>
    <x v="240"/>
    <s v="Sports &amp; Recreation"/>
    <n v="12.701325659159139"/>
    <s v="Neither"/>
    <n v="5"/>
  </r>
  <r>
    <d v="2020-01-30T14:18:48"/>
    <s v="20-3462"/>
    <s v="P096"/>
    <x v="7"/>
    <n v="144"/>
    <n v="48"/>
    <n v="1584"/>
    <n v="528"/>
    <n v="1056"/>
    <x v="95"/>
    <s v="Facilities &amp; Services"/>
    <n v="7.7337149713827413"/>
    <s v="Dissatisfied"/>
    <n v="1"/>
  </r>
  <r>
    <d v="2019-11-20T08:54:34"/>
    <s v="19-2442"/>
    <s v="P013"/>
    <x v="12"/>
    <n v="58"/>
    <n v="29"/>
    <n v="406"/>
    <n v="203"/>
    <n v="203"/>
    <x v="215"/>
    <s v="Facilities &amp; Services"/>
    <n v="14.817898176328208"/>
    <s v="Neither"/>
    <n v="5"/>
  </r>
  <r>
    <d v="2021-08-03T11:22:53"/>
    <s v="21-2101"/>
    <s v="P083"/>
    <x v="17"/>
    <n v="90"/>
    <n v="45"/>
    <n v="90"/>
    <n v="45"/>
    <n v="45"/>
    <x v="47"/>
    <s v="Healthcare &amp; Safety"/>
    <n v="11.727497850343074"/>
    <s v="Neither"/>
    <n v="5"/>
  </r>
  <r>
    <d v="2020-11-25T19:26:52"/>
    <s v="20-1561"/>
    <s v="P089"/>
    <x v="5"/>
    <n v="102"/>
    <n v="51"/>
    <n v="306"/>
    <n v="153"/>
    <n v="153"/>
    <x v="54"/>
    <s v="Community &amp; Government"/>
    <n v="13.890275354050972"/>
    <s v="Dissatisfied"/>
    <n v="1"/>
  </r>
  <r>
    <d v="2019-09-16T02:05:14"/>
    <s v="19-2112"/>
    <s v="P098"/>
    <x v="0"/>
    <n v="201"/>
    <n v="67"/>
    <n v="3015"/>
    <n v="1005"/>
    <n v="2010"/>
    <x v="183"/>
    <s v="Creative &amp; Technology"/>
    <n v="7.8974070387684714"/>
    <s v="Dissatisfied"/>
    <n v="1"/>
  </r>
  <r>
    <d v="2021-04-16T06:57:04"/>
    <s v="21-4962"/>
    <s v="P070"/>
    <x v="15"/>
    <n v="84"/>
    <n v="21"/>
    <n v="1428"/>
    <n v="357"/>
    <n v="1071"/>
    <x v="137"/>
    <s v="Facilities &amp; Services"/>
    <n v="15.861056998489449"/>
    <s v="Satisfied"/>
    <n v="10"/>
  </r>
  <r>
    <d v="2019-07-25T11:04:40"/>
    <s v="19-2691"/>
    <s v="P088"/>
    <x v="12"/>
    <n v="192"/>
    <n v="96"/>
    <n v="1344"/>
    <n v="672"/>
    <n v="672"/>
    <x v="275"/>
    <s v="Healthcare &amp; Safety"/>
    <n v="10.428287009858728"/>
    <s v="Neither"/>
    <n v="5"/>
  </r>
  <r>
    <d v="2020-06-12T00:47:16"/>
    <s v="20-4239"/>
    <s v="P082"/>
    <x v="8"/>
    <n v="312"/>
    <n v="78"/>
    <n v="4368"/>
    <n v="1092"/>
    <n v="3276"/>
    <x v="292"/>
    <s v="Creative &amp; Technology"/>
    <n v="13.537350739681813"/>
    <s v="Dissatisfied"/>
    <n v="1"/>
  </r>
  <r>
    <d v="2019-06-04T02:25:59"/>
    <s v="19-4067"/>
    <s v="P065"/>
    <x v="6"/>
    <n v="50"/>
    <n v="25"/>
    <n v="300"/>
    <n v="150"/>
    <n v="150"/>
    <x v="16"/>
    <s v="Sports &amp; Recreation"/>
    <n v="12.865074657680612"/>
    <s v="Neither"/>
    <n v="5"/>
  </r>
  <r>
    <d v="2019-02-02T06:42:52"/>
    <s v="19-2528"/>
    <s v="P044"/>
    <x v="12"/>
    <n v="368"/>
    <n v="92"/>
    <n v="2576"/>
    <n v="644"/>
    <n v="1932"/>
    <x v="183"/>
    <s v="Creative &amp; Technology"/>
    <n v="7.8974070387684714"/>
    <s v="Neither"/>
    <n v="5"/>
  </r>
  <r>
    <d v="2020-08-06T15:08:23"/>
    <s v="20-1505"/>
    <s v="P075"/>
    <x v="18"/>
    <n v="160"/>
    <n v="80"/>
    <n v="2880"/>
    <n v="1440"/>
    <n v="1440"/>
    <x v="245"/>
    <s v="Sports &amp; Recreation"/>
    <n v="11.816651848338852"/>
    <s v="Neither"/>
    <n v="5"/>
  </r>
  <r>
    <d v="2020-03-24T11:57:00"/>
    <s v="20-3308"/>
    <s v="P040"/>
    <x v="1"/>
    <n v="160"/>
    <n v="80"/>
    <n v="1280"/>
    <n v="640"/>
    <n v="640"/>
    <x v="263"/>
    <s v="Facilities &amp; Services"/>
    <n v="8.1352386075080023"/>
    <s v="Neither"/>
    <n v="5"/>
  </r>
  <r>
    <d v="2018-06-20T21:59:00"/>
    <s v="18-1469"/>
    <s v="P052"/>
    <x v="15"/>
    <n v="352"/>
    <n v="88"/>
    <n v="5984"/>
    <n v="1496"/>
    <n v="4488"/>
    <x v="258"/>
    <s v="Corporate &amp; Professional"/>
    <n v="14.538471643780088"/>
    <s v="Neither"/>
    <n v="5"/>
  </r>
  <r>
    <d v="2020-03-11T19:20:01"/>
    <s v="20-4783"/>
    <s v="P053"/>
    <x v="15"/>
    <n v="50"/>
    <n v="25"/>
    <n v="850"/>
    <n v="425"/>
    <n v="425"/>
    <x v="247"/>
    <s v="Facilities &amp; Services"/>
    <n v="12.502346728827876"/>
    <s v="Neither"/>
    <n v="5"/>
  </r>
  <r>
    <d v="2018-11-17T14:33:21"/>
    <s v="18-4480"/>
    <s v="P098"/>
    <x v="15"/>
    <n v="201"/>
    <n v="67"/>
    <n v="3417"/>
    <n v="1139"/>
    <n v="2278"/>
    <x v="264"/>
    <s v="Education"/>
    <n v="10.818241047231139"/>
    <s v="Neither"/>
    <n v="5"/>
  </r>
  <r>
    <d v="2020-05-14T14:16:26"/>
    <s v="20-4814"/>
    <s v="P064"/>
    <x v="0"/>
    <n v="231"/>
    <n v="77"/>
    <n v="3465"/>
    <n v="1155"/>
    <n v="2310"/>
    <x v="183"/>
    <s v="Creative &amp; Technology"/>
    <n v="7.8974070387684714"/>
    <s v="Neither"/>
    <n v="5"/>
  </r>
  <r>
    <d v="2019-11-12T07:07:08"/>
    <s v="19-1831"/>
    <s v="P079"/>
    <x v="12"/>
    <n v="188"/>
    <n v="94"/>
    <n v="1316"/>
    <n v="658"/>
    <n v="658"/>
    <x v="126"/>
    <s v="Creative &amp; Technology"/>
    <n v="12.399050786131125"/>
    <s v="Neither"/>
    <n v="5"/>
  </r>
  <r>
    <d v="2018-02-19T20:23:13"/>
    <s v="18-2078"/>
    <s v="P004"/>
    <x v="18"/>
    <n v="189"/>
    <n v="63"/>
    <n v="3402"/>
    <n v="1134"/>
    <n v="2268"/>
    <x v="214"/>
    <s v="Corporate &amp; Professional"/>
    <n v="12.985332015423809"/>
    <s v="Satisfied"/>
    <n v="10"/>
  </r>
  <r>
    <d v="2025-01-26T20:01:31"/>
    <s v="25-3834"/>
    <s v="P065"/>
    <x v="11"/>
    <n v="50"/>
    <n v="25"/>
    <n v="800"/>
    <n v="400"/>
    <n v="400"/>
    <x v="16"/>
    <s v="Sports &amp; Recreation"/>
    <n v="12.865074657680612"/>
    <s v="Satisfied"/>
    <n v="10"/>
  </r>
  <r>
    <d v="2019-08-03T08:17:53"/>
    <s v="19-1064"/>
    <s v="P070"/>
    <x v="0"/>
    <n v="84"/>
    <n v="21"/>
    <n v="1260"/>
    <n v="315"/>
    <n v="945"/>
    <x v="221"/>
    <s v="Community &amp; Government"/>
    <n v="13.611804647345796"/>
    <s v="Neither"/>
    <n v="5"/>
  </r>
  <r>
    <d v="2021-04-14T16:42:33"/>
    <s v="21-1683"/>
    <s v="P070"/>
    <x v="2"/>
    <n v="84"/>
    <n v="21"/>
    <n v="1092"/>
    <n v="273"/>
    <n v="819"/>
    <x v="94"/>
    <s v="Corporate &amp; Professional"/>
    <n v="9.0350666811770921"/>
    <s v="Neither"/>
    <n v="5"/>
  </r>
  <r>
    <d v="2020-03-20T17:53:06"/>
    <s v="20-1597"/>
    <s v="P019"/>
    <x v="10"/>
    <n v="308"/>
    <n v="77"/>
    <n v="1540"/>
    <n v="385"/>
    <n v="1155"/>
    <x v="196"/>
    <s v="Community &amp; Government"/>
    <n v="12.869841591513939"/>
    <s v="Dissatisfied"/>
    <n v="1"/>
  </r>
  <r>
    <d v="2021-05-29T04:04:20"/>
    <s v="21-3477"/>
    <s v="P004"/>
    <x v="18"/>
    <n v="189"/>
    <n v="63"/>
    <n v="3402"/>
    <n v="1134"/>
    <n v="2268"/>
    <x v="147"/>
    <s v="Corporate &amp; Professional"/>
    <n v="9.629298039722805"/>
    <s v="Neither"/>
    <n v="5"/>
  </r>
  <r>
    <d v="2019-10-14T23:28:03"/>
    <s v="19-1494"/>
    <s v="P021"/>
    <x v="5"/>
    <n v="207"/>
    <n v="69"/>
    <n v="621"/>
    <n v="207"/>
    <n v="414"/>
    <x v="217"/>
    <s v="Education"/>
    <n v="11.862005526237752"/>
    <s v="Neither"/>
    <n v="5"/>
  </r>
  <r>
    <d v="2020-08-04T12:18:44"/>
    <s v="20-1573"/>
    <s v="P012"/>
    <x v="2"/>
    <n v="30"/>
    <n v="15"/>
    <n v="390"/>
    <n v="195"/>
    <n v="195"/>
    <x v="91"/>
    <s v="Creative &amp; Technology"/>
    <n v="11.03324198943719"/>
    <s v="Neither"/>
    <n v="5"/>
  </r>
  <r>
    <d v="2020-07-23T17:43:39"/>
    <s v="20-4798"/>
    <s v="P032"/>
    <x v="19"/>
    <n v="92"/>
    <n v="46"/>
    <n v="1748"/>
    <n v="874"/>
    <n v="874"/>
    <x v="205"/>
    <s v="Facilities &amp; Services"/>
    <n v="10.434860153112215"/>
    <s v="Dissatisfied"/>
    <n v="1"/>
  </r>
  <r>
    <d v="2020-12-27T16:45:35"/>
    <s v="20-1866"/>
    <s v="P096"/>
    <x v="2"/>
    <n v="144"/>
    <n v="48"/>
    <n v="1872"/>
    <n v="624"/>
    <n v="1248"/>
    <x v="156"/>
    <s v="Healthcare &amp; Safety"/>
    <n v="12.801144805697081"/>
    <s v="Satisfied"/>
    <n v="10"/>
  </r>
  <r>
    <d v="2019-02-16T18:35:37"/>
    <s v="19-1007"/>
    <s v="P063"/>
    <x v="4"/>
    <n v="261"/>
    <n v="87"/>
    <n v="522"/>
    <n v="174"/>
    <n v="348"/>
    <x v="253"/>
    <s v="Facilities &amp; Services"/>
    <n v="11.961761925704458"/>
    <s v="Neither"/>
    <n v="5"/>
  </r>
  <r>
    <d v="2018-07-16T06:32:36"/>
    <s v="18-4116"/>
    <s v="P022"/>
    <x v="15"/>
    <n v="153"/>
    <n v="51"/>
    <n v="2601"/>
    <n v="867"/>
    <n v="1734"/>
    <x v="186"/>
    <s v="Education"/>
    <n v="8.3272837771733244"/>
    <s v="Dissatisfied"/>
    <n v="1"/>
  </r>
  <r>
    <d v="2020-03-27T16:53:21"/>
    <s v="20-2731"/>
    <s v="P044"/>
    <x v="7"/>
    <n v="368"/>
    <n v="92"/>
    <n v="4048"/>
    <n v="1012"/>
    <n v="3036"/>
    <x v="16"/>
    <s v="Sports &amp; Recreation"/>
    <n v="12.865074657680612"/>
    <s v="Satisfied"/>
    <n v="10"/>
  </r>
  <r>
    <d v="2023-03-15T16:18:03"/>
    <s v="23-1895"/>
    <s v="P012"/>
    <x v="0"/>
    <n v="30"/>
    <n v="15"/>
    <n v="450"/>
    <n v="225"/>
    <n v="225"/>
    <x v="222"/>
    <s v="Community &amp; Government"/>
    <n v="13.095446915421235"/>
    <s v="Neither"/>
    <n v="5"/>
  </r>
  <r>
    <d v="2019-10-12T23:48:40"/>
    <s v="19-1146"/>
    <s v="P033"/>
    <x v="13"/>
    <n v="57"/>
    <n v="19"/>
    <n v="570"/>
    <n v="190"/>
    <n v="380"/>
    <x v="19"/>
    <s v="Community &amp; Government"/>
    <n v="15.140903556171683"/>
    <s v="Neither"/>
    <n v="5"/>
  </r>
  <r>
    <d v="2019-04-18T17:08:25"/>
    <s v="19-2385"/>
    <s v="P085"/>
    <x v="16"/>
    <n v="320"/>
    <n v="80"/>
    <n v="2880"/>
    <n v="720"/>
    <n v="2160"/>
    <x v="132"/>
    <s v="Education"/>
    <n v="13.857835104514242"/>
    <s v="Neither"/>
    <n v="5"/>
  </r>
  <r>
    <d v="2020-02-12T02:50:01"/>
    <s v="20-2899"/>
    <s v="P029"/>
    <x v="12"/>
    <n v="300"/>
    <n v="75"/>
    <n v="2100"/>
    <n v="525"/>
    <n v="1575"/>
    <x v="263"/>
    <s v="Facilities &amp; Services"/>
    <n v="8.1352386075080023"/>
    <s v="Dissatisfied"/>
    <n v="1"/>
  </r>
  <r>
    <d v="2020-05-04T01:59:26"/>
    <s v="20-4210"/>
    <s v="P078"/>
    <x v="10"/>
    <n v="225"/>
    <n v="75"/>
    <n v="1125"/>
    <n v="375"/>
    <n v="750"/>
    <x v="25"/>
    <s v="Sports &amp; Recreation"/>
    <n v="11.128721898968678"/>
    <s v="Satisfied"/>
    <n v="10"/>
  </r>
  <r>
    <d v="2021-06-05T02:40:33"/>
    <s v="21-3770"/>
    <s v="P021"/>
    <x v="16"/>
    <n v="207"/>
    <n v="69"/>
    <n v="1863"/>
    <n v="621"/>
    <n v="1242"/>
    <x v="55"/>
    <s v="Creative &amp; Technology"/>
    <n v="13.765798454641494"/>
    <s v="Satisfied"/>
    <n v="10"/>
  </r>
  <r>
    <d v="2017-07-06T14:14:52"/>
    <s v="17-4707"/>
    <s v="P023"/>
    <x v="14"/>
    <n v="126"/>
    <n v="42"/>
    <n v="1512"/>
    <n v="504"/>
    <n v="1008"/>
    <x v="72"/>
    <s v="Community &amp; Government"/>
    <n v="15.458859683514467"/>
    <s v="Satisfied"/>
    <n v="10"/>
  </r>
  <r>
    <d v="2022-09-13T10:50:23"/>
    <s v="22-2109"/>
    <s v="P009"/>
    <x v="0"/>
    <n v="255"/>
    <n v="85"/>
    <n v="3825"/>
    <n v="1275"/>
    <n v="2550"/>
    <x v="133"/>
    <s v="Corporate &amp; Professional"/>
    <n v="5.9872353338051019"/>
    <s v="Dissatisfied"/>
    <n v="1"/>
  </r>
  <r>
    <d v="2020-10-18T09:09:58"/>
    <s v="20-4551"/>
    <s v="P060"/>
    <x v="2"/>
    <n v="300"/>
    <n v="75"/>
    <n v="3900"/>
    <n v="975"/>
    <n v="2925"/>
    <x v="114"/>
    <s v="Healthcare &amp; Safety"/>
    <n v="14.423322704129969"/>
    <s v="Dissatisfied"/>
    <n v="1"/>
  </r>
  <r>
    <d v="2020-01-26T18:45:47"/>
    <s v="20-4080"/>
    <s v="P058"/>
    <x v="3"/>
    <n v="356"/>
    <n v="89"/>
    <n v="1424"/>
    <n v="356"/>
    <n v="1068"/>
    <x v="159"/>
    <s v="Community &amp; Government"/>
    <n v="13.57003172959007"/>
    <s v="Dissatisfied"/>
    <n v="1"/>
  </r>
  <r>
    <d v="2020-04-17T00:47:12"/>
    <s v="20-3083"/>
    <s v="P061"/>
    <x v="9"/>
    <n v="264"/>
    <n v="88"/>
    <n v="5280"/>
    <n v="1760"/>
    <n v="3520"/>
    <x v="109"/>
    <s v="Sports &amp; Recreation"/>
    <n v="13.092530646074781"/>
    <s v="Neither"/>
    <n v="5"/>
  </r>
  <r>
    <d v="2021-06-06T16:27:49"/>
    <s v="21-4525"/>
    <s v="P005"/>
    <x v="10"/>
    <n v="76"/>
    <n v="19"/>
    <n v="380"/>
    <n v="95"/>
    <n v="285"/>
    <x v="231"/>
    <s v="Facilities &amp; Services"/>
    <n v="14.060995290679429"/>
    <s v="Satisfied"/>
    <n v="10"/>
  </r>
  <r>
    <d v="2020-07-19T01:54:40"/>
    <s v="20-4649"/>
    <s v="P062"/>
    <x v="12"/>
    <n v="348"/>
    <n v="87"/>
    <n v="2436"/>
    <n v="609"/>
    <n v="1827"/>
    <x v="212"/>
    <s v="Sports &amp; Recreation"/>
    <n v="11.443503623244197"/>
    <s v="Neither"/>
    <n v="5"/>
  </r>
  <r>
    <d v="2021-01-17T17:43:10"/>
    <s v="21-2396"/>
    <s v="P016"/>
    <x v="17"/>
    <n v="110"/>
    <n v="55"/>
    <n v="110"/>
    <n v="55"/>
    <n v="55"/>
    <x v="66"/>
    <s v="Facilities &amp; Services"/>
    <n v="12.172922939334034"/>
    <s v="Neither"/>
    <n v="5"/>
  </r>
  <r>
    <d v="2018-05-27T06:44:51"/>
    <s v="18-2752"/>
    <s v="P079"/>
    <x v="5"/>
    <n v="188"/>
    <n v="94"/>
    <n v="564"/>
    <n v="282"/>
    <n v="282"/>
    <x v="236"/>
    <s v="Creative &amp; Technology"/>
    <n v="13.827196127590291"/>
    <s v="Neither"/>
    <n v="5"/>
  </r>
  <r>
    <d v="2020-01-05T05:18:28"/>
    <s v="20-3162"/>
    <s v="P077"/>
    <x v="3"/>
    <n v="162"/>
    <n v="54"/>
    <n v="648"/>
    <n v="216"/>
    <n v="432"/>
    <x v="251"/>
    <s v="Creative &amp; Technology"/>
    <n v="9.1591412531773226"/>
    <s v="Neither"/>
    <n v="5"/>
  </r>
  <r>
    <d v="2019-07-15T17:30:48"/>
    <s v="19-4230"/>
    <s v="P061"/>
    <x v="10"/>
    <n v="264"/>
    <n v="88"/>
    <n v="1320"/>
    <n v="440"/>
    <n v="880"/>
    <x v="77"/>
    <s v="Facilities &amp; Services"/>
    <n v="12.514998090845811"/>
    <s v="Neither"/>
    <n v="5"/>
  </r>
  <r>
    <d v="2019-03-19T05:06:57"/>
    <s v="19-4982"/>
    <s v="P018"/>
    <x v="0"/>
    <n v="108"/>
    <n v="54"/>
    <n v="1620"/>
    <n v="810"/>
    <n v="810"/>
    <x v="161"/>
    <s v="Corporate &amp; Professional"/>
    <n v="11.003496633574638"/>
    <s v="Neither"/>
    <n v="5"/>
  </r>
  <r>
    <d v="2020-07-04T17:37:34"/>
    <s v="20-3063"/>
    <s v="P020"/>
    <x v="4"/>
    <n v="180"/>
    <n v="45"/>
    <n v="360"/>
    <n v="90"/>
    <n v="270"/>
    <x v="285"/>
    <s v="Healthcare &amp; Safety"/>
    <n v="13.2671922973198"/>
    <s v="Neither"/>
    <n v="5"/>
  </r>
  <r>
    <d v="2020-05-16T17:55:13"/>
    <s v="20-1478"/>
    <s v="P015"/>
    <x v="3"/>
    <n v="176"/>
    <n v="88"/>
    <n v="704"/>
    <n v="352"/>
    <n v="352"/>
    <x v="111"/>
    <s v="Sports &amp; Recreation"/>
    <n v="12.342715162719054"/>
    <s v="Neither"/>
    <n v="5"/>
  </r>
  <r>
    <d v="2021-11-01T14:31:41"/>
    <s v="21-4192"/>
    <s v="P029"/>
    <x v="11"/>
    <n v="300"/>
    <n v="75"/>
    <n v="4800"/>
    <n v="1200"/>
    <n v="3600"/>
    <x v="56"/>
    <s v="Corporate &amp; Professional"/>
    <n v="12.007834550770397"/>
    <s v="Neither"/>
    <n v="5"/>
  </r>
  <r>
    <d v="2020-08-15T02:29:07"/>
    <s v="20-1324"/>
    <s v="P092"/>
    <x v="15"/>
    <n v="124"/>
    <n v="62"/>
    <n v="2108"/>
    <n v="1054"/>
    <n v="1054"/>
    <x v="84"/>
    <s v="Corporate &amp; Professional"/>
    <n v="11.428575823958646"/>
    <s v="Dissatisfied"/>
    <n v="1"/>
  </r>
  <r>
    <d v="2022-06-22T19:35:27"/>
    <s v="22-1709"/>
    <s v="P078"/>
    <x v="1"/>
    <n v="225"/>
    <n v="75"/>
    <n v="1800"/>
    <n v="600"/>
    <n v="1200"/>
    <x v="217"/>
    <s v="Education"/>
    <n v="11.862005526237752"/>
    <s v="Neither"/>
    <n v="5"/>
  </r>
  <r>
    <d v="2019-09-04T20:10:13"/>
    <s v="19-4000"/>
    <s v="P021"/>
    <x v="3"/>
    <n v="207"/>
    <n v="69"/>
    <n v="828"/>
    <n v="276"/>
    <n v="552"/>
    <x v="69"/>
    <s v="Healthcare &amp; Safety"/>
    <n v="9.3014286057233697"/>
    <s v="Neither"/>
    <n v="5"/>
  </r>
  <r>
    <d v="2019-06-09T14:16:24"/>
    <s v="19-3744"/>
    <s v="P092"/>
    <x v="18"/>
    <n v="124"/>
    <n v="62"/>
    <n v="2232"/>
    <n v="1116"/>
    <n v="1116"/>
    <x v="13"/>
    <s v="Sports &amp; Recreation"/>
    <n v="12.163730387337393"/>
    <s v="Neither"/>
    <n v="5"/>
  </r>
  <r>
    <d v="2018-10-09T12:22:47"/>
    <s v="18-1753"/>
    <s v="P027"/>
    <x v="0"/>
    <n v="140"/>
    <n v="70"/>
    <n v="2100"/>
    <n v="1050"/>
    <n v="1050"/>
    <x v="285"/>
    <s v="Healthcare &amp; Safety"/>
    <n v="13.2671922973198"/>
    <s v="Neither"/>
    <n v="5"/>
  </r>
  <r>
    <d v="2019-11-09T04:55:39"/>
    <s v="19-3158"/>
    <s v="P044"/>
    <x v="1"/>
    <n v="368"/>
    <n v="92"/>
    <n v="2944"/>
    <n v="736"/>
    <n v="2208"/>
    <x v="50"/>
    <s v="Creative &amp; Technology"/>
    <n v="12.551203838971933"/>
    <s v="Neither"/>
    <n v="5"/>
  </r>
  <r>
    <d v="2021-09-01T01:55:55"/>
    <s v="21-3380"/>
    <s v="P032"/>
    <x v="8"/>
    <n v="92"/>
    <n v="46"/>
    <n v="1288"/>
    <n v="644"/>
    <n v="644"/>
    <x v="293"/>
    <s v="Creative &amp; Technology"/>
    <n v="7.9096461399190003"/>
    <s v="Dissatisfied"/>
    <n v="1"/>
  </r>
  <r>
    <d v="2020-01-29T16:40:46"/>
    <s v="20-3172"/>
    <s v="P091"/>
    <x v="16"/>
    <n v="204"/>
    <n v="51"/>
    <n v="1836"/>
    <n v="459"/>
    <n v="1377"/>
    <x v="190"/>
    <s v="Corporate &amp; Professional"/>
    <n v="15.478388039566896"/>
    <s v="Satisfied"/>
    <n v="10"/>
  </r>
  <r>
    <d v="2019-06-27T02:20:18"/>
    <s v="19-2120"/>
    <s v="P025"/>
    <x v="1"/>
    <n v="210"/>
    <n v="70"/>
    <n v="1680"/>
    <n v="560"/>
    <n v="1120"/>
    <x v="130"/>
    <s v="Healthcare &amp; Safety"/>
    <n v="13.923194761258239"/>
    <s v="Dissatisfied"/>
    <n v="1"/>
  </r>
  <r>
    <d v="2020-01-01T16:04:59"/>
    <s v="20-4417"/>
    <s v="P056"/>
    <x v="18"/>
    <n v="72"/>
    <n v="36"/>
    <n v="1296"/>
    <n v="648"/>
    <n v="648"/>
    <x v="19"/>
    <s v="Community &amp; Government"/>
    <n v="15.140903556171683"/>
    <s v="Satisfied"/>
    <n v="10"/>
  </r>
  <r>
    <d v="2024-04-01T07:35:54"/>
    <s v="24-1543"/>
    <s v="P048"/>
    <x v="8"/>
    <n v="252"/>
    <n v="63"/>
    <n v="3528"/>
    <n v="882"/>
    <n v="2646"/>
    <x v="135"/>
    <s v="Corporate &amp; Professional"/>
    <n v="10.408704992688252"/>
    <s v="Neither"/>
    <n v="5"/>
  </r>
  <r>
    <d v="2018-05-12T04:27:40"/>
    <s v="18-4705"/>
    <s v="P093"/>
    <x v="0"/>
    <n v="384"/>
    <n v="96"/>
    <n v="5760"/>
    <n v="1440"/>
    <n v="4320"/>
    <x v="144"/>
    <s v="Education"/>
    <n v="16.368863536738775"/>
    <s v="Dissatisfied"/>
    <n v="1"/>
  </r>
  <r>
    <d v="2022-11-22T19:25:49"/>
    <s v="22-4797"/>
    <s v="P080"/>
    <x v="7"/>
    <n v="57"/>
    <n v="19"/>
    <n v="627"/>
    <n v="209"/>
    <n v="418"/>
    <x v="179"/>
    <s v="Creative &amp; Technology"/>
    <n v="12.207242573430314"/>
    <s v="Neither"/>
    <n v="5"/>
  </r>
  <r>
    <d v="2019-09-11T06:02:21"/>
    <s v="19-4408"/>
    <s v="P073"/>
    <x v="18"/>
    <n v="48"/>
    <n v="24"/>
    <n v="864"/>
    <n v="432"/>
    <n v="432"/>
    <x v="23"/>
    <s v="Healthcare &amp; Safety"/>
    <n v="13.407340878370247"/>
    <s v="Neither"/>
    <n v="5"/>
  </r>
  <r>
    <d v="2021-11-02T02:53:09"/>
    <s v="21-3896"/>
    <s v="P058"/>
    <x v="1"/>
    <n v="356"/>
    <n v="89"/>
    <n v="2848"/>
    <n v="712"/>
    <n v="2136"/>
    <x v="238"/>
    <s v="Education"/>
    <n v="13.275355576494196"/>
    <s v="Neither"/>
    <n v="5"/>
  </r>
  <r>
    <d v="2020-12-13T08:51:35"/>
    <s v="20-1569"/>
    <s v="P072"/>
    <x v="2"/>
    <n v="132"/>
    <n v="44"/>
    <n v="1716"/>
    <n v="572"/>
    <n v="1144"/>
    <x v="142"/>
    <s v="Healthcare &amp; Safety"/>
    <n v="13.574227261506472"/>
    <s v="Neither"/>
    <n v="5"/>
  </r>
  <r>
    <d v="2021-03-11T13:53:08"/>
    <s v="21-1816"/>
    <s v="P055"/>
    <x v="19"/>
    <n v="360"/>
    <n v="90"/>
    <n v="6840"/>
    <n v="1710"/>
    <n v="5130"/>
    <x v="56"/>
    <s v="Corporate &amp; Professional"/>
    <n v="12.007834550770397"/>
    <s v="Satisfied"/>
    <n v="10"/>
  </r>
  <r>
    <d v="2022-02-05T15:56:19"/>
    <s v="22-1585"/>
    <s v="P004"/>
    <x v="9"/>
    <n v="189"/>
    <n v="63"/>
    <n v="3780"/>
    <n v="1260"/>
    <n v="2520"/>
    <x v="178"/>
    <s v="Education"/>
    <n v="14.760829371220243"/>
    <s v="Neither"/>
    <n v="5"/>
  </r>
  <r>
    <d v="2021-03-05T15:49:58"/>
    <s v="21-2947"/>
    <s v="P007"/>
    <x v="12"/>
    <n v="225"/>
    <n v="75"/>
    <n v="1575"/>
    <n v="525"/>
    <n v="1050"/>
    <x v="11"/>
    <s v="Creative &amp; Technology"/>
    <n v="8.2871811249429097"/>
    <s v="Neither"/>
    <n v="5"/>
  </r>
  <r>
    <d v="2019-12-01T10:22:22"/>
    <s v="19-2953"/>
    <s v="P006"/>
    <x v="2"/>
    <n v="38"/>
    <n v="19"/>
    <n v="494"/>
    <n v="247"/>
    <n v="247"/>
    <x v="222"/>
    <s v="Community &amp; Government"/>
    <n v="13.095446915421235"/>
    <s v="Satisfied"/>
    <n v="10"/>
  </r>
  <r>
    <d v="2020-05-03T01:13:39"/>
    <s v="20-1448"/>
    <s v="P060"/>
    <x v="4"/>
    <n v="300"/>
    <n v="75"/>
    <n v="600"/>
    <n v="150"/>
    <n v="450"/>
    <x v="22"/>
    <s v="Sports &amp; Recreation"/>
    <n v="9.7467096260695598"/>
    <s v="Neither"/>
    <n v="5"/>
  </r>
  <r>
    <d v="2016-11-12T16:53:08"/>
    <s v="16-4049"/>
    <s v="P038"/>
    <x v="18"/>
    <n v="240"/>
    <n v="80"/>
    <n v="4320"/>
    <n v="1440"/>
    <n v="2880"/>
    <x v="277"/>
    <s v="Sports &amp; Recreation"/>
    <n v="10.01033276255276"/>
    <s v="Neither"/>
    <n v="5"/>
  </r>
  <r>
    <d v="2022-10-05T07:30:54"/>
    <s v="22-3552"/>
    <s v="P033"/>
    <x v="4"/>
    <n v="57"/>
    <n v="19"/>
    <n v="114"/>
    <n v="38"/>
    <n v="76"/>
    <x v="82"/>
    <s v="Creative &amp; Technology"/>
    <n v="11.883396013219548"/>
    <s v="Dissatisfied"/>
    <n v="1"/>
  </r>
  <r>
    <d v="2020-10-28T19:59:54"/>
    <s v="20-1567"/>
    <s v="P001"/>
    <x v="15"/>
    <n v="108"/>
    <n v="36"/>
    <n v="1836"/>
    <n v="612"/>
    <n v="1224"/>
    <x v="120"/>
    <s v="Education"/>
    <n v="9.4239783062860578"/>
    <s v="Neither"/>
    <n v="5"/>
  </r>
  <r>
    <d v="2021-09-05T14:16:30"/>
    <s v="21-2038"/>
    <s v="P058"/>
    <x v="2"/>
    <n v="356"/>
    <n v="89"/>
    <n v="4628"/>
    <n v="1157"/>
    <n v="3471"/>
    <x v="38"/>
    <s v="Facilities &amp; Services"/>
    <n v="13.378080355059918"/>
    <s v="Satisfied"/>
    <n v="10"/>
  </r>
  <r>
    <d v="2020-06-28T15:08:53"/>
    <s v="20-4727"/>
    <s v="P095"/>
    <x v="11"/>
    <n v="116"/>
    <n v="29"/>
    <n v="1856"/>
    <n v="464"/>
    <n v="1392"/>
    <x v="283"/>
    <s v="Creative &amp; Technology"/>
    <n v="11.0700865530371"/>
    <s v="Satisfied"/>
    <n v="10"/>
  </r>
  <r>
    <d v="2019-12-26T06:38:35"/>
    <s v="19-1001"/>
    <s v="P062"/>
    <x v="19"/>
    <n v="348"/>
    <n v="87"/>
    <n v="6612"/>
    <n v="1653"/>
    <n v="4959"/>
    <x v="258"/>
    <s v="Corporate &amp; Professional"/>
    <n v="14.538471643780088"/>
    <s v="Neither"/>
    <n v="5"/>
  </r>
  <r>
    <d v="2019-08-16T10:16:44"/>
    <s v="19-3586"/>
    <s v="P095"/>
    <x v="13"/>
    <n v="116"/>
    <n v="29"/>
    <n v="1160"/>
    <n v="290"/>
    <n v="870"/>
    <x v="196"/>
    <s v="Community &amp; Government"/>
    <n v="12.869841591513939"/>
    <s v="Neither"/>
    <n v="5"/>
  </r>
  <r>
    <d v="2020-04-24T23:15:46"/>
    <s v="20-3764"/>
    <s v="P043"/>
    <x v="3"/>
    <n v="184"/>
    <n v="92"/>
    <n v="736"/>
    <n v="368"/>
    <n v="368"/>
    <x v="163"/>
    <s v="Corporate &amp; Professional"/>
    <n v="14.554851510602212"/>
    <s v="Neither"/>
    <n v="5"/>
  </r>
  <r>
    <d v="2020-08-25T04:08:15"/>
    <s v="20-3175"/>
    <s v="P083"/>
    <x v="11"/>
    <n v="90"/>
    <n v="45"/>
    <n v="1440"/>
    <n v="720"/>
    <n v="720"/>
    <x v="42"/>
    <s v="Community &amp; Government"/>
    <n v="10.216282609482219"/>
    <s v="Neither"/>
    <n v="5"/>
  </r>
  <r>
    <d v="2021-05-25T07:42:45"/>
    <s v="21-4474"/>
    <s v="P062"/>
    <x v="15"/>
    <n v="348"/>
    <n v="87"/>
    <n v="5916"/>
    <n v="1479"/>
    <n v="4437"/>
    <x v="87"/>
    <s v="Education"/>
    <n v="11.710935611749917"/>
    <s v="Satisfied"/>
    <n v="10"/>
  </r>
  <r>
    <d v="2019-07-05T23:38:18"/>
    <s v="19-2777"/>
    <s v="P082"/>
    <x v="3"/>
    <n v="312"/>
    <n v="78"/>
    <n v="1248"/>
    <n v="312"/>
    <n v="936"/>
    <x v="49"/>
    <s v="Creative &amp; Technology"/>
    <n v="11.31221475547909"/>
    <s v="Satisfied"/>
    <n v="10"/>
  </r>
  <r>
    <d v="2021-01-05T22:22:58"/>
    <s v="21-1604"/>
    <s v="P081"/>
    <x v="6"/>
    <n v="50"/>
    <n v="25"/>
    <n v="300"/>
    <n v="150"/>
    <n v="150"/>
    <x v="167"/>
    <s v="Healthcare &amp; Safety"/>
    <n v="16.695690968264284"/>
    <s v="Neither"/>
    <n v="5"/>
  </r>
  <r>
    <d v="2021-04-20T23:41:41"/>
    <s v="21-4012"/>
    <s v="P066"/>
    <x v="1"/>
    <n v="34"/>
    <n v="17"/>
    <n v="272"/>
    <n v="136"/>
    <n v="136"/>
    <x v="245"/>
    <s v="Sports &amp; Recreation"/>
    <n v="11.816651848338852"/>
    <s v="Dissatisfied"/>
    <n v="1"/>
  </r>
  <r>
    <d v="2018-08-31T09:01:24"/>
    <s v="18-1381"/>
    <s v="P026"/>
    <x v="15"/>
    <n v="280"/>
    <n v="70"/>
    <n v="4760"/>
    <n v="1190"/>
    <n v="3570"/>
    <x v="67"/>
    <s v="Community &amp; Government"/>
    <n v="11.346510807401776"/>
    <s v="Neither"/>
    <n v="5"/>
  </r>
  <r>
    <d v="2018-03-13T23:51:14"/>
    <s v="18-1497"/>
    <s v="P050"/>
    <x v="16"/>
    <n v="108"/>
    <n v="36"/>
    <n v="972"/>
    <n v="324"/>
    <n v="648"/>
    <x v="73"/>
    <s v="Creative &amp; Technology"/>
    <n v="15.234329552872023"/>
    <s v="Neither"/>
    <n v="5"/>
  </r>
  <r>
    <d v="2019-08-31T05:19:12"/>
    <s v="19-4939"/>
    <s v="P091"/>
    <x v="4"/>
    <n v="204"/>
    <n v="51"/>
    <n v="408"/>
    <n v="102"/>
    <n v="306"/>
    <x v="153"/>
    <s v="Corporate &amp; Professional"/>
    <n v="11.799431383856128"/>
    <s v="Neither"/>
    <n v="5"/>
  </r>
  <r>
    <d v="2020-07-19T22:28:41"/>
    <s v="20-2127"/>
    <s v="P079"/>
    <x v="7"/>
    <n v="188"/>
    <n v="94"/>
    <n v="2068"/>
    <n v="1034"/>
    <n v="1034"/>
    <x v="236"/>
    <s v="Creative &amp; Technology"/>
    <n v="13.827196127590291"/>
    <s v="Neither"/>
    <n v="5"/>
  </r>
  <r>
    <d v="2022-07-16T13:03:41"/>
    <s v="22-1789"/>
    <s v="P029"/>
    <x v="17"/>
    <n v="300"/>
    <n v="75"/>
    <n v="300"/>
    <n v="75"/>
    <n v="225"/>
    <x v="91"/>
    <s v="Creative &amp; Technology"/>
    <n v="11.03324198943719"/>
    <s v="Neither"/>
    <n v="5"/>
  </r>
  <r>
    <d v="2019-04-23T15:19:43"/>
    <s v="19-2047"/>
    <s v="P081"/>
    <x v="12"/>
    <n v="50"/>
    <n v="25"/>
    <n v="350"/>
    <n v="175"/>
    <n v="175"/>
    <x v="153"/>
    <s v="Corporate &amp; Professional"/>
    <n v="11.799431383856128"/>
    <s v="Neither"/>
    <n v="5"/>
  </r>
  <r>
    <d v="2019-11-11T07:49:51"/>
    <s v="19-1533"/>
    <s v="P085"/>
    <x v="15"/>
    <n v="320"/>
    <n v="80"/>
    <n v="5440"/>
    <n v="1360"/>
    <n v="4080"/>
    <x v="74"/>
    <s v="Education"/>
    <n v="12.699346182652626"/>
    <s v="Dissatisfied"/>
    <n v="1"/>
  </r>
  <r>
    <d v="2020-07-27T20:57:23"/>
    <s v="20-3357"/>
    <s v="P018"/>
    <x v="6"/>
    <n v="108"/>
    <n v="54"/>
    <n v="648"/>
    <n v="324"/>
    <n v="324"/>
    <x v="130"/>
    <s v="Healthcare &amp; Safety"/>
    <n v="13.923194761258239"/>
    <s v="Dissatisfied"/>
    <n v="1"/>
  </r>
  <r>
    <d v="2019-09-25T15:12:41"/>
    <s v="19-3437"/>
    <s v="P027"/>
    <x v="12"/>
    <n v="140"/>
    <n v="70"/>
    <n v="980"/>
    <n v="490"/>
    <n v="490"/>
    <x v="130"/>
    <s v="Healthcare &amp; Safety"/>
    <n v="13.923194761258239"/>
    <s v="Dissatisfied"/>
    <n v="1"/>
  </r>
  <r>
    <d v="2022-09-22T02:22:10"/>
    <s v="22-4032"/>
    <s v="P061"/>
    <x v="15"/>
    <n v="264"/>
    <n v="88"/>
    <n v="4488"/>
    <n v="1496"/>
    <n v="2992"/>
    <x v="181"/>
    <s v="Sports &amp; Recreation"/>
    <n v="11.072271050116964"/>
    <s v="Satisfied"/>
    <n v="10"/>
  </r>
  <r>
    <d v="2021-11-15T13:46:45"/>
    <s v="21-4712"/>
    <s v="P044"/>
    <x v="7"/>
    <n v="368"/>
    <n v="92"/>
    <n v="4048"/>
    <n v="1012"/>
    <n v="3036"/>
    <x v="225"/>
    <s v="Healthcare &amp; Safety"/>
    <n v="9.4608554813364627"/>
    <s v="Neither"/>
    <n v="5"/>
  </r>
  <r>
    <d v="2019-07-04T19:56:26"/>
    <s v="19-1904"/>
    <s v="P006"/>
    <x v="12"/>
    <n v="38"/>
    <n v="19"/>
    <n v="266"/>
    <n v="133"/>
    <n v="133"/>
    <x v="276"/>
    <s v="Education"/>
    <n v="10.518436853046438"/>
    <s v="Dissatisfied"/>
    <n v="1"/>
  </r>
  <r>
    <d v="2018-09-13T11:16:29"/>
    <s v="18-4539"/>
    <s v="P008"/>
    <x v="13"/>
    <n v="225"/>
    <n v="75"/>
    <n v="2250"/>
    <n v="750"/>
    <n v="1500"/>
    <x v="221"/>
    <s v="Community &amp; Government"/>
    <n v="13.611804647345796"/>
    <s v="Neither"/>
    <n v="5"/>
  </r>
  <r>
    <d v="2020-11-06T21:35:29"/>
    <s v="20-1164"/>
    <s v="P061"/>
    <x v="16"/>
    <n v="264"/>
    <n v="88"/>
    <n v="2376"/>
    <n v="792"/>
    <n v="1584"/>
    <x v="110"/>
    <s v="Sports &amp; Recreation"/>
    <n v="14.690198582365463"/>
    <s v="Neither"/>
    <n v="5"/>
  </r>
  <r>
    <d v="2019-10-08T00:35:40"/>
    <s v="19-2877"/>
    <s v="P025"/>
    <x v="3"/>
    <n v="210"/>
    <n v="70"/>
    <n v="840"/>
    <n v="280"/>
    <n v="560"/>
    <x v="202"/>
    <s v="Community &amp; Government"/>
    <n v="8.1595626482464514"/>
    <s v="Dissatisfied"/>
    <n v="1"/>
  </r>
  <r>
    <d v="2018-02-20T10:43:43"/>
    <s v="18-1519"/>
    <s v="P045"/>
    <x v="8"/>
    <n v="100"/>
    <n v="25"/>
    <n v="1400"/>
    <n v="350"/>
    <n v="1050"/>
    <x v="273"/>
    <s v="Corporate &amp; Professional"/>
    <n v="11.971065679104063"/>
    <s v="Neither"/>
    <n v="5"/>
  </r>
  <r>
    <d v="2022-04-28T04:19:22"/>
    <s v="22-4775"/>
    <s v="P010"/>
    <x v="0"/>
    <n v="144"/>
    <n v="36"/>
    <n v="2160"/>
    <n v="540"/>
    <n v="1620"/>
    <x v="144"/>
    <s v="Education"/>
    <n v="16.368863536738775"/>
    <s v="Dissatisfied"/>
    <n v="1"/>
  </r>
  <r>
    <d v="2018-06-13T19:27:36"/>
    <s v="18-4376"/>
    <s v="P025"/>
    <x v="0"/>
    <n v="210"/>
    <n v="70"/>
    <n v="3150"/>
    <n v="1050"/>
    <n v="2100"/>
    <x v="77"/>
    <s v="Facilities &amp; Services"/>
    <n v="12.514998090845811"/>
    <s v="Neither"/>
    <n v="5"/>
  </r>
  <r>
    <d v="2022-08-10T19:19:57"/>
    <s v="22-4603"/>
    <s v="P057"/>
    <x v="0"/>
    <n v="252"/>
    <n v="63"/>
    <n v="3780"/>
    <n v="945"/>
    <n v="2835"/>
    <x v="48"/>
    <s v="Creative &amp; Technology"/>
    <n v="11.939773463335372"/>
    <s v="Neither"/>
    <n v="5"/>
  </r>
  <r>
    <d v="2020-08-21T13:50:35"/>
    <s v="20-1150"/>
    <s v="P066"/>
    <x v="17"/>
    <n v="34"/>
    <n v="17"/>
    <n v="34"/>
    <n v="17"/>
    <n v="17"/>
    <x v="230"/>
    <s v="Community &amp; Government"/>
    <n v="12.155895475340943"/>
    <s v="Neither"/>
    <n v="5"/>
  </r>
  <r>
    <d v="2020-01-20T18:49:28"/>
    <s v="20-2940"/>
    <s v="P017"/>
    <x v="1"/>
    <n v="120"/>
    <n v="30"/>
    <n v="960"/>
    <n v="240"/>
    <n v="720"/>
    <x v="144"/>
    <s v="Education"/>
    <n v="16.368863536738775"/>
    <s v="Neither"/>
    <n v="5"/>
  </r>
  <r>
    <d v="2020-02-19T15:18:40"/>
    <s v="20-2760"/>
    <s v="P067"/>
    <x v="8"/>
    <n v="144"/>
    <n v="36"/>
    <n v="2016"/>
    <n v="504"/>
    <n v="1512"/>
    <x v="202"/>
    <s v="Community &amp; Government"/>
    <n v="8.1595626482464514"/>
    <s v="Dissatisfied"/>
    <n v="1"/>
  </r>
  <r>
    <d v="2020-04-23T21:33:17"/>
    <s v="20-3964"/>
    <s v="P021"/>
    <x v="10"/>
    <n v="207"/>
    <n v="69"/>
    <n v="1035"/>
    <n v="345"/>
    <n v="690"/>
    <x v="130"/>
    <s v="Healthcare &amp; Safety"/>
    <n v="13.923194761258239"/>
    <s v="Neither"/>
    <n v="5"/>
  </r>
  <r>
    <d v="2020-07-05T17:41:15"/>
    <s v="20-2700"/>
    <s v="P083"/>
    <x v="17"/>
    <n v="90"/>
    <n v="45"/>
    <n v="90"/>
    <n v="45"/>
    <n v="45"/>
    <x v="110"/>
    <s v="Sports &amp; Recreation"/>
    <n v="14.690198582365463"/>
    <s v="Satisfied"/>
    <n v="10"/>
  </r>
  <r>
    <d v="2020-02-24T15:51:57"/>
    <s v="20-3439"/>
    <s v="P091"/>
    <x v="0"/>
    <n v="204"/>
    <n v="51"/>
    <n v="3060"/>
    <n v="765"/>
    <n v="2295"/>
    <x v="66"/>
    <s v="Facilities &amp; Services"/>
    <n v="12.172922939334034"/>
    <s v="Neither"/>
    <n v="5"/>
  </r>
  <r>
    <d v="2021-02-03T08:59:21"/>
    <s v="21-3569"/>
    <s v="P071"/>
    <x v="13"/>
    <n v="210"/>
    <n v="70"/>
    <n v="2100"/>
    <n v="700"/>
    <n v="1400"/>
    <x v="76"/>
    <s v="Community &amp; Government"/>
    <n v="12.796588406005421"/>
    <s v="Neither"/>
    <n v="5"/>
  </r>
  <r>
    <d v="2021-06-05T15:13:09"/>
    <s v="21-1921"/>
    <s v="P010"/>
    <x v="16"/>
    <n v="144"/>
    <n v="36"/>
    <n v="1296"/>
    <n v="324"/>
    <n v="972"/>
    <x v="229"/>
    <s v="Sports &amp; Recreation"/>
    <n v="11.417996201106442"/>
    <s v="Neither"/>
    <n v="5"/>
  </r>
  <r>
    <d v="2022-02-16T01:09:08"/>
    <s v="22-3232"/>
    <s v="P078"/>
    <x v="13"/>
    <n v="225"/>
    <n v="75"/>
    <n v="2250"/>
    <n v="750"/>
    <n v="1500"/>
    <x v="72"/>
    <s v="Community &amp; Government"/>
    <n v="15.458859683514467"/>
    <s v="Satisfied"/>
    <n v="10"/>
  </r>
  <r>
    <d v="2018-09-30T13:32:32"/>
    <s v="18-4859"/>
    <s v="P027"/>
    <x v="3"/>
    <n v="140"/>
    <n v="70"/>
    <n v="560"/>
    <n v="280"/>
    <n v="280"/>
    <x v="156"/>
    <s v="Healthcare &amp; Safety"/>
    <n v="12.801144805697081"/>
    <s v="Satisfied"/>
    <n v="10"/>
  </r>
  <r>
    <d v="2019-01-14T21:43:38"/>
    <s v="19-4471"/>
    <s v="P031"/>
    <x v="17"/>
    <n v="146"/>
    <n v="73"/>
    <n v="146"/>
    <n v="73"/>
    <n v="73"/>
    <x v="284"/>
    <s v="Facilities &amp; Services"/>
    <n v="8.6625575824723242"/>
    <s v="Neither"/>
    <n v="5"/>
  </r>
  <r>
    <d v="2018-11-23T05:08:38"/>
    <s v="18-1109"/>
    <s v="P044"/>
    <x v="2"/>
    <n v="368"/>
    <n v="92"/>
    <n v="4784"/>
    <n v="1196"/>
    <n v="3588"/>
    <x v="21"/>
    <s v="Facilities &amp; Services"/>
    <n v="13.717776078041958"/>
    <s v="Neither"/>
    <n v="5"/>
  </r>
  <r>
    <d v="2017-05-18T19:17:19"/>
    <s v="17-1857"/>
    <s v="P063"/>
    <x v="2"/>
    <n v="261"/>
    <n v="87"/>
    <n v="3393"/>
    <n v="1131"/>
    <n v="2262"/>
    <x v="17"/>
    <s v="Education"/>
    <n v="9.8238489437106278"/>
    <s v="Neither"/>
    <n v="5"/>
  </r>
  <r>
    <d v="2020-06-20T00:10:54"/>
    <s v="20-2937"/>
    <s v="P095"/>
    <x v="12"/>
    <n v="116"/>
    <n v="29"/>
    <n v="812"/>
    <n v="203"/>
    <n v="609"/>
    <x v="4"/>
    <s v="Education"/>
    <n v="15.24190997853951"/>
    <s v="Satisfied"/>
    <n v="10"/>
  </r>
  <r>
    <d v="2017-07-30T18:50:08"/>
    <s v="17-2486"/>
    <s v="P040"/>
    <x v="16"/>
    <n v="160"/>
    <n v="80"/>
    <n v="1440"/>
    <n v="720"/>
    <n v="720"/>
    <x v="106"/>
    <s v="Facilities &amp; Services"/>
    <n v="13.518413464873573"/>
    <s v="Dissatisfied"/>
    <n v="1"/>
  </r>
  <r>
    <d v="2018-09-22T03:31:59"/>
    <s v="18-3626"/>
    <s v="P021"/>
    <x v="15"/>
    <n v="207"/>
    <n v="69"/>
    <n v="3519"/>
    <n v="1173"/>
    <n v="2346"/>
    <x v="132"/>
    <s v="Education"/>
    <n v="13.857835104514242"/>
    <s v="Dissatisfied"/>
    <n v="1"/>
  </r>
  <r>
    <d v="2022-07-15T16:48:16"/>
    <s v="22-4795"/>
    <s v="P023"/>
    <x v="13"/>
    <n v="126"/>
    <n v="42"/>
    <n v="1260"/>
    <n v="420"/>
    <n v="840"/>
    <x v="86"/>
    <s v="Community &amp; Government"/>
    <n v="12.758430621858414"/>
    <s v="Neither"/>
    <n v="5"/>
  </r>
  <r>
    <d v="2021-02-06T07:12:43"/>
    <s v="21-2392"/>
    <s v="P093"/>
    <x v="10"/>
    <n v="384"/>
    <n v="96"/>
    <n v="1920"/>
    <n v="480"/>
    <n v="1440"/>
    <x v="91"/>
    <s v="Creative &amp; Technology"/>
    <n v="11.03324198943719"/>
    <s v="Satisfied"/>
    <n v="10"/>
  </r>
  <r>
    <d v="2020-01-26T06:10:15"/>
    <s v="20-2294"/>
    <s v="P077"/>
    <x v="15"/>
    <n v="162"/>
    <n v="54"/>
    <n v="2754"/>
    <n v="918"/>
    <n v="1836"/>
    <x v="29"/>
    <s v="Facilities &amp; Services"/>
    <n v="15.487214309603928"/>
    <s v="Neither"/>
    <n v="5"/>
  </r>
  <r>
    <d v="2021-01-18T04:02:09"/>
    <s v="21-2532"/>
    <s v="P036"/>
    <x v="18"/>
    <n v="280"/>
    <n v="70"/>
    <n v="5040"/>
    <n v="1260"/>
    <n v="3780"/>
    <x v="40"/>
    <s v="Corporate &amp; Professional"/>
    <n v="14.370283356317486"/>
    <s v="Dissatisfied"/>
    <n v="1"/>
  </r>
  <r>
    <d v="2019-06-22T03:23:08"/>
    <s v="19-3030"/>
    <s v="P080"/>
    <x v="12"/>
    <n v="57"/>
    <n v="19"/>
    <n v="399"/>
    <n v="133"/>
    <n v="266"/>
    <x v="157"/>
    <s v="Corporate &amp; Professional"/>
    <n v="13.917704159139552"/>
    <s v="Neither"/>
    <n v="5"/>
  </r>
  <r>
    <d v="2019-07-27T09:45:02"/>
    <s v="19-1846"/>
    <s v="P026"/>
    <x v="13"/>
    <n v="280"/>
    <n v="70"/>
    <n v="2800"/>
    <n v="700"/>
    <n v="2100"/>
    <x v="206"/>
    <s v="Community &amp; Government"/>
    <n v="12.699042739101285"/>
    <s v="Neither"/>
    <n v="5"/>
  </r>
  <r>
    <d v="2017-07-20T04:35:36"/>
    <s v="17-4660"/>
    <s v="P095"/>
    <x v="2"/>
    <n v="116"/>
    <n v="29"/>
    <n v="1508"/>
    <n v="377"/>
    <n v="1131"/>
    <x v="118"/>
    <s v="Community &amp; Government"/>
    <n v="15.60430546146185"/>
    <s v="Neither"/>
    <n v="5"/>
  </r>
  <r>
    <d v="2021-03-16T06:14:49"/>
    <s v="21-3001"/>
    <s v="P032"/>
    <x v="16"/>
    <n v="92"/>
    <n v="46"/>
    <n v="828"/>
    <n v="414"/>
    <n v="414"/>
    <x v="68"/>
    <s v="Sports &amp; Recreation"/>
    <n v="12.200533931675887"/>
    <s v="Dissatisfied"/>
    <n v="1"/>
  </r>
  <r>
    <d v="2018-11-28T09:18:47"/>
    <s v="18-4870"/>
    <s v="P055"/>
    <x v="11"/>
    <n v="360"/>
    <n v="90"/>
    <n v="5760"/>
    <n v="1440"/>
    <n v="4320"/>
    <x v="85"/>
    <s v="Creative &amp; Technology"/>
    <n v="10.570474361325047"/>
    <s v="Neither"/>
    <n v="5"/>
  </r>
  <r>
    <d v="2019-07-17T20:50:41"/>
    <s v="19-1705"/>
    <s v="P068"/>
    <x v="0"/>
    <n v="300"/>
    <n v="75"/>
    <n v="4500"/>
    <n v="1125"/>
    <n v="3375"/>
    <x v="71"/>
    <s v="Corporate &amp; Professional"/>
    <n v="11.274864741138284"/>
    <s v="Neither"/>
    <n v="5"/>
  </r>
  <r>
    <d v="2022-07-07T18:24:09"/>
    <s v="22-1564"/>
    <s v="P028"/>
    <x v="19"/>
    <n v="156"/>
    <n v="78"/>
    <n v="2964"/>
    <n v="1482"/>
    <n v="1482"/>
    <x v="197"/>
    <s v="Community &amp; Government"/>
    <n v="10.163794912095831"/>
    <s v="Satisfied"/>
    <n v="10"/>
  </r>
  <r>
    <d v="2021-01-25T17:26:51"/>
    <s v="21-4750"/>
    <s v="P077"/>
    <x v="0"/>
    <n v="162"/>
    <n v="54"/>
    <n v="2430"/>
    <n v="810"/>
    <n v="1620"/>
    <x v="132"/>
    <s v="Education"/>
    <n v="13.857835104514242"/>
    <s v="Satisfied"/>
    <n v="10"/>
  </r>
  <r>
    <d v="2020-11-05T01:40:43"/>
    <s v="20-3721"/>
    <s v="P100"/>
    <x v="6"/>
    <n v="46"/>
    <n v="23"/>
    <n v="276"/>
    <n v="138"/>
    <n v="138"/>
    <x v="24"/>
    <s v="Sports &amp; Recreation"/>
    <n v="14.697745043716761"/>
    <s v="Neither"/>
    <n v="5"/>
  </r>
  <r>
    <d v="2018-08-27T18:59:54"/>
    <s v="18-1214"/>
    <s v="P063"/>
    <x v="2"/>
    <n v="261"/>
    <n v="87"/>
    <n v="3393"/>
    <n v="1131"/>
    <n v="2262"/>
    <x v="164"/>
    <s v="Education"/>
    <n v="10.954865572729823"/>
    <s v="Neither"/>
    <n v="5"/>
  </r>
  <r>
    <d v="2021-10-04T21:05:30"/>
    <s v="21-3133"/>
    <s v="P095"/>
    <x v="9"/>
    <n v="116"/>
    <n v="29"/>
    <n v="2320"/>
    <n v="580"/>
    <n v="1740"/>
    <x v="203"/>
    <s v="Creative &amp; Technology"/>
    <n v="13.486912834801583"/>
    <s v="Neither"/>
    <n v="5"/>
  </r>
  <r>
    <d v="2018-08-24T05:18:08"/>
    <s v="18-3986"/>
    <s v="P048"/>
    <x v="14"/>
    <n v="252"/>
    <n v="63"/>
    <n v="3024"/>
    <n v="756"/>
    <n v="2268"/>
    <x v="101"/>
    <s v="Sports &amp; Recreation"/>
    <n v="10.816866337473218"/>
    <s v="Neither"/>
    <n v="5"/>
  </r>
  <r>
    <d v="2020-06-14T19:29:18"/>
    <s v="20-3842"/>
    <s v="P007"/>
    <x v="10"/>
    <n v="225"/>
    <n v="75"/>
    <n v="1125"/>
    <n v="375"/>
    <n v="750"/>
    <x v="110"/>
    <s v="Sports &amp; Recreation"/>
    <n v="14.690198582365463"/>
    <s v="Satisfied"/>
    <n v="10"/>
  </r>
  <r>
    <d v="2021-08-09T18:21:22"/>
    <s v="21-1583"/>
    <s v="P041"/>
    <x v="5"/>
    <n v="144"/>
    <n v="36"/>
    <n v="432"/>
    <n v="108"/>
    <n v="324"/>
    <x v="53"/>
    <s v="Education"/>
    <n v="13.288482149665386"/>
    <s v="Neither"/>
    <n v="5"/>
  </r>
  <r>
    <d v="2019-03-11T10:59:03"/>
    <s v="19-1965"/>
    <s v="P028"/>
    <x v="4"/>
    <n v="156"/>
    <n v="78"/>
    <n v="312"/>
    <n v="156"/>
    <n v="156"/>
    <x v="120"/>
    <s v="Education"/>
    <n v="9.4239783062860578"/>
    <s v="Neither"/>
    <n v="5"/>
  </r>
  <r>
    <d v="2020-08-13T06:02:22"/>
    <s v="20-3951"/>
    <s v="P084"/>
    <x v="8"/>
    <n v="154"/>
    <n v="77"/>
    <n v="2156"/>
    <n v="1078"/>
    <n v="1078"/>
    <x v="143"/>
    <s v="Community &amp; Government"/>
    <n v="12.732640267350657"/>
    <s v="Dissatisfied"/>
    <n v="1"/>
  </r>
  <r>
    <d v="2021-11-05T06:09:19"/>
    <s v="21-4719"/>
    <s v="P046"/>
    <x v="5"/>
    <n v="38"/>
    <n v="19"/>
    <n v="114"/>
    <n v="57"/>
    <n v="57"/>
    <x v="287"/>
    <s v="Community &amp; Government"/>
    <n v="14.412865837260112"/>
    <s v="Neither"/>
    <n v="5"/>
  </r>
  <r>
    <d v="2019-12-31T10:36:04"/>
    <s v="19-1344"/>
    <s v="P019"/>
    <x v="11"/>
    <n v="308"/>
    <n v="77"/>
    <n v="4928"/>
    <n v="1232"/>
    <n v="3696"/>
    <x v="1"/>
    <s v="Corporate &amp; Professional"/>
    <n v="13.299525114817991"/>
    <s v="Neither"/>
    <n v="5"/>
  </r>
  <r>
    <d v="2022-03-22T10:36:36"/>
    <s v="22-4205"/>
    <s v="P083"/>
    <x v="18"/>
    <n v="90"/>
    <n v="45"/>
    <n v="1620"/>
    <n v="810"/>
    <n v="810"/>
    <x v="128"/>
    <s v="Healthcare &amp; Safety"/>
    <n v="10.96230865592911"/>
    <s v="Dissatisfied"/>
    <n v="1"/>
  </r>
  <r>
    <d v="2018-09-06T20:49:48"/>
    <s v="18-2727"/>
    <s v="P015"/>
    <x v="5"/>
    <n v="176"/>
    <n v="88"/>
    <n v="528"/>
    <n v="264"/>
    <n v="264"/>
    <x v="162"/>
    <s v="Creative &amp; Technology"/>
    <n v="14.064516999204997"/>
    <s v="Neither"/>
    <n v="5"/>
  </r>
  <r>
    <d v="2020-01-19T06:23:24"/>
    <s v="20-1669"/>
    <s v="P052"/>
    <x v="9"/>
    <n v="352"/>
    <n v="88"/>
    <n v="7040"/>
    <n v="1760"/>
    <n v="5280"/>
    <x v="182"/>
    <s v="Sports &amp; Recreation"/>
    <n v="12.564315242820944"/>
    <s v="Neither"/>
    <n v="5"/>
  </r>
  <r>
    <d v="2017-08-15T10:44:14"/>
    <s v="17-2640"/>
    <s v="P090"/>
    <x v="13"/>
    <n v="57"/>
    <n v="19"/>
    <n v="570"/>
    <n v="190"/>
    <n v="380"/>
    <x v="265"/>
    <s v="Corporate &amp; Professional"/>
    <n v="12.55774399806273"/>
    <s v="Neither"/>
    <n v="5"/>
  </r>
  <r>
    <d v="2020-04-29T01:10:48"/>
    <s v="20-1465"/>
    <s v="P062"/>
    <x v="0"/>
    <n v="348"/>
    <n v="87"/>
    <n v="5220"/>
    <n v="1305"/>
    <n v="3915"/>
    <x v="28"/>
    <s v="Sports &amp; Recreation"/>
    <n v="11.006397834696006"/>
    <s v="Dissatisfied"/>
    <n v="1"/>
  </r>
  <r>
    <d v="2019-11-25T11:31:53"/>
    <s v="19-4077"/>
    <s v="P032"/>
    <x v="0"/>
    <n v="92"/>
    <n v="46"/>
    <n v="1380"/>
    <n v="690"/>
    <n v="690"/>
    <x v="254"/>
    <s v="Corporate &amp; Professional"/>
    <n v="8.1743378387804331"/>
    <s v="Neither"/>
    <n v="5"/>
  </r>
  <r>
    <d v="2018-11-08T18:35:39"/>
    <s v="18-3081"/>
    <s v="P051"/>
    <x v="7"/>
    <n v="135"/>
    <n v="45"/>
    <n v="1485"/>
    <n v="495"/>
    <n v="990"/>
    <x v="27"/>
    <s v="Healthcare &amp; Safety"/>
    <n v="10.42743035829395"/>
    <s v="Neither"/>
    <n v="5"/>
  </r>
  <r>
    <d v="2020-02-08T05:07:35"/>
    <s v="20-2688"/>
    <s v="P052"/>
    <x v="9"/>
    <n v="352"/>
    <n v="88"/>
    <n v="7040"/>
    <n v="1760"/>
    <n v="5280"/>
    <x v="35"/>
    <s v="Sports &amp; Recreation"/>
    <n v="12.487915239531313"/>
    <s v="Satisfied"/>
    <n v="10"/>
  </r>
  <r>
    <d v="2022-11-29T06:51:56"/>
    <s v="22-1726"/>
    <s v="P040"/>
    <x v="4"/>
    <n v="160"/>
    <n v="80"/>
    <n v="320"/>
    <n v="160"/>
    <n v="160"/>
    <x v="244"/>
    <s v="Creative &amp; Technology"/>
    <n v="11.78346750250795"/>
    <s v="Satisfied"/>
    <n v="10"/>
  </r>
  <r>
    <d v="2018-09-08T18:06:15"/>
    <s v="18-4375"/>
    <s v="P019"/>
    <x v="17"/>
    <n v="308"/>
    <n v="77"/>
    <n v="308"/>
    <n v="77"/>
    <n v="231"/>
    <x v="217"/>
    <s v="Education"/>
    <n v="11.862005526237752"/>
    <s v="Neither"/>
    <n v="5"/>
  </r>
  <r>
    <d v="2019-02-19T23:59:54"/>
    <s v="19-1886"/>
    <s v="P009"/>
    <x v="18"/>
    <n v="255"/>
    <n v="85"/>
    <n v="4590"/>
    <n v="1530"/>
    <n v="3060"/>
    <x v="20"/>
    <s v="Education"/>
    <n v="15.12637675023732"/>
    <s v="Neither"/>
    <n v="5"/>
  </r>
  <r>
    <d v="2019-09-28T12:00:16"/>
    <s v="19-2881"/>
    <s v="P090"/>
    <x v="2"/>
    <n v="57"/>
    <n v="19"/>
    <n v="741"/>
    <n v="247"/>
    <n v="494"/>
    <x v="137"/>
    <s v="Facilities &amp; Services"/>
    <n v="15.861056998489449"/>
    <s v="Satisfied"/>
    <n v="10"/>
  </r>
  <r>
    <d v="2019-12-10T16:09:55"/>
    <s v="19-2404"/>
    <s v="P034"/>
    <x v="8"/>
    <n v="114"/>
    <n v="57"/>
    <n v="1596"/>
    <n v="798"/>
    <n v="798"/>
    <x v="9"/>
    <s v="Sports &amp; Recreation"/>
    <n v="15.602184182549776"/>
    <s v="Neither"/>
    <n v="5"/>
  </r>
  <r>
    <d v="2021-01-28T11:19:40"/>
    <s v="21-1761"/>
    <s v="P031"/>
    <x v="16"/>
    <n v="146"/>
    <n v="73"/>
    <n v="1314"/>
    <n v="657"/>
    <n v="657"/>
    <x v="204"/>
    <s v="Corporate &amp; Professional"/>
    <n v="10.248947386022252"/>
    <s v="Satisfied"/>
    <n v="10"/>
  </r>
  <r>
    <d v="2019-09-03T20:41:50"/>
    <s v="19-3407"/>
    <s v="P061"/>
    <x v="7"/>
    <n v="264"/>
    <n v="88"/>
    <n v="2904"/>
    <n v="968"/>
    <n v="1936"/>
    <x v="94"/>
    <s v="Corporate &amp; Professional"/>
    <n v="9.0350666811770921"/>
    <s v="Neither"/>
    <n v="5"/>
  </r>
  <r>
    <d v="2021-12-05T22:09:22"/>
    <s v="21-4471"/>
    <s v="P021"/>
    <x v="2"/>
    <n v="207"/>
    <n v="69"/>
    <n v="2691"/>
    <n v="897"/>
    <n v="1794"/>
    <x v="116"/>
    <s v="Education"/>
    <n v="12.299779975023837"/>
    <s v="Satisfied"/>
    <n v="10"/>
  </r>
  <r>
    <d v="2020-03-11T01:04:29"/>
    <s v="20-1403"/>
    <s v="P028"/>
    <x v="13"/>
    <n v="156"/>
    <n v="78"/>
    <n v="1560"/>
    <n v="780"/>
    <n v="780"/>
    <x v="11"/>
    <s v="Creative &amp; Technology"/>
    <n v="8.2871811249429097"/>
    <s v="Satisfied"/>
    <n v="10"/>
  </r>
  <r>
    <d v="2022-10-18T23:48:02"/>
    <s v="22-4374"/>
    <s v="P019"/>
    <x v="13"/>
    <n v="308"/>
    <n v="77"/>
    <n v="3080"/>
    <n v="770"/>
    <n v="2310"/>
    <x v="290"/>
    <s v="Community &amp; Government"/>
    <n v="15.239568994601312"/>
    <s v="Neither"/>
    <n v="5"/>
  </r>
  <r>
    <d v="2021-11-21T21:35:41"/>
    <s v="21-4207"/>
    <s v="P097"/>
    <x v="14"/>
    <n v="92"/>
    <n v="46"/>
    <n v="1104"/>
    <n v="552"/>
    <n v="552"/>
    <x v="106"/>
    <s v="Facilities &amp; Services"/>
    <n v="13.518413464873573"/>
    <s v="Dissatisfied"/>
    <n v="1"/>
  </r>
  <r>
    <d v="2019-01-25T00:26:14"/>
    <s v="19-4725"/>
    <s v="P006"/>
    <x v="16"/>
    <n v="38"/>
    <n v="19"/>
    <n v="342"/>
    <n v="171"/>
    <n v="171"/>
    <x v="248"/>
    <s v="Creative &amp; Technology"/>
    <n v="11.130819205617987"/>
    <s v="Neither"/>
    <n v="5"/>
  </r>
  <r>
    <d v="2021-06-11T00:29:01"/>
    <s v="21-4321"/>
    <s v="P020"/>
    <x v="10"/>
    <n v="180"/>
    <n v="45"/>
    <n v="900"/>
    <n v="225"/>
    <n v="675"/>
    <x v="132"/>
    <s v="Education"/>
    <n v="13.857835104514242"/>
    <s v="Dissatisfied"/>
    <n v="1"/>
  </r>
  <r>
    <d v="2022-09-23T08:33:23"/>
    <s v="22-4736"/>
    <s v="P092"/>
    <x v="12"/>
    <n v="124"/>
    <n v="62"/>
    <n v="868"/>
    <n v="434"/>
    <n v="434"/>
    <x v="83"/>
    <s v="Sports &amp; Recreation"/>
    <n v="11.504886852416154"/>
    <s v="Satisfied"/>
    <n v="10"/>
  </r>
  <r>
    <d v="2019-01-17T07:00:57"/>
    <s v="19-4796"/>
    <s v="P016"/>
    <x v="11"/>
    <n v="110"/>
    <n v="55"/>
    <n v="1760"/>
    <n v="880"/>
    <n v="880"/>
    <x v="54"/>
    <s v="Community &amp; Government"/>
    <n v="13.890275354050972"/>
    <s v="Neither"/>
    <n v="5"/>
  </r>
  <r>
    <d v="2019-10-23T18:08:50"/>
    <s v="19-4196"/>
    <s v="P055"/>
    <x v="3"/>
    <n v="360"/>
    <n v="90"/>
    <n v="1440"/>
    <n v="360"/>
    <n v="1080"/>
    <x v="292"/>
    <s v="Creative &amp; Technology"/>
    <n v="13.537350739681813"/>
    <s v="Satisfied"/>
    <n v="10"/>
  </r>
  <r>
    <d v="2018-09-21T10:47:07"/>
    <s v="18-4936"/>
    <s v="P014"/>
    <x v="2"/>
    <n v="166"/>
    <n v="83"/>
    <n v="2158"/>
    <n v="1079"/>
    <n v="1079"/>
    <x v="113"/>
    <s v="Community &amp; Government"/>
    <n v="11.655355879643379"/>
    <s v="Dissatisfied"/>
    <n v="1"/>
  </r>
  <r>
    <d v="2021-09-23T01:04:23"/>
    <s v="21-1619"/>
    <s v="P072"/>
    <x v="13"/>
    <n v="132"/>
    <n v="44"/>
    <n v="1320"/>
    <n v="440"/>
    <n v="880"/>
    <x v="111"/>
    <s v="Sports &amp; Recreation"/>
    <n v="12.342715162719054"/>
    <s v="Neither"/>
    <n v="5"/>
  </r>
  <r>
    <d v="2019-12-15T09:45:00"/>
    <s v="19-1934"/>
    <s v="P074"/>
    <x v="4"/>
    <n v="352"/>
    <n v="88"/>
    <n v="704"/>
    <n v="176"/>
    <n v="528"/>
    <x v="96"/>
    <s v="Healthcare &amp; Safety"/>
    <n v="11.221666113009938"/>
    <s v="Dissatisfied"/>
    <n v="1"/>
  </r>
  <r>
    <d v="2019-08-13T14:22:22"/>
    <s v="19-3168"/>
    <s v="P094"/>
    <x v="12"/>
    <n v="80"/>
    <n v="20"/>
    <n v="560"/>
    <n v="140"/>
    <n v="420"/>
    <x v="290"/>
    <s v="Community &amp; Government"/>
    <n v="15.239568994601312"/>
    <s v="Neither"/>
    <n v="5"/>
  </r>
  <r>
    <d v="2019-04-07T23:48:49"/>
    <s v="19-3386"/>
    <s v="P086"/>
    <x v="5"/>
    <n v="352"/>
    <n v="88"/>
    <n v="1056"/>
    <n v="264"/>
    <n v="792"/>
    <x v="123"/>
    <s v="Facilities &amp; Services"/>
    <n v="9.1877733607656964"/>
    <s v="Neither"/>
    <n v="5"/>
  </r>
  <r>
    <d v="2018-09-04T03:57:09"/>
    <s v="18-2340"/>
    <s v="P016"/>
    <x v="18"/>
    <n v="110"/>
    <n v="55"/>
    <n v="1980"/>
    <n v="990"/>
    <n v="990"/>
    <x v="269"/>
    <s v="Corporate &amp; Professional"/>
    <n v="10.585251392347548"/>
    <s v="Neither"/>
    <n v="5"/>
  </r>
  <r>
    <d v="2018-03-31T03:13:06"/>
    <s v="18-2932"/>
    <s v="P056"/>
    <x v="0"/>
    <n v="72"/>
    <n v="36"/>
    <n v="1080"/>
    <n v="540"/>
    <n v="540"/>
    <x v="68"/>
    <s v="Sports &amp; Recreation"/>
    <n v="12.200533931675887"/>
    <s v="Satisfied"/>
    <n v="10"/>
  </r>
  <r>
    <d v="2019-04-23T15:50:09"/>
    <s v="19-2352"/>
    <s v="P034"/>
    <x v="3"/>
    <n v="114"/>
    <n v="57"/>
    <n v="456"/>
    <n v="228"/>
    <n v="228"/>
    <x v="186"/>
    <s v="Education"/>
    <n v="8.3272837771733244"/>
    <s v="Neither"/>
    <n v="5"/>
  </r>
  <r>
    <d v="2019-07-10T17:12:54"/>
    <s v="19-4189"/>
    <s v="P018"/>
    <x v="8"/>
    <n v="108"/>
    <n v="54"/>
    <n v="1512"/>
    <n v="756"/>
    <n v="756"/>
    <x v="102"/>
    <s v="Facilities &amp; Services"/>
    <n v="9.8928038181361391"/>
    <s v="Dissatisfied"/>
    <n v="1"/>
  </r>
  <r>
    <d v="2019-10-21T13:14:04"/>
    <s v="19-4947"/>
    <s v="P002"/>
    <x v="4"/>
    <n v="144"/>
    <n v="36"/>
    <n v="288"/>
    <n v="72"/>
    <n v="216"/>
    <x v="173"/>
    <s v="Education"/>
    <n v="12.147202500273634"/>
    <s v="Neither"/>
    <n v="5"/>
  </r>
  <r>
    <d v="2019-11-20T13:49:25"/>
    <s v="19-4277"/>
    <s v="P007"/>
    <x v="3"/>
    <n v="225"/>
    <n v="75"/>
    <n v="900"/>
    <n v="300"/>
    <n v="600"/>
    <x v="93"/>
    <s v="Facilities &amp; Services"/>
    <n v="10.966283117837653"/>
    <s v="Satisfied"/>
    <n v="10"/>
  </r>
  <r>
    <d v="2021-02-25T15:19:47"/>
    <s v="21-2861"/>
    <s v="P008"/>
    <x v="10"/>
    <n v="225"/>
    <n v="75"/>
    <n v="1125"/>
    <n v="375"/>
    <n v="750"/>
    <x v="242"/>
    <s v="Corporate &amp; Professional"/>
    <n v="13.062292798511226"/>
    <s v="Neither"/>
    <n v="5"/>
  </r>
  <r>
    <d v="2019-08-04T09:50:37"/>
    <s v="19-2302"/>
    <s v="P067"/>
    <x v="14"/>
    <n v="144"/>
    <n v="36"/>
    <n v="1728"/>
    <n v="432"/>
    <n v="1296"/>
    <x v="87"/>
    <s v="Education"/>
    <n v="11.710935611749917"/>
    <s v="Dissatisfied"/>
    <n v="1"/>
  </r>
  <r>
    <d v="2021-07-08T16:46:12"/>
    <s v="21-2552"/>
    <s v="P049"/>
    <x v="4"/>
    <n v="356"/>
    <n v="89"/>
    <n v="712"/>
    <n v="178"/>
    <n v="534"/>
    <x v="254"/>
    <s v="Corporate &amp; Professional"/>
    <n v="8.1743378387804331"/>
    <s v="Neither"/>
    <n v="5"/>
  </r>
  <r>
    <d v="2020-05-06T02:42:15"/>
    <s v="20-2481"/>
    <s v="P044"/>
    <x v="10"/>
    <n v="368"/>
    <n v="92"/>
    <n v="1840"/>
    <n v="460"/>
    <n v="1380"/>
    <x v="35"/>
    <s v="Sports &amp; Recreation"/>
    <n v="12.487915239531313"/>
    <s v="Neither"/>
    <n v="5"/>
  </r>
  <r>
    <d v="2019-07-27T18:02:13"/>
    <s v="19-4239"/>
    <s v="P010"/>
    <x v="10"/>
    <n v="144"/>
    <n v="36"/>
    <n v="720"/>
    <n v="180"/>
    <n v="540"/>
    <x v="97"/>
    <s v="Corporate &amp; Professional"/>
    <n v="12.545140403858928"/>
    <s v="Neither"/>
    <n v="5"/>
  </r>
  <r>
    <d v="2021-06-13T11:02:30"/>
    <s v="21-3352"/>
    <s v="P033"/>
    <x v="10"/>
    <n v="57"/>
    <n v="19"/>
    <n v="285"/>
    <n v="95"/>
    <n v="190"/>
    <x v="235"/>
    <s v="Facilities &amp; Services"/>
    <n v="11.226611755437654"/>
    <s v="Dissatisfied"/>
    <n v="1"/>
  </r>
  <r>
    <d v="2018-03-02T07:19:16"/>
    <s v="18-4362"/>
    <s v="P027"/>
    <x v="16"/>
    <n v="140"/>
    <n v="70"/>
    <n v="1260"/>
    <n v="630"/>
    <n v="630"/>
    <x v="116"/>
    <s v="Education"/>
    <n v="12.299779975023837"/>
    <s v="Dissatisfied"/>
    <n v="1"/>
  </r>
  <r>
    <d v="2020-02-03T17:17:01"/>
    <s v="20-1805"/>
    <s v="P016"/>
    <x v="15"/>
    <n v="110"/>
    <n v="55"/>
    <n v="1870"/>
    <n v="935"/>
    <n v="935"/>
    <x v="275"/>
    <s v="Healthcare &amp; Safety"/>
    <n v="10.428287009858728"/>
    <s v="Neither"/>
    <n v="5"/>
  </r>
  <r>
    <d v="2019-02-21T05:53:45"/>
    <s v="19-2569"/>
    <s v="P059"/>
    <x v="10"/>
    <n v="267"/>
    <n v="89"/>
    <n v="1335"/>
    <n v="445"/>
    <n v="890"/>
    <x v="76"/>
    <s v="Community &amp; Government"/>
    <n v="12.796588406005421"/>
    <s v="Satisfied"/>
    <n v="10"/>
  </r>
  <r>
    <d v="2020-09-14T22:21:31"/>
    <s v="20-2971"/>
    <s v="P004"/>
    <x v="8"/>
    <n v="189"/>
    <n v="63"/>
    <n v="2646"/>
    <n v="882"/>
    <n v="1764"/>
    <x v="47"/>
    <s v="Healthcare &amp; Safety"/>
    <n v="11.727497850343074"/>
    <s v="Neither"/>
    <n v="5"/>
  </r>
  <r>
    <d v="2019-02-23T19:44:06"/>
    <s v="19-3175"/>
    <s v="P046"/>
    <x v="0"/>
    <n v="38"/>
    <n v="19"/>
    <n v="570"/>
    <n v="285"/>
    <n v="285"/>
    <x v="200"/>
    <s v="Community &amp; Government"/>
    <n v="12.460490918487697"/>
    <s v="Satisfied"/>
    <n v="10"/>
  </r>
  <r>
    <d v="2020-05-26T13:08:45"/>
    <s v="20-4353"/>
    <s v="P024"/>
    <x v="3"/>
    <n v="66"/>
    <n v="33"/>
    <n v="264"/>
    <n v="132"/>
    <n v="132"/>
    <x v="227"/>
    <s v="Creative &amp; Technology"/>
    <n v="14.308257477047373"/>
    <s v="Satisfied"/>
    <n v="10"/>
  </r>
  <r>
    <d v="2021-04-06T00:50:09"/>
    <s v="21-2258"/>
    <s v="P098"/>
    <x v="7"/>
    <n v="201"/>
    <n v="67"/>
    <n v="2211"/>
    <n v="737"/>
    <n v="1474"/>
    <x v="34"/>
    <s v="Sports &amp; Recreation"/>
    <n v="11.406233913305266"/>
    <s v="Neither"/>
    <n v="5"/>
  </r>
  <r>
    <d v="2019-11-28T18:20:52"/>
    <s v="19-1594"/>
    <s v="P049"/>
    <x v="12"/>
    <n v="356"/>
    <n v="89"/>
    <n v="2492"/>
    <n v="623"/>
    <n v="1869"/>
    <x v="11"/>
    <s v="Creative &amp; Technology"/>
    <n v="8.2871811249429097"/>
    <s v="Neither"/>
    <n v="5"/>
  </r>
  <r>
    <d v="2020-09-18T12:43:14"/>
    <s v="20-4234"/>
    <s v="P092"/>
    <x v="9"/>
    <n v="124"/>
    <n v="62"/>
    <n v="2480"/>
    <n v="1240"/>
    <n v="1240"/>
    <x v="145"/>
    <s v="Sports &amp; Recreation"/>
    <n v="7.9963422143733238"/>
    <s v="Satisfied"/>
    <n v="10"/>
  </r>
  <r>
    <d v="2021-04-27T01:22:00"/>
    <s v="21-3333"/>
    <s v="P033"/>
    <x v="0"/>
    <n v="57"/>
    <n v="19"/>
    <n v="855"/>
    <n v="285"/>
    <n v="570"/>
    <x v="155"/>
    <s v="Creative &amp; Technology"/>
    <n v="8.0758315802191021"/>
    <s v="Neither"/>
    <n v="5"/>
  </r>
  <r>
    <d v="2021-08-06T17:25:21"/>
    <s v="21-2972"/>
    <s v="P045"/>
    <x v="14"/>
    <n v="100"/>
    <n v="25"/>
    <n v="1200"/>
    <n v="300"/>
    <n v="900"/>
    <x v="286"/>
    <s v="Community &amp; Government"/>
    <n v="10.826646539963521"/>
    <s v="Satisfied"/>
    <n v="10"/>
  </r>
  <r>
    <d v="2019-10-11T07:11:24"/>
    <s v="19-3524"/>
    <s v="P006"/>
    <x v="9"/>
    <n v="38"/>
    <n v="19"/>
    <n v="760"/>
    <n v="380"/>
    <n v="380"/>
    <x v="275"/>
    <s v="Healthcare &amp; Safety"/>
    <n v="10.428287009858728"/>
    <s v="Neither"/>
    <n v="5"/>
  </r>
  <r>
    <d v="2022-06-09T12:32:57"/>
    <s v="22-2628"/>
    <s v="P017"/>
    <x v="14"/>
    <n v="120"/>
    <n v="30"/>
    <n v="1440"/>
    <n v="360"/>
    <n v="1080"/>
    <x v="13"/>
    <s v="Sports &amp; Recreation"/>
    <n v="12.163730387337393"/>
    <s v="Neither"/>
    <n v="5"/>
  </r>
  <r>
    <d v="2018-04-15T08:45:30"/>
    <s v="18-3933"/>
    <s v="P060"/>
    <x v="5"/>
    <n v="300"/>
    <n v="75"/>
    <n v="900"/>
    <n v="225"/>
    <n v="675"/>
    <x v="127"/>
    <s v="Facilities &amp; Services"/>
    <n v="11.644564584314265"/>
    <s v="Dissatisfied"/>
    <n v="1"/>
  </r>
  <r>
    <d v="2021-10-15T23:58:33"/>
    <s v="21-1615"/>
    <s v="P041"/>
    <x v="14"/>
    <n v="144"/>
    <n v="36"/>
    <n v="1728"/>
    <n v="432"/>
    <n v="1296"/>
    <x v="69"/>
    <s v="Healthcare &amp; Safety"/>
    <n v="9.3014286057233697"/>
    <s v="Satisfied"/>
    <n v="10"/>
  </r>
  <r>
    <d v="2020-03-08T20:44:51"/>
    <s v="20-2161"/>
    <s v="P075"/>
    <x v="18"/>
    <n v="160"/>
    <n v="80"/>
    <n v="2880"/>
    <n v="1440"/>
    <n v="1440"/>
    <x v="263"/>
    <s v="Facilities &amp; Services"/>
    <n v="8.1352386075080023"/>
    <s v="Satisfied"/>
    <n v="10"/>
  </r>
  <r>
    <d v="2021-02-19T18:18:19"/>
    <s v="21-3663"/>
    <s v="P085"/>
    <x v="11"/>
    <n v="320"/>
    <n v="80"/>
    <n v="5120"/>
    <n v="1280"/>
    <n v="3840"/>
    <x v="61"/>
    <s v="Education"/>
    <n v="13.697485557052493"/>
    <s v="Neither"/>
    <n v="5"/>
  </r>
  <r>
    <d v="2021-03-09T11:33:13"/>
    <s v="21-2982"/>
    <s v="P034"/>
    <x v="18"/>
    <n v="114"/>
    <n v="57"/>
    <n v="2052"/>
    <n v="1026"/>
    <n v="1026"/>
    <x v="89"/>
    <s v="Community &amp; Government"/>
    <n v="10.317615395419679"/>
    <s v="Dissatisfied"/>
    <n v="1"/>
  </r>
  <r>
    <d v="2019-07-27T20:39:52"/>
    <s v="19-4992"/>
    <s v="P070"/>
    <x v="17"/>
    <n v="84"/>
    <n v="21"/>
    <n v="84"/>
    <n v="21"/>
    <n v="63"/>
    <x v="11"/>
    <s v="Creative &amp; Technology"/>
    <n v="8.2871811249429097"/>
    <s v="Dissatisfied"/>
    <n v="1"/>
  </r>
  <r>
    <d v="2021-02-15T15:15:56"/>
    <s v="21-4211"/>
    <s v="P019"/>
    <x v="15"/>
    <n v="308"/>
    <n v="77"/>
    <n v="5236"/>
    <n v="1309"/>
    <n v="3927"/>
    <x v="186"/>
    <s v="Education"/>
    <n v="8.3272837771733244"/>
    <s v="Dissatisfied"/>
    <n v="1"/>
  </r>
  <r>
    <d v="2018-10-07T08:41:10"/>
    <s v="18-4622"/>
    <s v="P098"/>
    <x v="17"/>
    <n v="201"/>
    <n v="67"/>
    <n v="201"/>
    <n v="67"/>
    <n v="134"/>
    <x v="219"/>
    <s v="Facilities &amp; Services"/>
    <n v="11.289144410898391"/>
    <s v="Neither"/>
    <n v="5"/>
  </r>
  <r>
    <d v="2021-03-05T20:18:48"/>
    <s v="21-3622"/>
    <s v="P022"/>
    <x v="9"/>
    <n v="153"/>
    <n v="51"/>
    <n v="3060"/>
    <n v="1020"/>
    <n v="2040"/>
    <x v="235"/>
    <s v="Facilities &amp; Services"/>
    <n v="11.226611755437654"/>
    <s v="Neither"/>
    <n v="5"/>
  </r>
  <r>
    <d v="2020-07-30T18:51:56"/>
    <s v="20-1138"/>
    <s v="P073"/>
    <x v="6"/>
    <n v="48"/>
    <n v="24"/>
    <n v="288"/>
    <n v="144"/>
    <n v="144"/>
    <x v="36"/>
    <s v="Creative &amp; Technology"/>
    <n v="8.1085102757869372"/>
    <s v="Dissatisfied"/>
    <n v="1"/>
  </r>
  <r>
    <d v="2021-06-17T08:06:45"/>
    <s v="21-2768"/>
    <s v="P070"/>
    <x v="12"/>
    <n v="84"/>
    <n v="21"/>
    <n v="588"/>
    <n v="147"/>
    <n v="441"/>
    <x v="66"/>
    <s v="Facilities &amp; Services"/>
    <n v="12.172922939334034"/>
    <s v="Neither"/>
    <n v="5"/>
  </r>
  <r>
    <d v="2020-12-30T00:31:18"/>
    <s v="20-3545"/>
    <s v="P076"/>
    <x v="5"/>
    <n v="94"/>
    <n v="47"/>
    <n v="282"/>
    <n v="141"/>
    <n v="141"/>
    <x v="112"/>
    <s v="Creative &amp; Technology"/>
    <n v="12.004541523616258"/>
    <s v="Satisfied"/>
    <n v="10"/>
  </r>
  <r>
    <d v="2017-11-05T09:48:55"/>
    <s v="17-4758"/>
    <s v="P055"/>
    <x v="0"/>
    <n v="360"/>
    <n v="90"/>
    <n v="5400"/>
    <n v="1350"/>
    <n v="4050"/>
    <x v="220"/>
    <s v="Education"/>
    <n v="13.392447352247808"/>
    <s v="Satisfied"/>
    <n v="10"/>
  </r>
  <r>
    <d v="2020-01-18T14:45:21"/>
    <s v="20-1676"/>
    <s v="P044"/>
    <x v="1"/>
    <n v="368"/>
    <n v="92"/>
    <n v="2944"/>
    <n v="736"/>
    <n v="2208"/>
    <x v="217"/>
    <s v="Education"/>
    <n v="11.862005526237752"/>
    <s v="Neither"/>
    <n v="5"/>
  </r>
  <r>
    <d v="2023-11-18T19:11:21"/>
    <s v="23-1652"/>
    <s v="P066"/>
    <x v="18"/>
    <n v="34"/>
    <n v="17"/>
    <n v="612"/>
    <n v="306"/>
    <n v="306"/>
    <x v="217"/>
    <s v="Education"/>
    <n v="11.862005526237752"/>
    <s v="Dissatisfied"/>
    <n v="1"/>
  </r>
  <r>
    <d v="2020-02-14T03:44:57"/>
    <s v="20-4845"/>
    <s v="P066"/>
    <x v="7"/>
    <n v="34"/>
    <n v="17"/>
    <n v="374"/>
    <n v="187"/>
    <n v="187"/>
    <x v="97"/>
    <s v="Corporate &amp; Professional"/>
    <n v="12.545140403858928"/>
    <s v="Satisfied"/>
    <n v="10"/>
  </r>
  <r>
    <d v="2020-01-20T10:51:02"/>
    <s v="20-2334"/>
    <s v="P009"/>
    <x v="5"/>
    <n v="255"/>
    <n v="85"/>
    <n v="765"/>
    <n v="255"/>
    <n v="510"/>
    <x v="235"/>
    <s v="Facilities &amp; Services"/>
    <n v="11.226611755437654"/>
    <s v="Dissatisfied"/>
    <n v="1"/>
  </r>
  <r>
    <d v="2021-04-01T22:48:04"/>
    <s v="21-2903"/>
    <s v="P078"/>
    <x v="0"/>
    <n v="225"/>
    <n v="75"/>
    <n v="3375"/>
    <n v="1125"/>
    <n v="2250"/>
    <x v="195"/>
    <s v="Community &amp; Government"/>
    <n v="12.679725647708608"/>
    <s v="Neither"/>
    <n v="5"/>
  </r>
  <r>
    <d v="2021-04-15T04:40:44"/>
    <s v="21-4130"/>
    <s v="P016"/>
    <x v="12"/>
    <n v="110"/>
    <n v="55"/>
    <n v="770"/>
    <n v="385"/>
    <n v="385"/>
    <x v="75"/>
    <s v="Healthcare &amp; Safety"/>
    <n v="13.918153610259502"/>
    <s v="Satisfied"/>
    <n v="10"/>
  </r>
  <r>
    <d v="2019-06-06T16:35:02"/>
    <s v="19-4938"/>
    <s v="P025"/>
    <x v="10"/>
    <n v="210"/>
    <n v="70"/>
    <n v="1050"/>
    <n v="350"/>
    <n v="700"/>
    <x v="191"/>
    <s v="Corporate &amp; Professional"/>
    <n v="12.131375018945562"/>
    <s v="Dissatisfied"/>
    <n v="1"/>
  </r>
  <r>
    <d v="2023-02-21T16:23:16"/>
    <s v="23-4479"/>
    <s v="P037"/>
    <x v="14"/>
    <n v="160"/>
    <n v="80"/>
    <n v="1920"/>
    <n v="960"/>
    <n v="960"/>
    <x v="8"/>
    <s v="Sports &amp; Recreation"/>
    <n v="10.988762477277161"/>
    <s v="Dissatisfied"/>
    <n v="1"/>
  </r>
  <r>
    <d v="2022-01-30T00:36:31"/>
    <s v="22-3761"/>
    <s v="P005"/>
    <x v="9"/>
    <n v="76"/>
    <n v="19"/>
    <n v="1520"/>
    <n v="380"/>
    <n v="1140"/>
    <x v="161"/>
    <s v="Corporate &amp; Professional"/>
    <n v="11.003496633574638"/>
    <s v="Dissatisfied"/>
    <n v="1"/>
  </r>
  <r>
    <d v="2018-09-11T14:10:47"/>
    <s v="18-4100"/>
    <s v="P087"/>
    <x v="19"/>
    <n v="176"/>
    <n v="88"/>
    <n v="3344"/>
    <n v="1672"/>
    <n v="1672"/>
    <x v="276"/>
    <s v="Education"/>
    <n v="10.518436853046438"/>
    <s v="Dissatisfied"/>
    <n v="1"/>
  </r>
  <r>
    <d v="2020-06-25T17:41:36"/>
    <s v="20-4071"/>
    <s v="P055"/>
    <x v="15"/>
    <n v="360"/>
    <n v="90"/>
    <n v="6120"/>
    <n v="1530"/>
    <n v="4590"/>
    <x v="211"/>
    <s v="Healthcare &amp; Safety"/>
    <n v="13.106678263594747"/>
    <s v="Neither"/>
    <n v="5"/>
  </r>
  <r>
    <d v="2020-03-06T15:58:45"/>
    <s v="20-2982"/>
    <s v="P047"/>
    <x v="0"/>
    <n v="72"/>
    <n v="36"/>
    <n v="1080"/>
    <n v="540"/>
    <n v="540"/>
    <x v="130"/>
    <s v="Healthcare &amp; Safety"/>
    <n v="13.923194761258239"/>
    <s v="Satisfied"/>
    <n v="10"/>
  </r>
  <r>
    <d v="2018-12-16T10:55:48"/>
    <s v="18-3549"/>
    <s v="P005"/>
    <x v="5"/>
    <n v="76"/>
    <n v="19"/>
    <n v="228"/>
    <n v="57"/>
    <n v="171"/>
    <x v="12"/>
    <s v="Creative &amp; Technology"/>
    <n v="9.8384363471888783"/>
    <s v="Neither"/>
    <n v="5"/>
  </r>
  <r>
    <d v="2020-03-14T03:59:59"/>
    <s v="20-1426"/>
    <s v="P004"/>
    <x v="1"/>
    <n v="189"/>
    <n v="63"/>
    <n v="1512"/>
    <n v="504"/>
    <n v="1008"/>
    <x v="154"/>
    <s v="Sports &amp; Recreation"/>
    <n v="8.8878868765808274"/>
    <s v="Neither"/>
    <n v="5"/>
  </r>
  <r>
    <d v="2017-12-29T11:55:31"/>
    <s v="17-3569"/>
    <s v="P060"/>
    <x v="11"/>
    <n v="300"/>
    <n v="75"/>
    <n v="4800"/>
    <n v="1200"/>
    <n v="3600"/>
    <x v="187"/>
    <s v="Creative &amp; Technology"/>
    <n v="13.259563298324382"/>
    <s v="Neither"/>
    <n v="5"/>
  </r>
  <r>
    <d v="2018-08-10T10:42:38"/>
    <s v="18-2096"/>
    <s v="P058"/>
    <x v="17"/>
    <n v="356"/>
    <n v="89"/>
    <n v="356"/>
    <n v="89"/>
    <n v="267"/>
    <x v="100"/>
    <s v="Sports &amp; Recreation"/>
    <n v="10.132922049221957"/>
    <s v="Dissatisfied"/>
    <n v="1"/>
  </r>
  <r>
    <d v="2019-05-03T15:52:06"/>
    <s v="19-1997"/>
    <s v="P040"/>
    <x v="3"/>
    <n v="160"/>
    <n v="80"/>
    <n v="640"/>
    <n v="320"/>
    <n v="320"/>
    <x v="81"/>
    <s v="Community &amp; Government"/>
    <n v="9.821882845934784"/>
    <s v="Neither"/>
    <n v="5"/>
  </r>
  <r>
    <d v="2020-10-20T07:54:53"/>
    <s v="20-4843"/>
    <s v="P081"/>
    <x v="13"/>
    <n v="50"/>
    <n v="25"/>
    <n v="500"/>
    <n v="250"/>
    <n v="250"/>
    <x v="289"/>
    <s v="Community &amp; Government"/>
    <n v="11.238524301148807"/>
    <s v="Satisfied"/>
    <n v="10"/>
  </r>
  <r>
    <d v="2019-11-30T12:10:56"/>
    <s v="19-2630"/>
    <s v="P096"/>
    <x v="12"/>
    <n v="144"/>
    <n v="48"/>
    <n v="1008"/>
    <n v="336"/>
    <n v="672"/>
    <x v="157"/>
    <s v="Corporate &amp; Professional"/>
    <n v="13.917704159139552"/>
    <s v="Satisfied"/>
    <n v="10"/>
  </r>
  <r>
    <d v="2017-12-16T00:37:11"/>
    <s v="17-4464"/>
    <s v="P048"/>
    <x v="11"/>
    <n v="252"/>
    <n v="63"/>
    <n v="4032"/>
    <n v="1008"/>
    <n v="3024"/>
    <x v="225"/>
    <s v="Healthcare &amp; Safety"/>
    <n v="9.4608554813364627"/>
    <s v="Satisfied"/>
    <n v="10"/>
  </r>
  <r>
    <d v="2019-04-27T15:54:52"/>
    <s v="19-1749"/>
    <s v="P022"/>
    <x v="17"/>
    <n v="153"/>
    <n v="51"/>
    <n v="153"/>
    <n v="51"/>
    <n v="102"/>
    <x v="183"/>
    <s v="Creative &amp; Technology"/>
    <n v="7.8974070387684714"/>
    <s v="Neither"/>
    <n v="5"/>
  </r>
  <r>
    <d v="2018-04-29T12:57:28"/>
    <s v="18-1778"/>
    <s v="P050"/>
    <x v="11"/>
    <n v="108"/>
    <n v="36"/>
    <n v="1728"/>
    <n v="576"/>
    <n v="1152"/>
    <x v="167"/>
    <s v="Healthcare &amp; Safety"/>
    <n v="16.695690968264284"/>
    <s v="Neither"/>
    <n v="5"/>
  </r>
  <r>
    <d v="2021-04-10T16:21:24"/>
    <s v="21-4896"/>
    <s v="P012"/>
    <x v="4"/>
    <n v="30"/>
    <n v="15"/>
    <n v="60"/>
    <n v="30"/>
    <n v="30"/>
    <x v="212"/>
    <s v="Sports &amp; Recreation"/>
    <n v="11.443503623244197"/>
    <s v="Satisfied"/>
    <n v="10"/>
  </r>
  <r>
    <d v="2017-12-05T11:32:26"/>
    <s v="17-4852"/>
    <s v="P034"/>
    <x v="5"/>
    <n v="114"/>
    <n v="57"/>
    <n v="342"/>
    <n v="171"/>
    <n v="171"/>
    <x v="87"/>
    <s v="Education"/>
    <n v="11.710935611749917"/>
    <s v="Satisfied"/>
    <n v="10"/>
  </r>
  <r>
    <d v="2022-11-08T08:09:09"/>
    <s v="22-1790"/>
    <s v="P037"/>
    <x v="16"/>
    <n v="160"/>
    <n v="80"/>
    <n v="1440"/>
    <n v="720"/>
    <n v="720"/>
    <x v="181"/>
    <s v="Sports &amp; Recreation"/>
    <n v="11.072271050116964"/>
    <s v="Neither"/>
    <n v="5"/>
  </r>
  <r>
    <d v="2018-02-25T03:44:14"/>
    <s v="18-2375"/>
    <s v="P054"/>
    <x v="14"/>
    <n v="144"/>
    <n v="48"/>
    <n v="1728"/>
    <n v="576"/>
    <n v="1152"/>
    <x v="193"/>
    <s v="Corporate &amp; Professional"/>
    <n v="12.275875773922367"/>
    <s v="Neither"/>
    <n v="5"/>
  </r>
  <r>
    <d v="2022-02-26T23:50:06"/>
    <s v="22-1093"/>
    <s v="P090"/>
    <x v="11"/>
    <n v="57"/>
    <n v="19"/>
    <n v="912"/>
    <n v="304"/>
    <n v="608"/>
    <x v="241"/>
    <s v="Community &amp; Government"/>
    <n v="15.856807810268592"/>
    <s v="Neither"/>
    <n v="5"/>
  </r>
  <r>
    <d v="2021-08-26T04:41:21"/>
    <s v="21-4068"/>
    <s v="P067"/>
    <x v="2"/>
    <n v="144"/>
    <n v="36"/>
    <n v="1872"/>
    <n v="468"/>
    <n v="1404"/>
    <x v="261"/>
    <s v="Sports &amp; Recreation"/>
    <n v="12.852414455158604"/>
    <s v="Neither"/>
    <n v="5"/>
  </r>
  <r>
    <d v="2019-08-15T22:47:36"/>
    <s v="19-4918"/>
    <s v="P086"/>
    <x v="19"/>
    <n v="352"/>
    <n v="88"/>
    <n v="6688"/>
    <n v="1672"/>
    <n v="5016"/>
    <x v="249"/>
    <s v="Corporate &amp; Professional"/>
    <n v="13.397308081757757"/>
    <s v="Dissatisfied"/>
    <n v="1"/>
  </r>
  <r>
    <d v="2018-10-04T21:13:47"/>
    <s v="18-4457"/>
    <s v="P005"/>
    <x v="16"/>
    <n v="76"/>
    <n v="19"/>
    <n v="684"/>
    <n v="171"/>
    <n v="513"/>
    <x v="265"/>
    <s v="Corporate &amp; Professional"/>
    <n v="12.55774399806273"/>
    <s v="Neither"/>
    <n v="5"/>
  </r>
  <r>
    <d v="2020-04-23T11:39:33"/>
    <s v="20-4891"/>
    <s v="P029"/>
    <x v="9"/>
    <n v="300"/>
    <n v="75"/>
    <n v="6000"/>
    <n v="1500"/>
    <n v="4500"/>
    <x v="149"/>
    <s v="Facilities &amp; Services"/>
    <n v="11.311040680082275"/>
    <s v="Neither"/>
    <n v="5"/>
  </r>
  <r>
    <d v="2021-01-17T07:03:39"/>
    <s v="21-1981"/>
    <s v="P061"/>
    <x v="1"/>
    <n v="264"/>
    <n v="88"/>
    <n v="2112"/>
    <n v="704"/>
    <n v="1408"/>
    <x v="272"/>
    <s v="Facilities &amp; Services"/>
    <n v="10.517826055804084"/>
    <s v="Dissatisfied"/>
    <n v="1"/>
  </r>
  <r>
    <d v="2018-03-08T15:26:35"/>
    <s v="18-1830"/>
    <s v="P070"/>
    <x v="15"/>
    <n v="84"/>
    <n v="21"/>
    <n v="1428"/>
    <n v="357"/>
    <n v="1071"/>
    <x v="4"/>
    <s v="Education"/>
    <n v="15.24190997853951"/>
    <s v="Satisfied"/>
    <n v="10"/>
  </r>
  <r>
    <d v="2020-05-25T03:55:45"/>
    <s v="20-4878"/>
    <s v="P052"/>
    <x v="14"/>
    <n v="352"/>
    <n v="88"/>
    <n v="4224"/>
    <n v="1056"/>
    <n v="3168"/>
    <x v="219"/>
    <s v="Facilities &amp; Services"/>
    <n v="11.289144410898391"/>
    <s v="Satisfied"/>
    <n v="10"/>
  </r>
  <r>
    <d v="2021-08-21T02:48:23"/>
    <s v="21-1502"/>
    <s v="P032"/>
    <x v="3"/>
    <n v="92"/>
    <n v="46"/>
    <n v="368"/>
    <n v="184"/>
    <n v="184"/>
    <x v="160"/>
    <s v="Creative &amp; Technology"/>
    <n v="8.8514729234790472"/>
    <s v="Satisfied"/>
    <n v="10"/>
  </r>
  <r>
    <d v="2019-04-09T02:33:01"/>
    <s v="19-4187"/>
    <s v="P057"/>
    <x v="9"/>
    <n v="252"/>
    <n v="63"/>
    <n v="5040"/>
    <n v="1260"/>
    <n v="3780"/>
    <x v="272"/>
    <s v="Facilities &amp; Services"/>
    <n v="10.517826055804084"/>
    <s v="Neither"/>
    <n v="5"/>
  </r>
  <r>
    <d v="2019-09-19T21:08:56"/>
    <s v="19-4284"/>
    <s v="P074"/>
    <x v="17"/>
    <n v="352"/>
    <n v="88"/>
    <n v="352"/>
    <n v="88"/>
    <n v="264"/>
    <x v="44"/>
    <s v="Corporate &amp; Professional"/>
    <n v="9.9311000381363836"/>
    <s v="Neither"/>
    <n v="5"/>
  </r>
  <r>
    <d v="2019-06-04T19:13:05"/>
    <s v="19-2421"/>
    <s v="P060"/>
    <x v="8"/>
    <n v="300"/>
    <n v="75"/>
    <n v="4200"/>
    <n v="1050"/>
    <n v="3150"/>
    <x v="153"/>
    <s v="Corporate &amp; Professional"/>
    <n v="11.799431383856128"/>
    <s v="Satisfied"/>
    <n v="10"/>
  </r>
  <r>
    <d v="2020-11-01T05:23:30"/>
    <s v="20-1227"/>
    <s v="P063"/>
    <x v="4"/>
    <n v="261"/>
    <n v="87"/>
    <n v="522"/>
    <n v="174"/>
    <n v="348"/>
    <x v="263"/>
    <s v="Facilities &amp; Services"/>
    <n v="8.1352386075080023"/>
    <s v="Neither"/>
    <n v="5"/>
  </r>
  <r>
    <d v="2021-04-27T08:18:06"/>
    <s v="21-2190"/>
    <s v="P092"/>
    <x v="3"/>
    <n v="124"/>
    <n v="62"/>
    <n v="496"/>
    <n v="248"/>
    <n v="248"/>
    <x v="226"/>
    <s v="Community &amp; Government"/>
    <n v="11.927799225928501"/>
    <s v="Satisfied"/>
    <n v="10"/>
  </r>
  <r>
    <d v="2020-07-07T10:57:48"/>
    <s v="20-1926"/>
    <s v="P009"/>
    <x v="9"/>
    <n v="255"/>
    <n v="85"/>
    <n v="5100"/>
    <n v="1700"/>
    <n v="3400"/>
    <x v="178"/>
    <s v="Education"/>
    <n v="14.760829371220243"/>
    <s v="Neither"/>
    <n v="5"/>
  </r>
  <r>
    <d v="2019-05-01T13:00:29"/>
    <s v="19-1076"/>
    <s v="P003"/>
    <x v="1"/>
    <n v="189"/>
    <n v="63"/>
    <n v="1512"/>
    <n v="504"/>
    <n v="1008"/>
    <x v="223"/>
    <s v="Education"/>
    <n v="11.661237375491201"/>
    <s v="Neither"/>
    <n v="5"/>
  </r>
  <r>
    <d v="2022-01-12T20:54:29"/>
    <s v="22-2722"/>
    <s v="P054"/>
    <x v="12"/>
    <n v="144"/>
    <n v="48"/>
    <n v="1008"/>
    <n v="336"/>
    <n v="672"/>
    <x v="59"/>
    <s v="Creative &amp; Technology"/>
    <n v="10.980884286450312"/>
    <s v="Dissatisfied"/>
    <n v="1"/>
  </r>
  <r>
    <d v="2022-11-26T05:25:24"/>
    <s v="22-2482"/>
    <s v="P082"/>
    <x v="18"/>
    <n v="312"/>
    <n v="78"/>
    <n v="5616"/>
    <n v="1404"/>
    <n v="4212"/>
    <x v="284"/>
    <s v="Facilities &amp; Services"/>
    <n v="8.6625575824723242"/>
    <s v="Dissatisfied"/>
    <n v="1"/>
  </r>
  <r>
    <d v="2021-10-01T08:08:23"/>
    <s v="21-2103"/>
    <s v="P058"/>
    <x v="17"/>
    <n v="356"/>
    <n v="89"/>
    <n v="356"/>
    <n v="89"/>
    <n v="267"/>
    <x v="202"/>
    <s v="Community &amp; Government"/>
    <n v="8.1595626482464514"/>
    <s v="Neither"/>
    <n v="5"/>
  </r>
  <r>
    <d v="2019-10-14T03:01:09"/>
    <s v="19-2483"/>
    <s v="P075"/>
    <x v="13"/>
    <n v="160"/>
    <n v="80"/>
    <n v="1600"/>
    <n v="800"/>
    <n v="800"/>
    <x v="195"/>
    <s v="Community &amp; Government"/>
    <n v="12.679725647708608"/>
    <s v="Neither"/>
    <n v="5"/>
  </r>
  <r>
    <d v="2019-12-02T00:31:06"/>
    <s v="19-3203"/>
    <s v="P032"/>
    <x v="10"/>
    <n v="92"/>
    <n v="46"/>
    <n v="460"/>
    <n v="230"/>
    <n v="230"/>
    <x v="77"/>
    <s v="Facilities &amp; Services"/>
    <n v="12.514998090845811"/>
    <s v="Dissatisfied"/>
    <n v="1"/>
  </r>
  <r>
    <d v="2019-06-09T19:14:04"/>
    <s v="19-2775"/>
    <s v="P039"/>
    <x v="9"/>
    <n v="270"/>
    <n v="90"/>
    <n v="5400"/>
    <n v="1800"/>
    <n v="3600"/>
    <x v="4"/>
    <s v="Education"/>
    <n v="15.24190997853951"/>
    <s v="Satisfied"/>
    <n v="10"/>
  </r>
  <r>
    <d v="2020-09-23T11:25:36"/>
    <s v="20-3480"/>
    <s v="P083"/>
    <x v="9"/>
    <n v="90"/>
    <n v="45"/>
    <n v="1800"/>
    <n v="900"/>
    <n v="900"/>
    <x v="260"/>
    <s v="Creative &amp; Technology"/>
    <n v="10.588336269016523"/>
    <s v="Neither"/>
    <n v="5"/>
  </r>
  <r>
    <d v="2019-09-13T15:36:17"/>
    <s v="19-1947"/>
    <s v="P029"/>
    <x v="8"/>
    <n v="300"/>
    <n v="75"/>
    <n v="4200"/>
    <n v="1050"/>
    <n v="3150"/>
    <x v="54"/>
    <s v="Community &amp; Government"/>
    <n v="13.890275354050972"/>
    <s v="Neither"/>
    <n v="5"/>
  </r>
  <r>
    <d v="2021-04-06T07:51:20"/>
    <s v="21-2026"/>
    <s v="P074"/>
    <x v="14"/>
    <n v="352"/>
    <n v="88"/>
    <n v="4224"/>
    <n v="1056"/>
    <n v="3168"/>
    <x v="248"/>
    <s v="Creative &amp; Technology"/>
    <n v="11.130819205617987"/>
    <s v="Neither"/>
    <n v="5"/>
  </r>
  <r>
    <d v="2019-10-12T09:03:33"/>
    <s v="19-3510"/>
    <s v="P031"/>
    <x v="4"/>
    <n v="146"/>
    <n v="73"/>
    <n v="292"/>
    <n v="146"/>
    <n v="146"/>
    <x v="176"/>
    <s v="Corporate &amp; Professional"/>
    <n v="11.769937929618399"/>
    <s v="Satisfied"/>
    <n v="10"/>
  </r>
  <r>
    <d v="2021-02-21T18:37:51"/>
    <s v="21-2007"/>
    <s v="P001"/>
    <x v="11"/>
    <n v="108"/>
    <n v="36"/>
    <n v="1728"/>
    <n v="576"/>
    <n v="1152"/>
    <x v="178"/>
    <s v="Education"/>
    <n v="14.760829371220243"/>
    <s v="Neither"/>
    <n v="5"/>
  </r>
  <r>
    <d v="2021-03-07T06:07:39"/>
    <s v="21-3402"/>
    <s v="P041"/>
    <x v="7"/>
    <n v="144"/>
    <n v="36"/>
    <n v="1584"/>
    <n v="396"/>
    <n v="1188"/>
    <x v="138"/>
    <s v="Healthcare &amp; Safety"/>
    <n v="12.85215703546821"/>
    <s v="Neither"/>
    <n v="5"/>
  </r>
  <r>
    <d v="2017-01-13T14:44:44"/>
    <s v="17-3818"/>
    <s v="P074"/>
    <x v="4"/>
    <n v="352"/>
    <n v="88"/>
    <n v="704"/>
    <n v="176"/>
    <n v="528"/>
    <x v="233"/>
    <s v="Education"/>
    <n v="9.5176115401380308"/>
    <s v="Neither"/>
    <n v="5"/>
  </r>
  <r>
    <d v="2020-04-19T17:56:21"/>
    <s v="20-2454"/>
    <s v="P077"/>
    <x v="7"/>
    <n v="162"/>
    <n v="54"/>
    <n v="1782"/>
    <n v="594"/>
    <n v="1188"/>
    <x v="192"/>
    <s v="Healthcare &amp; Safety"/>
    <n v="8.7741864171993527"/>
    <s v="Satisfied"/>
    <n v="10"/>
  </r>
  <r>
    <d v="2022-06-29T19:11:51"/>
    <s v="22-4703"/>
    <s v="P034"/>
    <x v="8"/>
    <n v="114"/>
    <n v="57"/>
    <n v="1596"/>
    <n v="798"/>
    <n v="798"/>
    <x v="108"/>
    <s v="Sports &amp; Recreation"/>
    <n v="11.970975110943924"/>
    <s v="Neither"/>
    <n v="5"/>
  </r>
  <r>
    <d v="2019-01-05T16:32:27"/>
    <s v="19-2886"/>
    <s v="P065"/>
    <x v="11"/>
    <n v="50"/>
    <n v="25"/>
    <n v="800"/>
    <n v="400"/>
    <n v="400"/>
    <x v="148"/>
    <s v="Healthcare &amp; Safety"/>
    <n v="14.845213075061906"/>
    <s v="Neither"/>
    <n v="5"/>
  </r>
  <r>
    <d v="2020-10-24T21:09:05"/>
    <s v="20-4034"/>
    <s v="P087"/>
    <x v="12"/>
    <n v="176"/>
    <n v="88"/>
    <n v="1232"/>
    <n v="616"/>
    <n v="616"/>
    <x v="66"/>
    <s v="Facilities &amp; Services"/>
    <n v="12.172922939334034"/>
    <s v="Neither"/>
    <n v="5"/>
  </r>
  <r>
    <d v="2022-09-13T03:36:02"/>
    <s v="22-3789"/>
    <s v="P010"/>
    <x v="3"/>
    <n v="144"/>
    <n v="36"/>
    <n v="576"/>
    <n v="144"/>
    <n v="432"/>
    <x v="224"/>
    <s v="Creative &amp; Technology"/>
    <n v="11.943192562152261"/>
    <s v="Satisfied"/>
    <n v="10"/>
  </r>
  <r>
    <d v="2017-09-19T20:11:51"/>
    <s v="17-3573"/>
    <s v="P016"/>
    <x v="15"/>
    <n v="110"/>
    <n v="55"/>
    <n v="1870"/>
    <n v="935"/>
    <n v="935"/>
    <x v="58"/>
    <s v="Creative &amp; Technology"/>
    <n v="11.995406972581796"/>
    <s v="Neither"/>
    <n v="5"/>
  </r>
  <r>
    <d v="2021-04-17T09:22:54"/>
    <s v="21-2028"/>
    <s v="P089"/>
    <x v="19"/>
    <n v="102"/>
    <n v="51"/>
    <n v="1938"/>
    <n v="969"/>
    <n v="969"/>
    <x v="147"/>
    <s v="Corporate &amp; Professional"/>
    <n v="9.629298039722805"/>
    <s v="Dissatisfied"/>
    <n v="1"/>
  </r>
  <r>
    <d v="2020-09-08T09:33:16"/>
    <s v="20-4222"/>
    <s v="P074"/>
    <x v="1"/>
    <n v="352"/>
    <n v="88"/>
    <n v="2816"/>
    <n v="704"/>
    <n v="2112"/>
    <x v="122"/>
    <s v="Creative &amp; Technology"/>
    <n v="11.082295381980092"/>
    <s v="Neither"/>
    <n v="5"/>
  </r>
  <r>
    <d v="2019-10-23T22:46:11"/>
    <s v="19-2274"/>
    <s v="P080"/>
    <x v="18"/>
    <n v="57"/>
    <n v="19"/>
    <n v="1026"/>
    <n v="342"/>
    <n v="684"/>
    <x v="271"/>
    <s v="Sports &amp; Recreation"/>
    <n v="13.601235361661526"/>
    <s v="Neither"/>
    <n v="5"/>
  </r>
  <r>
    <d v="2021-07-11T05:58:30"/>
    <s v="21-2264"/>
    <s v="P042"/>
    <x v="0"/>
    <n v="50"/>
    <n v="25"/>
    <n v="750"/>
    <n v="375"/>
    <n v="375"/>
    <x v="161"/>
    <s v="Corporate &amp; Professional"/>
    <n v="11.003496633574638"/>
    <s v="Dissatisfied"/>
    <n v="1"/>
  </r>
  <r>
    <d v="2022-05-15T15:22:14"/>
    <s v="22-4267"/>
    <s v="P090"/>
    <x v="16"/>
    <n v="57"/>
    <n v="19"/>
    <n v="513"/>
    <n v="171"/>
    <n v="342"/>
    <x v="228"/>
    <s v="Corporate &amp; Professional"/>
    <n v="16.254955391951082"/>
    <s v="Neither"/>
    <n v="5"/>
  </r>
  <r>
    <d v="2019-10-23T16:21:42"/>
    <s v="19-3576"/>
    <s v="P057"/>
    <x v="5"/>
    <n v="252"/>
    <n v="63"/>
    <n v="756"/>
    <n v="189"/>
    <n v="567"/>
    <x v="163"/>
    <s v="Corporate &amp; Professional"/>
    <n v="14.554851510602212"/>
    <s v="Dissatisfied"/>
    <n v="1"/>
  </r>
  <r>
    <d v="2021-08-23T08:52:01"/>
    <s v="21-1609"/>
    <s v="P070"/>
    <x v="3"/>
    <n v="84"/>
    <n v="21"/>
    <n v="336"/>
    <n v="84"/>
    <n v="252"/>
    <x v="132"/>
    <s v="Education"/>
    <n v="13.857835104514242"/>
    <s v="Satisfied"/>
    <n v="10"/>
  </r>
  <r>
    <d v="2019-04-24T22:53:58"/>
    <s v="19-2481"/>
    <s v="P074"/>
    <x v="13"/>
    <n v="352"/>
    <n v="88"/>
    <n v="3520"/>
    <n v="880"/>
    <n v="2640"/>
    <x v="84"/>
    <s v="Corporate &amp; Professional"/>
    <n v="11.428575823958646"/>
    <s v="Neither"/>
    <n v="5"/>
  </r>
  <r>
    <d v="2019-11-04T22:10:49"/>
    <s v="19-2148"/>
    <s v="P042"/>
    <x v="7"/>
    <n v="50"/>
    <n v="25"/>
    <n v="550"/>
    <n v="275"/>
    <n v="275"/>
    <x v="145"/>
    <s v="Sports &amp; Recreation"/>
    <n v="7.9963422143733238"/>
    <s v="Neither"/>
    <n v="5"/>
  </r>
  <r>
    <d v="2021-08-23T02:00:52"/>
    <s v="21-3055"/>
    <s v="P089"/>
    <x v="18"/>
    <n v="102"/>
    <n v="51"/>
    <n v="1836"/>
    <n v="918"/>
    <n v="918"/>
    <x v="146"/>
    <s v="Creative &amp; Technology"/>
    <n v="10.764293826791503"/>
    <s v="Neither"/>
    <n v="5"/>
  </r>
  <r>
    <d v="2020-09-19T19:34:39"/>
    <s v="20-2498"/>
    <s v="P033"/>
    <x v="8"/>
    <n v="57"/>
    <n v="19"/>
    <n v="798"/>
    <n v="266"/>
    <n v="532"/>
    <x v="234"/>
    <s v="Creative &amp; Technology"/>
    <n v="12.990345718839325"/>
    <s v="Neither"/>
    <n v="5"/>
  </r>
  <r>
    <d v="2022-06-13T10:37:33"/>
    <s v="22-1735"/>
    <s v="P045"/>
    <x v="4"/>
    <n v="100"/>
    <n v="25"/>
    <n v="200"/>
    <n v="50"/>
    <n v="150"/>
    <x v="93"/>
    <s v="Facilities &amp; Services"/>
    <n v="10.966283117837653"/>
    <s v="Neither"/>
    <n v="5"/>
  </r>
  <r>
    <d v="2019-11-15T22:43:00"/>
    <s v="19-2484"/>
    <s v="P064"/>
    <x v="2"/>
    <n v="231"/>
    <n v="77"/>
    <n v="3003"/>
    <n v="1001"/>
    <n v="2002"/>
    <x v="13"/>
    <s v="Sports &amp; Recreation"/>
    <n v="12.163730387337393"/>
    <s v="Satisfied"/>
    <n v="10"/>
  </r>
  <r>
    <d v="2019-01-07T22:50:18"/>
    <s v="19-1679"/>
    <s v="P045"/>
    <x v="14"/>
    <n v="100"/>
    <n v="25"/>
    <n v="1200"/>
    <n v="300"/>
    <n v="900"/>
    <x v="205"/>
    <s v="Facilities &amp; Services"/>
    <n v="10.434860153112215"/>
    <s v="Dissatisfied"/>
    <n v="1"/>
  </r>
  <r>
    <d v="2022-03-23T13:55:33"/>
    <s v="22-1614"/>
    <s v="P044"/>
    <x v="10"/>
    <n v="368"/>
    <n v="92"/>
    <n v="1840"/>
    <n v="460"/>
    <n v="1380"/>
    <x v="281"/>
    <s v="Community &amp; Government"/>
    <n v="13.811876869930865"/>
    <s v="Satisfied"/>
    <n v="10"/>
  </r>
  <r>
    <d v="2021-09-02T10:53:41"/>
    <s v="21-4573"/>
    <s v="P061"/>
    <x v="10"/>
    <n v="264"/>
    <n v="88"/>
    <n v="1320"/>
    <n v="440"/>
    <n v="880"/>
    <x v="157"/>
    <s v="Corporate &amp; Professional"/>
    <n v="13.917704159139552"/>
    <s v="Satisfied"/>
    <n v="10"/>
  </r>
  <r>
    <d v="2019-10-29T22:54:48"/>
    <s v="19-4190"/>
    <s v="P061"/>
    <x v="17"/>
    <n v="264"/>
    <n v="88"/>
    <n v="264"/>
    <n v="88"/>
    <n v="176"/>
    <x v="282"/>
    <s v="Community &amp; Government"/>
    <n v="14.157909724393564"/>
    <s v="Satisfied"/>
    <n v="10"/>
  </r>
  <r>
    <d v="2021-01-12T05:06:10"/>
    <s v="21-4490"/>
    <s v="P039"/>
    <x v="10"/>
    <n v="270"/>
    <n v="90"/>
    <n v="1350"/>
    <n v="450"/>
    <n v="900"/>
    <x v="240"/>
    <s v="Sports &amp; Recreation"/>
    <n v="12.701325659159139"/>
    <s v="Neither"/>
    <n v="5"/>
  </r>
  <r>
    <d v="2017-08-21T21:42:52"/>
    <s v="17-3578"/>
    <s v="P040"/>
    <x v="4"/>
    <n v="160"/>
    <n v="80"/>
    <n v="320"/>
    <n v="160"/>
    <n v="160"/>
    <x v="263"/>
    <s v="Facilities &amp; Services"/>
    <n v="8.1352386075080023"/>
    <s v="Neither"/>
    <n v="5"/>
  </r>
  <r>
    <d v="2018-10-10T05:32:40"/>
    <s v="18-1499"/>
    <s v="P041"/>
    <x v="12"/>
    <n v="144"/>
    <n v="36"/>
    <n v="1008"/>
    <n v="252"/>
    <n v="756"/>
    <x v="239"/>
    <s v="Facilities &amp; Services"/>
    <n v="12.37474961859551"/>
    <s v="Neither"/>
    <n v="5"/>
  </r>
  <r>
    <d v="2019-03-23T15:49:06"/>
    <s v="19-1166"/>
    <s v="P056"/>
    <x v="17"/>
    <n v="72"/>
    <n v="36"/>
    <n v="72"/>
    <n v="36"/>
    <n v="36"/>
    <x v="110"/>
    <s v="Sports &amp; Recreation"/>
    <n v="14.690198582365463"/>
    <s v="Satisfied"/>
    <n v="10"/>
  </r>
  <r>
    <d v="2022-03-11T02:44:38"/>
    <s v="22-1206"/>
    <s v="P002"/>
    <x v="1"/>
    <n v="144"/>
    <n v="36"/>
    <n v="1152"/>
    <n v="288"/>
    <n v="864"/>
    <x v="155"/>
    <s v="Creative &amp; Technology"/>
    <n v="8.0758315802191021"/>
    <s v="Satisfied"/>
    <n v="10"/>
  </r>
  <r>
    <d v="2020-09-29T03:53:03"/>
    <s v="20-3412"/>
    <s v="P021"/>
    <x v="14"/>
    <n v="207"/>
    <n v="69"/>
    <n v="2484"/>
    <n v="828"/>
    <n v="1656"/>
    <x v="24"/>
    <s v="Sports &amp; Recreation"/>
    <n v="14.697745043716761"/>
    <s v="Dissatisfied"/>
    <n v="1"/>
  </r>
  <r>
    <d v="2020-08-19T20:57:23"/>
    <s v="20-3988"/>
    <s v="P078"/>
    <x v="4"/>
    <n v="225"/>
    <n v="75"/>
    <n v="450"/>
    <n v="150"/>
    <n v="300"/>
    <x v="53"/>
    <s v="Education"/>
    <n v="13.288482149665386"/>
    <s v="Neither"/>
    <n v="5"/>
  </r>
  <r>
    <d v="2019-03-11T19:25:55"/>
    <s v="19-1581"/>
    <s v="P016"/>
    <x v="7"/>
    <n v="110"/>
    <n v="55"/>
    <n v="1210"/>
    <n v="605"/>
    <n v="605"/>
    <x v="285"/>
    <s v="Healthcare &amp; Safety"/>
    <n v="13.2671922973198"/>
    <s v="Satisfied"/>
    <n v="10"/>
  </r>
  <r>
    <d v="2022-10-03T08:01:42"/>
    <s v="22-3484"/>
    <s v="P043"/>
    <x v="8"/>
    <n v="184"/>
    <n v="92"/>
    <n v="2576"/>
    <n v="1288"/>
    <n v="1288"/>
    <x v="275"/>
    <s v="Healthcare &amp; Safety"/>
    <n v="10.428287009858728"/>
    <s v="Dissatisfied"/>
    <n v="1"/>
  </r>
  <r>
    <d v="2020-06-17T00:23:38"/>
    <s v="20-1657"/>
    <s v="P031"/>
    <x v="0"/>
    <n v="146"/>
    <n v="73"/>
    <n v="2190"/>
    <n v="1095"/>
    <n v="1095"/>
    <x v="101"/>
    <s v="Sports &amp; Recreation"/>
    <n v="10.816866337473218"/>
    <s v="Satisfied"/>
    <n v="10"/>
  </r>
  <r>
    <d v="2019-11-11T04:51:49"/>
    <s v="19-4802"/>
    <s v="P019"/>
    <x v="15"/>
    <n v="308"/>
    <n v="77"/>
    <n v="5236"/>
    <n v="1309"/>
    <n v="3927"/>
    <x v="150"/>
    <s v="Education"/>
    <n v="12.889576147248359"/>
    <s v="Neither"/>
    <n v="5"/>
  </r>
  <r>
    <d v="2018-11-23T22:06:00"/>
    <s v="18-2512"/>
    <s v="P002"/>
    <x v="9"/>
    <n v="144"/>
    <n v="36"/>
    <n v="2880"/>
    <n v="720"/>
    <n v="2160"/>
    <x v="96"/>
    <s v="Healthcare &amp; Safety"/>
    <n v="11.221666113009938"/>
    <s v="Neither"/>
    <n v="5"/>
  </r>
  <r>
    <d v="2025-10-24T23:57:56"/>
    <s v="25-4936"/>
    <s v="P018"/>
    <x v="13"/>
    <n v="108"/>
    <n v="54"/>
    <n v="1080"/>
    <n v="540"/>
    <n v="540"/>
    <x v="21"/>
    <s v="Facilities &amp; Services"/>
    <n v="13.717776078041958"/>
    <s v="Neither"/>
    <n v="5"/>
  </r>
  <r>
    <d v="2019-03-26T07:07:34"/>
    <s v="19-1462"/>
    <s v="P028"/>
    <x v="13"/>
    <n v="156"/>
    <n v="78"/>
    <n v="1560"/>
    <n v="780"/>
    <n v="780"/>
    <x v="37"/>
    <s v="Corporate &amp; Professional"/>
    <n v="11.749038185128619"/>
    <s v="Satisfied"/>
    <n v="10"/>
  </r>
  <r>
    <d v="2022-11-02T04:23:06"/>
    <s v="22-1532"/>
    <s v="P044"/>
    <x v="2"/>
    <n v="368"/>
    <n v="92"/>
    <n v="4784"/>
    <n v="1196"/>
    <n v="3588"/>
    <x v="235"/>
    <s v="Facilities &amp; Services"/>
    <n v="11.226611755437654"/>
    <s v="Satisfied"/>
    <n v="10"/>
  </r>
  <r>
    <d v="2019-06-01T20:25:44"/>
    <s v="19-2106"/>
    <s v="P037"/>
    <x v="19"/>
    <n v="160"/>
    <n v="80"/>
    <n v="3040"/>
    <n v="1520"/>
    <n v="1520"/>
    <x v="158"/>
    <s v="Creative &amp; Technology"/>
    <n v="15.207985888346794"/>
    <s v="Satisfied"/>
    <n v="10"/>
  </r>
  <r>
    <d v="2020-05-09T18:02:31"/>
    <s v="20-1879"/>
    <s v="P040"/>
    <x v="1"/>
    <n v="160"/>
    <n v="80"/>
    <n v="1280"/>
    <n v="640"/>
    <n v="640"/>
    <x v="6"/>
    <s v="Creative &amp; Technology"/>
    <n v="11.749993886708426"/>
    <s v="Neither"/>
    <n v="5"/>
  </r>
  <r>
    <d v="2020-05-03T05:51:09"/>
    <s v="20-3984"/>
    <s v="P028"/>
    <x v="11"/>
    <n v="156"/>
    <n v="78"/>
    <n v="2496"/>
    <n v="1248"/>
    <n v="1248"/>
    <x v="130"/>
    <s v="Healthcare &amp; Safety"/>
    <n v="13.923194761258239"/>
    <s v="Satisfied"/>
    <n v="10"/>
  </r>
  <r>
    <d v="2023-02-23T10:09:06"/>
    <s v="23-1998"/>
    <s v="P089"/>
    <x v="4"/>
    <n v="102"/>
    <n v="51"/>
    <n v="204"/>
    <n v="102"/>
    <n v="102"/>
    <x v="167"/>
    <s v="Healthcare &amp; Safety"/>
    <n v="16.695690968264284"/>
    <s v="Neither"/>
    <n v="5"/>
  </r>
  <r>
    <d v="2020-01-08T14:19:51"/>
    <s v="20-3469"/>
    <s v="P056"/>
    <x v="19"/>
    <n v="72"/>
    <n v="36"/>
    <n v="1368"/>
    <n v="684"/>
    <n v="684"/>
    <x v="251"/>
    <s v="Creative &amp; Technology"/>
    <n v="9.1591412531773226"/>
    <s v="Neither"/>
    <n v="5"/>
  </r>
  <r>
    <d v="2019-05-25T23:10:07"/>
    <s v="19-1689"/>
    <s v="P080"/>
    <x v="7"/>
    <n v="57"/>
    <n v="19"/>
    <n v="627"/>
    <n v="209"/>
    <n v="418"/>
    <x v="176"/>
    <s v="Corporate &amp; Professional"/>
    <n v="11.769937929618399"/>
    <s v="Neither"/>
    <n v="5"/>
  </r>
  <r>
    <d v="2019-10-08T15:33:16"/>
    <s v="19-3310"/>
    <s v="P032"/>
    <x v="7"/>
    <n v="92"/>
    <n v="46"/>
    <n v="1012"/>
    <n v="506"/>
    <n v="506"/>
    <x v="92"/>
    <s v="Education"/>
    <n v="11.99399163482429"/>
    <s v="Dissatisfied"/>
    <n v="1"/>
  </r>
  <r>
    <d v="2018-02-23T20:07:56"/>
    <s v="18-1512"/>
    <s v="P023"/>
    <x v="2"/>
    <n v="126"/>
    <n v="42"/>
    <n v="1638"/>
    <n v="546"/>
    <n v="1092"/>
    <x v="37"/>
    <s v="Corporate &amp; Professional"/>
    <n v="11.749038185128619"/>
    <s v="Satisfied"/>
    <n v="10"/>
  </r>
  <r>
    <d v="2019-05-10T19:35:13"/>
    <s v="19-3720"/>
    <s v="P017"/>
    <x v="9"/>
    <n v="120"/>
    <n v="30"/>
    <n v="2400"/>
    <n v="600"/>
    <n v="1800"/>
    <x v="5"/>
    <s v="Healthcare &amp; Safety"/>
    <n v="12.169266722245851"/>
    <s v="Satisfied"/>
    <n v="10"/>
  </r>
  <r>
    <d v="2019-11-22T01:01:36"/>
    <s v="19-2665"/>
    <s v="P067"/>
    <x v="10"/>
    <n v="144"/>
    <n v="36"/>
    <n v="720"/>
    <n v="180"/>
    <n v="540"/>
    <x v="193"/>
    <s v="Corporate &amp; Professional"/>
    <n v="12.275875773922367"/>
    <s v="Neither"/>
    <n v="5"/>
  </r>
  <r>
    <d v="2016-10-30T05:50:15"/>
    <s v="16-1836"/>
    <s v="P006"/>
    <x v="4"/>
    <n v="38"/>
    <n v="19"/>
    <n v="76"/>
    <n v="38"/>
    <n v="38"/>
    <x v="113"/>
    <s v="Community &amp; Government"/>
    <n v="11.655355879643379"/>
    <s v="Neither"/>
    <n v="5"/>
  </r>
  <r>
    <d v="2020-06-22T04:35:19"/>
    <s v="20-4330"/>
    <s v="P065"/>
    <x v="2"/>
    <n v="50"/>
    <n v="25"/>
    <n v="650"/>
    <n v="325"/>
    <n v="325"/>
    <x v="236"/>
    <s v="Creative &amp; Technology"/>
    <n v="13.827196127590291"/>
    <s v="Neither"/>
    <n v="5"/>
  </r>
  <r>
    <d v="2021-06-15T08:15:25"/>
    <s v="21-2382"/>
    <s v="P008"/>
    <x v="6"/>
    <n v="225"/>
    <n v="75"/>
    <n v="1350"/>
    <n v="450"/>
    <n v="900"/>
    <x v="174"/>
    <s v="Corporate &amp; Professional"/>
    <n v="12.921682080641304"/>
    <s v="Neither"/>
    <n v="5"/>
  </r>
  <r>
    <d v="2020-09-07T11:19:18"/>
    <s v="20-2087"/>
    <s v="P075"/>
    <x v="2"/>
    <n v="160"/>
    <n v="80"/>
    <n v="2080"/>
    <n v="1040"/>
    <n v="1040"/>
    <x v="284"/>
    <s v="Facilities &amp; Services"/>
    <n v="8.6625575824723242"/>
    <s v="Neither"/>
    <n v="5"/>
  </r>
  <r>
    <d v="2021-09-06T17:45:50"/>
    <s v="21-2856"/>
    <s v="P034"/>
    <x v="18"/>
    <n v="114"/>
    <n v="57"/>
    <n v="2052"/>
    <n v="1026"/>
    <n v="1026"/>
    <x v="277"/>
    <s v="Sports &amp; Recreation"/>
    <n v="10.01033276255276"/>
    <s v="Satisfied"/>
    <n v="10"/>
  </r>
  <r>
    <d v="2019-06-24T21:23:19"/>
    <s v="19-4430"/>
    <s v="P086"/>
    <x v="3"/>
    <n v="352"/>
    <n v="88"/>
    <n v="1408"/>
    <n v="352"/>
    <n v="1056"/>
    <x v="224"/>
    <s v="Creative &amp; Technology"/>
    <n v="11.943192562152261"/>
    <s v="Neither"/>
    <n v="5"/>
  </r>
  <r>
    <d v="2020-07-15T12:13:10"/>
    <s v="20-2285"/>
    <s v="P068"/>
    <x v="2"/>
    <n v="300"/>
    <n v="75"/>
    <n v="3900"/>
    <n v="975"/>
    <n v="2925"/>
    <x v="11"/>
    <s v="Creative &amp; Technology"/>
    <n v="8.2871811249429097"/>
    <s v="Neither"/>
    <n v="5"/>
  </r>
  <r>
    <d v="2018-10-29T14:15:32"/>
    <s v="18-3255"/>
    <s v="P022"/>
    <x v="2"/>
    <n v="153"/>
    <n v="51"/>
    <n v="1989"/>
    <n v="663"/>
    <n v="1326"/>
    <x v="241"/>
    <s v="Community &amp; Government"/>
    <n v="15.856807810268592"/>
    <s v="Neither"/>
    <n v="5"/>
  </r>
  <r>
    <d v="2022-04-17T04:05:15"/>
    <s v="22-2150"/>
    <s v="P089"/>
    <x v="7"/>
    <n v="102"/>
    <n v="51"/>
    <n v="1122"/>
    <n v="561"/>
    <n v="561"/>
    <x v="28"/>
    <s v="Sports &amp; Recreation"/>
    <n v="11.006397834696006"/>
    <s v="Neither"/>
    <n v="5"/>
  </r>
  <r>
    <d v="2021-03-08T13:40:12"/>
    <s v="21-4568"/>
    <s v="P085"/>
    <x v="12"/>
    <n v="320"/>
    <n v="80"/>
    <n v="2240"/>
    <n v="560"/>
    <n v="1680"/>
    <x v="86"/>
    <s v="Community &amp; Government"/>
    <n v="12.758430621858414"/>
    <s v="Neither"/>
    <n v="5"/>
  </r>
  <r>
    <d v="2020-08-07T13:12:47"/>
    <s v="20-4879"/>
    <s v="P003"/>
    <x v="3"/>
    <n v="189"/>
    <n v="63"/>
    <n v="756"/>
    <n v="252"/>
    <n v="504"/>
    <x v="203"/>
    <s v="Creative &amp; Technology"/>
    <n v="13.486912834801583"/>
    <s v="Neither"/>
    <n v="5"/>
  </r>
  <r>
    <d v="2020-08-15T15:48:37"/>
    <s v="20-3717"/>
    <s v="P046"/>
    <x v="7"/>
    <n v="38"/>
    <n v="19"/>
    <n v="418"/>
    <n v="209"/>
    <n v="209"/>
    <x v="45"/>
    <s v="Sports &amp; Recreation"/>
    <n v="12.1334991293512"/>
    <s v="Neither"/>
    <n v="5"/>
  </r>
  <r>
    <d v="2019-03-12T13:49:47"/>
    <s v="19-1024"/>
    <s v="P014"/>
    <x v="4"/>
    <n v="166"/>
    <n v="83"/>
    <n v="332"/>
    <n v="166"/>
    <n v="166"/>
    <x v="277"/>
    <s v="Sports &amp; Recreation"/>
    <n v="10.01033276255276"/>
    <s v="Dissatisfied"/>
    <n v="1"/>
  </r>
  <r>
    <d v="2021-09-08T10:43:28"/>
    <s v="21-1168"/>
    <s v="P058"/>
    <x v="0"/>
    <n v="356"/>
    <n v="89"/>
    <n v="5340"/>
    <n v="1335"/>
    <n v="4005"/>
    <x v="33"/>
    <s v="Healthcare &amp; Safety"/>
    <n v="7.1104128275166252"/>
    <s v="Neither"/>
    <n v="5"/>
  </r>
  <r>
    <d v="2020-04-05T04:39:08"/>
    <s v="20-2644"/>
    <s v="P045"/>
    <x v="16"/>
    <n v="100"/>
    <n v="25"/>
    <n v="900"/>
    <n v="225"/>
    <n v="675"/>
    <x v="211"/>
    <s v="Healthcare &amp; Safety"/>
    <n v="13.106678263594747"/>
    <s v="Dissatisfied"/>
    <n v="1"/>
  </r>
  <r>
    <d v="2020-07-11T11:00:57"/>
    <s v="20-4858"/>
    <s v="P090"/>
    <x v="3"/>
    <n v="57"/>
    <n v="19"/>
    <n v="228"/>
    <n v="76"/>
    <n v="152"/>
    <x v="195"/>
    <s v="Community &amp; Government"/>
    <n v="12.679725647708608"/>
    <s v="Satisfied"/>
    <n v="10"/>
  </r>
  <r>
    <d v="2019-06-25T18:38:47"/>
    <s v="19-1982"/>
    <s v="P073"/>
    <x v="4"/>
    <n v="48"/>
    <n v="24"/>
    <n v="96"/>
    <n v="48"/>
    <n v="48"/>
    <x v="159"/>
    <s v="Community &amp; Government"/>
    <n v="13.57003172959007"/>
    <s v="Satisfied"/>
    <n v="10"/>
  </r>
  <r>
    <d v="2020-11-12T16:59:09"/>
    <s v="20-1406"/>
    <s v="P090"/>
    <x v="7"/>
    <n v="57"/>
    <n v="19"/>
    <n v="627"/>
    <n v="209"/>
    <n v="418"/>
    <x v="224"/>
    <s v="Creative &amp; Technology"/>
    <n v="11.943192562152261"/>
    <s v="Neither"/>
    <n v="5"/>
  </r>
  <r>
    <d v="2019-09-13T03:05:44"/>
    <s v="19-4337"/>
    <s v="P051"/>
    <x v="8"/>
    <n v="135"/>
    <n v="45"/>
    <n v="1890"/>
    <n v="630"/>
    <n v="1260"/>
    <x v="270"/>
    <s v="Education"/>
    <n v="14.129095302641241"/>
    <s v="Neither"/>
    <n v="5"/>
  </r>
  <r>
    <d v="2021-03-27T18:26:33"/>
    <s v="21-3454"/>
    <s v="P093"/>
    <x v="9"/>
    <n v="384"/>
    <n v="96"/>
    <n v="7680"/>
    <n v="1920"/>
    <n v="5760"/>
    <x v="216"/>
    <s v="Corporate &amp; Professional"/>
    <n v="9.1057685343725456"/>
    <s v="Dissatisfied"/>
    <n v="1"/>
  </r>
  <r>
    <d v="2020-12-16T03:01:41"/>
    <s v="20-1601"/>
    <s v="P052"/>
    <x v="19"/>
    <n v="352"/>
    <n v="88"/>
    <n v="6688"/>
    <n v="1672"/>
    <n v="5016"/>
    <x v="108"/>
    <s v="Sports &amp; Recreation"/>
    <n v="11.970975110943924"/>
    <s v="Dissatisfied"/>
    <n v="1"/>
  </r>
  <r>
    <d v="2020-10-02T06:44:31"/>
    <s v="20-2852"/>
    <s v="P095"/>
    <x v="10"/>
    <n v="116"/>
    <n v="29"/>
    <n v="580"/>
    <n v="145"/>
    <n v="435"/>
    <x v="258"/>
    <s v="Corporate &amp; Professional"/>
    <n v="14.538471643780088"/>
    <s v="Neither"/>
    <n v="5"/>
  </r>
  <r>
    <d v="2020-06-12T01:43:54"/>
    <s v="20-2071"/>
    <s v="P091"/>
    <x v="17"/>
    <n v="204"/>
    <n v="51"/>
    <n v="204"/>
    <n v="51"/>
    <n v="153"/>
    <x v="128"/>
    <s v="Healthcare &amp; Safety"/>
    <n v="10.96230865592911"/>
    <s v="Neither"/>
    <n v="5"/>
  </r>
  <r>
    <d v="2020-12-14T07:47:54"/>
    <s v="20-4647"/>
    <s v="P084"/>
    <x v="19"/>
    <n v="154"/>
    <n v="77"/>
    <n v="2926"/>
    <n v="1463"/>
    <n v="1463"/>
    <x v="124"/>
    <s v="Sports &amp; Recreation"/>
    <n v="13.115597690631557"/>
    <s v="Satisfied"/>
    <n v="10"/>
  </r>
  <r>
    <d v="2020-10-03T13:11:25"/>
    <s v="20-1151"/>
    <s v="P080"/>
    <x v="2"/>
    <n v="57"/>
    <n v="19"/>
    <n v="741"/>
    <n v="247"/>
    <n v="494"/>
    <x v="28"/>
    <s v="Sports &amp; Recreation"/>
    <n v="11.006397834696006"/>
    <s v="Satisfied"/>
    <n v="10"/>
  </r>
  <r>
    <d v="2020-07-06T03:52:39"/>
    <s v="20-3016"/>
    <s v="P067"/>
    <x v="0"/>
    <n v="144"/>
    <n v="36"/>
    <n v="2160"/>
    <n v="540"/>
    <n v="1620"/>
    <x v="9"/>
    <s v="Sports &amp; Recreation"/>
    <n v="15.602184182549776"/>
    <s v="Dissatisfied"/>
    <n v="1"/>
  </r>
  <r>
    <d v="2019-03-21T22:44:52"/>
    <s v="19-2843"/>
    <s v="P093"/>
    <x v="2"/>
    <n v="384"/>
    <n v="96"/>
    <n v="4992"/>
    <n v="1248"/>
    <n v="3744"/>
    <x v="37"/>
    <s v="Corporate &amp; Professional"/>
    <n v="11.749038185128619"/>
    <s v="Neither"/>
    <n v="5"/>
  </r>
  <r>
    <d v="2019-03-24T10:49:46"/>
    <s v="19-2867"/>
    <s v="P093"/>
    <x v="12"/>
    <n v="384"/>
    <n v="96"/>
    <n v="2688"/>
    <n v="672"/>
    <n v="2016"/>
    <x v="43"/>
    <s v="Corporate &amp; Professional"/>
    <n v="15.121383064708469"/>
    <s v="Neither"/>
    <n v="5"/>
  </r>
  <r>
    <d v="2019-08-23T03:26:00"/>
    <s v="19-3621"/>
    <s v="P017"/>
    <x v="12"/>
    <n v="120"/>
    <n v="30"/>
    <n v="840"/>
    <n v="210"/>
    <n v="630"/>
    <x v="179"/>
    <s v="Creative &amp; Technology"/>
    <n v="12.207242573430314"/>
    <s v="Neither"/>
    <n v="5"/>
  </r>
  <r>
    <d v="2019-08-07T16:05:14"/>
    <s v="19-2249"/>
    <s v="P096"/>
    <x v="5"/>
    <n v="144"/>
    <n v="48"/>
    <n v="432"/>
    <n v="144"/>
    <n v="288"/>
    <x v="116"/>
    <s v="Education"/>
    <n v="12.299779975023837"/>
    <s v="Dissatisfied"/>
    <n v="1"/>
  </r>
  <r>
    <d v="2021-08-25T14:43:27"/>
    <s v="21-4969"/>
    <s v="P061"/>
    <x v="1"/>
    <n v="264"/>
    <n v="88"/>
    <n v="2112"/>
    <n v="704"/>
    <n v="1408"/>
    <x v="197"/>
    <s v="Community &amp; Government"/>
    <n v="10.163794912095831"/>
    <s v="Neither"/>
    <n v="5"/>
  </r>
  <r>
    <d v="2019-10-05T17:41:31"/>
    <s v="19-2292"/>
    <s v="P009"/>
    <x v="5"/>
    <n v="255"/>
    <n v="85"/>
    <n v="765"/>
    <n v="255"/>
    <n v="510"/>
    <x v="76"/>
    <s v="Community &amp; Government"/>
    <n v="12.796588406005421"/>
    <s v="Dissatisfied"/>
    <n v="1"/>
  </r>
  <r>
    <d v="2019-09-14T05:29:13"/>
    <s v="19-3164"/>
    <s v="P078"/>
    <x v="3"/>
    <n v="225"/>
    <n v="75"/>
    <n v="900"/>
    <n v="300"/>
    <n v="600"/>
    <x v="126"/>
    <s v="Creative &amp; Technology"/>
    <n v="12.399050786131125"/>
    <s v="Neither"/>
    <n v="5"/>
  </r>
  <r>
    <d v="2021-09-01T22:36:32"/>
    <s v="21-2755"/>
    <s v="P009"/>
    <x v="11"/>
    <n v="255"/>
    <n v="85"/>
    <n v="4080"/>
    <n v="1360"/>
    <n v="2720"/>
    <x v="223"/>
    <s v="Education"/>
    <n v="11.661237375491201"/>
    <s v="Dissatisfied"/>
    <n v="1"/>
  </r>
  <r>
    <d v="2017-02-02T09:57:17"/>
    <s v="17-3014"/>
    <s v="P059"/>
    <x v="18"/>
    <n v="267"/>
    <n v="89"/>
    <n v="4806"/>
    <n v="1602"/>
    <n v="3204"/>
    <x v="8"/>
    <s v="Sports &amp; Recreation"/>
    <n v="10.988762477277161"/>
    <s v="Satisfied"/>
    <n v="10"/>
  </r>
  <r>
    <d v="2017-10-09T13:16:44"/>
    <s v="17-1421"/>
    <s v="P010"/>
    <x v="6"/>
    <n v="144"/>
    <n v="36"/>
    <n v="864"/>
    <n v="216"/>
    <n v="648"/>
    <x v="190"/>
    <s v="Corporate &amp; Professional"/>
    <n v="15.478388039566896"/>
    <s v="Neither"/>
    <n v="5"/>
  </r>
  <r>
    <d v="2020-02-27T00:51:51"/>
    <s v="20-1911"/>
    <s v="P041"/>
    <x v="16"/>
    <n v="144"/>
    <n v="36"/>
    <n v="1296"/>
    <n v="324"/>
    <n v="972"/>
    <x v="186"/>
    <s v="Education"/>
    <n v="8.3272837771733244"/>
    <s v="Neither"/>
    <n v="5"/>
  </r>
  <r>
    <d v="2019-04-28T08:02:33"/>
    <s v="19-1785"/>
    <s v="P040"/>
    <x v="1"/>
    <n v="160"/>
    <n v="80"/>
    <n v="1280"/>
    <n v="640"/>
    <n v="640"/>
    <x v="164"/>
    <s v="Education"/>
    <n v="10.954865572729823"/>
    <s v="Neither"/>
    <n v="5"/>
  </r>
  <r>
    <d v="2021-11-22T00:00:50"/>
    <s v="21-1002"/>
    <s v="P036"/>
    <x v="17"/>
    <n v="280"/>
    <n v="70"/>
    <n v="280"/>
    <n v="70"/>
    <n v="210"/>
    <x v="5"/>
    <s v="Healthcare &amp; Safety"/>
    <n v="12.169266722245851"/>
    <s v="Neither"/>
    <n v="5"/>
  </r>
  <r>
    <d v="2019-03-08T22:17:25"/>
    <s v="19-2219"/>
    <s v="P064"/>
    <x v="11"/>
    <n v="231"/>
    <n v="77"/>
    <n v="3696"/>
    <n v="1232"/>
    <n v="2464"/>
    <x v="38"/>
    <s v="Facilities &amp; Services"/>
    <n v="13.378080355059918"/>
    <s v="Satisfied"/>
    <n v="10"/>
  </r>
  <r>
    <d v="2019-10-07T13:33:02"/>
    <s v="19-3208"/>
    <s v="P072"/>
    <x v="7"/>
    <n v="132"/>
    <n v="44"/>
    <n v="1452"/>
    <n v="484"/>
    <n v="968"/>
    <x v="68"/>
    <s v="Sports &amp; Recreation"/>
    <n v="12.200533931675887"/>
    <s v="Satisfied"/>
    <n v="10"/>
  </r>
  <r>
    <d v="2019-09-02T09:01:14"/>
    <s v="19-4575"/>
    <s v="P033"/>
    <x v="5"/>
    <n v="57"/>
    <n v="19"/>
    <n v="171"/>
    <n v="57"/>
    <n v="114"/>
    <x v="235"/>
    <s v="Facilities &amp; Services"/>
    <n v="11.226611755437654"/>
    <s v="Neither"/>
    <n v="5"/>
  </r>
  <r>
    <d v="2022-04-12T21:50:07"/>
    <s v="22-1617"/>
    <s v="P018"/>
    <x v="16"/>
    <n v="108"/>
    <n v="54"/>
    <n v="972"/>
    <n v="486"/>
    <n v="486"/>
    <x v="105"/>
    <s v="Corporate &amp; Professional"/>
    <n v="11.070908141213383"/>
    <s v="Neither"/>
    <n v="5"/>
  </r>
  <r>
    <d v="2018-02-13T13:43:34"/>
    <s v="18-4262"/>
    <s v="P063"/>
    <x v="10"/>
    <n v="261"/>
    <n v="87"/>
    <n v="1305"/>
    <n v="435"/>
    <n v="870"/>
    <x v="179"/>
    <s v="Creative &amp; Technology"/>
    <n v="12.207242573430314"/>
    <s v="Satisfied"/>
    <n v="10"/>
  </r>
  <r>
    <d v="2021-07-24T00:25:34"/>
    <s v="21-3067"/>
    <s v="P010"/>
    <x v="4"/>
    <n v="144"/>
    <n v="36"/>
    <n v="288"/>
    <n v="72"/>
    <n v="216"/>
    <x v="140"/>
    <s v="Education"/>
    <n v="13.332534707865639"/>
    <s v="Neither"/>
    <n v="5"/>
  </r>
  <r>
    <d v="2020-09-25T12:53:33"/>
    <s v="20-2402"/>
    <s v="P072"/>
    <x v="3"/>
    <n v="132"/>
    <n v="44"/>
    <n v="528"/>
    <n v="176"/>
    <n v="352"/>
    <x v="77"/>
    <s v="Facilities &amp; Services"/>
    <n v="12.514998090845811"/>
    <s v="Satisfied"/>
    <n v="10"/>
  </r>
  <r>
    <d v="2022-01-05T04:41:10"/>
    <s v="22-2449"/>
    <s v="P052"/>
    <x v="11"/>
    <n v="352"/>
    <n v="88"/>
    <n v="5632"/>
    <n v="1408"/>
    <n v="4224"/>
    <x v="27"/>
    <s v="Healthcare &amp; Safety"/>
    <n v="10.42743035829395"/>
    <s v="Dissatisfied"/>
    <n v="1"/>
  </r>
  <r>
    <d v="2021-02-08T21:56:52"/>
    <s v="21-3561"/>
    <s v="P053"/>
    <x v="0"/>
    <n v="50"/>
    <n v="25"/>
    <n v="750"/>
    <n v="375"/>
    <n v="375"/>
    <x v="195"/>
    <s v="Community &amp; Government"/>
    <n v="12.679725647708608"/>
    <s v="Neither"/>
    <n v="5"/>
  </r>
  <r>
    <d v="2017-02-22T05:05:25"/>
    <s v="17-3585"/>
    <s v="P074"/>
    <x v="1"/>
    <n v="352"/>
    <n v="88"/>
    <n v="2816"/>
    <n v="704"/>
    <n v="2112"/>
    <x v="58"/>
    <s v="Creative &amp; Technology"/>
    <n v="11.995406972581796"/>
    <s v="Neither"/>
    <n v="5"/>
  </r>
  <r>
    <d v="2019-09-13T15:21:29"/>
    <s v="19-4221"/>
    <s v="P088"/>
    <x v="16"/>
    <n v="192"/>
    <n v="96"/>
    <n v="1728"/>
    <n v="864"/>
    <n v="864"/>
    <x v="124"/>
    <s v="Sports &amp; Recreation"/>
    <n v="13.115597690631557"/>
    <s v="Neither"/>
    <n v="5"/>
  </r>
  <r>
    <d v="2021-04-04T09:50:35"/>
    <s v="21-1956"/>
    <s v="P059"/>
    <x v="12"/>
    <n v="267"/>
    <n v="89"/>
    <n v="1869"/>
    <n v="623"/>
    <n v="1246"/>
    <x v="55"/>
    <s v="Creative &amp; Technology"/>
    <n v="13.765798454641494"/>
    <s v="Neither"/>
    <n v="5"/>
  </r>
  <r>
    <d v="2019-12-20T04:45:58"/>
    <s v="19-2518"/>
    <s v="P002"/>
    <x v="3"/>
    <n v="144"/>
    <n v="36"/>
    <n v="576"/>
    <n v="144"/>
    <n v="432"/>
    <x v="202"/>
    <s v="Community &amp; Government"/>
    <n v="8.1595626482464514"/>
    <s v="Neither"/>
    <n v="5"/>
  </r>
  <r>
    <d v="2024-02-10T08:49:20"/>
    <s v="24-1096"/>
    <s v="P074"/>
    <x v="15"/>
    <n v="352"/>
    <n v="88"/>
    <n v="5984"/>
    <n v="1496"/>
    <n v="4488"/>
    <x v="101"/>
    <s v="Sports &amp; Recreation"/>
    <n v="10.816866337473218"/>
    <s v="Neither"/>
    <n v="5"/>
  </r>
  <r>
    <d v="2023-04-20T20:23:13"/>
    <s v="23-1814"/>
    <s v="P041"/>
    <x v="6"/>
    <n v="144"/>
    <n v="36"/>
    <n v="864"/>
    <n v="216"/>
    <n v="648"/>
    <x v="59"/>
    <s v="Creative &amp; Technology"/>
    <n v="10.980884286450312"/>
    <s v="Neither"/>
    <n v="5"/>
  </r>
  <r>
    <d v="2018-09-29T19:40:37"/>
    <s v="18-2366"/>
    <s v="P077"/>
    <x v="8"/>
    <n v="162"/>
    <n v="54"/>
    <n v="2268"/>
    <n v="756"/>
    <n v="1512"/>
    <x v="133"/>
    <s v="Corporate &amp; Professional"/>
    <n v="5.9872353338051019"/>
    <s v="Neither"/>
    <n v="5"/>
  </r>
  <r>
    <d v="2019-12-09T07:45:40"/>
    <s v="19-4624"/>
    <s v="P060"/>
    <x v="2"/>
    <n v="300"/>
    <n v="75"/>
    <n v="3900"/>
    <n v="975"/>
    <n v="2925"/>
    <x v="13"/>
    <s v="Sports &amp; Recreation"/>
    <n v="12.163730387337393"/>
    <s v="Neither"/>
    <n v="5"/>
  </r>
  <r>
    <d v="2019-08-01T18:03:24"/>
    <s v="19-4438"/>
    <s v="P088"/>
    <x v="13"/>
    <n v="192"/>
    <n v="96"/>
    <n v="1920"/>
    <n v="960"/>
    <n v="960"/>
    <x v="112"/>
    <s v="Creative &amp; Technology"/>
    <n v="12.004541523616258"/>
    <s v="Neither"/>
    <n v="5"/>
  </r>
  <r>
    <d v="2018-09-10T01:57:10"/>
    <s v="18-2865"/>
    <s v="P019"/>
    <x v="14"/>
    <n v="308"/>
    <n v="77"/>
    <n v="3696"/>
    <n v="924"/>
    <n v="2772"/>
    <x v="215"/>
    <s v="Facilities &amp; Services"/>
    <n v="14.817898176328208"/>
    <s v="Satisfied"/>
    <n v="10"/>
  </r>
  <r>
    <d v="2017-12-20T10:03:55"/>
    <s v="17-2624"/>
    <s v="P093"/>
    <x v="15"/>
    <n v="384"/>
    <n v="96"/>
    <n v="6528"/>
    <n v="1632"/>
    <n v="4896"/>
    <x v="292"/>
    <s v="Creative &amp; Technology"/>
    <n v="13.537350739681813"/>
    <s v="Dissatisfied"/>
    <n v="1"/>
  </r>
  <r>
    <d v="2019-03-10T00:00:54"/>
    <s v="19-3229"/>
    <s v="P094"/>
    <x v="8"/>
    <n v="80"/>
    <n v="20"/>
    <n v="1120"/>
    <n v="280"/>
    <n v="840"/>
    <x v="161"/>
    <s v="Corporate &amp; Professional"/>
    <n v="11.003496633574638"/>
    <s v="Dissatisfied"/>
    <n v="1"/>
  </r>
  <r>
    <d v="2020-07-06T08:37:57"/>
    <s v="20-1243"/>
    <s v="P056"/>
    <x v="5"/>
    <n v="72"/>
    <n v="36"/>
    <n v="216"/>
    <n v="108"/>
    <n v="108"/>
    <x v="66"/>
    <s v="Facilities &amp; Services"/>
    <n v="12.172922939334034"/>
    <s v="Dissatisfied"/>
    <n v="1"/>
  </r>
  <r>
    <d v="2021-06-15T17:23:48"/>
    <s v="21-4917"/>
    <s v="P065"/>
    <x v="0"/>
    <n v="50"/>
    <n v="25"/>
    <n v="750"/>
    <n v="375"/>
    <n v="375"/>
    <x v="191"/>
    <s v="Corporate &amp; Professional"/>
    <n v="12.131375018945562"/>
    <s v="Satisfied"/>
    <n v="10"/>
  </r>
  <r>
    <d v="2021-09-13T23:14:29"/>
    <s v="21-3511"/>
    <s v="P094"/>
    <x v="7"/>
    <n v="80"/>
    <n v="20"/>
    <n v="880"/>
    <n v="220"/>
    <n v="660"/>
    <x v="46"/>
    <s v="Healthcare &amp; Safety"/>
    <n v="11.36085047138285"/>
    <s v="Neither"/>
    <n v="5"/>
  </r>
  <r>
    <d v="2019-07-11T23:52:08"/>
    <s v="19-2397"/>
    <s v="P079"/>
    <x v="16"/>
    <n v="188"/>
    <n v="94"/>
    <n v="1692"/>
    <n v="846"/>
    <n v="846"/>
    <x v="241"/>
    <s v="Community &amp; Government"/>
    <n v="15.856807810268592"/>
    <s v="Neither"/>
    <n v="5"/>
  </r>
  <r>
    <d v="2018-12-03T05:46:08"/>
    <s v="18-4711"/>
    <s v="P085"/>
    <x v="9"/>
    <n v="320"/>
    <n v="80"/>
    <n v="6400"/>
    <n v="1600"/>
    <n v="4800"/>
    <x v="203"/>
    <s v="Creative &amp; Technology"/>
    <n v="13.486912834801583"/>
    <s v="Neither"/>
    <n v="5"/>
  </r>
  <r>
    <d v="2019-07-31T02:16:06"/>
    <s v="19-4970"/>
    <s v="P059"/>
    <x v="15"/>
    <n v="267"/>
    <n v="89"/>
    <n v="4539"/>
    <n v="1513"/>
    <n v="3026"/>
    <x v="276"/>
    <s v="Education"/>
    <n v="10.518436853046438"/>
    <s v="Satisfied"/>
    <n v="10"/>
  </r>
  <r>
    <d v="2019-04-23T19:04:29"/>
    <s v="19-3924"/>
    <s v="P003"/>
    <x v="1"/>
    <n v="189"/>
    <n v="63"/>
    <n v="1512"/>
    <n v="504"/>
    <n v="1008"/>
    <x v="70"/>
    <s v="Community &amp; Government"/>
    <n v="14.593670394271927"/>
    <s v="Satisfied"/>
    <n v="10"/>
  </r>
  <r>
    <d v="2021-02-23T11:39:06"/>
    <s v="21-3030"/>
    <s v="P036"/>
    <x v="0"/>
    <n v="280"/>
    <n v="70"/>
    <n v="4200"/>
    <n v="1050"/>
    <n v="3150"/>
    <x v="276"/>
    <s v="Education"/>
    <n v="10.518436853046438"/>
    <s v="Satisfied"/>
    <n v="10"/>
  </r>
  <r>
    <d v="2021-05-24T21:51:38"/>
    <s v="21-2984"/>
    <s v="P022"/>
    <x v="17"/>
    <n v="153"/>
    <n v="51"/>
    <n v="153"/>
    <n v="51"/>
    <n v="102"/>
    <x v="49"/>
    <s v="Creative &amp; Technology"/>
    <n v="11.31221475547909"/>
    <s v="Neither"/>
    <n v="5"/>
  </r>
  <r>
    <d v="2023-03-22T16:08:22"/>
    <s v="23-1139"/>
    <s v="P065"/>
    <x v="3"/>
    <n v="50"/>
    <n v="25"/>
    <n v="200"/>
    <n v="100"/>
    <n v="100"/>
    <x v="164"/>
    <s v="Education"/>
    <n v="10.954865572729823"/>
    <s v="Neither"/>
    <n v="5"/>
  </r>
  <r>
    <d v="2021-02-18T04:36:28"/>
    <s v="21-1376"/>
    <s v="P053"/>
    <x v="6"/>
    <n v="50"/>
    <n v="25"/>
    <n v="300"/>
    <n v="150"/>
    <n v="150"/>
    <x v="63"/>
    <s v="Sports &amp; Recreation"/>
    <n v="14.030594525378042"/>
    <s v="Satisfied"/>
    <n v="10"/>
  </r>
  <r>
    <d v="2021-07-25T03:42:51"/>
    <s v="21-1262"/>
    <s v="P039"/>
    <x v="12"/>
    <n v="270"/>
    <n v="90"/>
    <n v="1890"/>
    <n v="630"/>
    <n v="1260"/>
    <x v="263"/>
    <s v="Facilities &amp; Services"/>
    <n v="8.1352386075080023"/>
    <s v="Satisfied"/>
    <n v="10"/>
  </r>
  <r>
    <d v="2018-09-02T08:09:53"/>
    <s v="18-2411"/>
    <s v="P006"/>
    <x v="18"/>
    <n v="38"/>
    <n v="19"/>
    <n v="684"/>
    <n v="342"/>
    <n v="342"/>
    <x v="265"/>
    <s v="Corporate &amp; Professional"/>
    <n v="12.55774399806273"/>
    <s v="Satisfied"/>
    <n v="10"/>
  </r>
  <r>
    <d v="2020-06-22T21:29:17"/>
    <s v="20-4494"/>
    <s v="P086"/>
    <x v="4"/>
    <n v="352"/>
    <n v="88"/>
    <n v="704"/>
    <n v="176"/>
    <n v="528"/>
    <x v="130"/>
    <s v="Healthcare &amp; Safety"/>
    <n v="13.923194761258239"/>
    <s v="Neither"/>
    <n v="5"/>
  </r>
  <r>
    <d v="2021-12-24T15:05:30"/>
    <s v="21-2332"/>
    <s v="P068"/>
    <x v="8"/>
    <n v="300"/>
    <n v="75"/>
    <n v="4200"/>
    <n v="1050"/>
    <n v="3150"/>
    <x v="174"/>
    <s v="Corporate &amp; Professional"/>
    <n v="12.921682080641304"/>
    <s v="Neither"/>
    <n v="5"/>
  </r>
  <r>
    <d v="2021-06-10T21:48:39"/>
    <s v="21-2077"/>
    <s v="P020"/>
    <x v="18"/>
    <n v="180"/>
    <n v="45"/>
    <n v="3240"/>
    <n v="810"/>
    <n v="2430"/>
    <x v="70"/>
    <s v="Community &amp; Government"/>
    <n v="14.593670394271927"/>
    <s v="Neither"/>
    <n v="5"/>
  </r>
  <r>
    <d v="2019-07-26T02:50:36"/>
    <s v="19-4805"/>
    <s v="P069"/>
    <x v="9"/>
    <n v="150"/>
    <n v="75"/>
    <n v="3000"/>
    <n v="1500"/>
    <n v="1500"/>
    <x v="263"/>
    <s v="Facilities &amp; Services"/>
    <n v="8.1352386075080023"/>
    <s v="Dissatisfied"/>
    <n v="1"/>
  </r>
  <r>
    <d v="2020-03-21T04:20:14"/>
    <s v="20-3003"/>
    <s v="P091"/>
    <x v="19"/>
    <n v="204"/>
    <n v="51"/>
    <n v="3876"/>
    <n v="969"/>
    <n v="2907"/>
    <x v="247"/>
    <s v="Facilities &amp; Services"/>
    <n v="12.502346728827876"/>
    <s v="Neither"/>
    <n v="5"/>
  </r>
  <r>
    <d v="2019-04-03T06:20:15"/>
    <s v="19-4101"/>
    <s v="P071"/>
    <x v="18"/>
    <n v="210"/>
    <n v="70"/>
    <n v="3780"/>
    <n v="1260"/>
    <n v="2520"/>
    <x v="208"/>
    <s v="Community &amp; Government"/>
    <n v="12.658317415198635"/>
    <s v="Dissatisfied"/>
    <n v="1"/>
  </r>
  <r>
    <d v="2019-10-08T21:29:26"/>
    <s v="19-4961"/>
    <s v="P050"/>
    <x v="7"/>
    <n v="108"/>
    <n v="36"/>
    <n v="1188"/>
    <n v="396"/>
    <n v="792"/>
    <x v="156"/>
    <s v="Healthcare &amp; Safety"/>
    <n v="12.801144805697081"/>
    <s v="Satisfied"/>
    <n v="10"/>
  </r>
  <r>
    <d v="2022-02-22T04:52:04"/>
    <s v="22-2281"/>
    <s v="P078"/>
    <x v="10"/>
    <n v="225"/>
    <n v="75"/>
    <n v="1125"/>
    <n v="375"/>
    <n v="750"/>
    <x v="60"/>
    <s v="Creative &amp; Technology"/>
    <n v="15.556812309269255"/>
    <s v="Dissatisfied"/>
    <n v="1"/>
  </r>
  <r>
    <d v="2019-08-04T00:56:38"/>
    <s v="19-3906"/>
    <s v="P065"/>
    <x v="14"/>
    <n v="50"/>
    <n v="25"/>
    <n v="600"/>
    <n v="300"/>
    <n v="300"/>
    <x v="86"/>
    <s v="Community &amp; Government"/>
    <n v="12.758430621858414"/>
    <s v="Satisfied"/>
    <n v="10"/>
  </r>
  <r>
    <d v="2019-12-25T08:04:27"/>
    <s v="19-2167"/>
    <s v="P048"/>
    <x v="11"/>
    <n v="252"/>
    <n v="63"/>
    <n v="4032"/>
    <n v="1008"/>
    <n v="3024"/>
    <x v="141"/>
    <s v="Facilities &amp; Services"/>
    <n v="13.104576594826185"/>
    <s v="Neither"/>
    <n v="5"/>
  </r>
  <r>
    <d v="2020-03-04T23:10:11"/>
    <s v="20-4242"/>
    <s v="P009"/>
    <x v="5"/>
    <n v="255"/>
    <n v="85"/>
    <n v="765"/>
    <n v="255"/>
    <n v="510"/>
    <x v="275"/>
    <s v="Healthcare &amp; Safety"/>
    <n v="10.428287009858728"/>
    <s v="Neither"/>
    <n v="5"/>
  </r>
  <r>
    <d v="2018-04-09T01:09:47"/>
    <s v="18-1682"/>
    <s v="P014"/>
    <x v="13"/>
    <n v="166"/>
    <n v="83"/>
    <n v="1660"/>
    <n v="830"/>
    <n v="830"/>
    <x v="123"/>
    <s v="Facilities &amp; Services"/>
    <n v="9.1877733607656964"/>
    <s v="Neither"/>
    <n v="5"/>
  </r>
  <r>
    <d v="2020-11-30T02:20:06"/>
    <s v="20-3582"/>
    <s v="P059"/>
    <x v="19"/>
    <n v="267"/>
    <n v="89"/>
    <n v="5073"/>
    <n v="1691"/>
    <n v="3382"/>
    <x v="29"/>
    <s v="Facilities &amp; Services"/>
    <n v="15.487214309603928"/>
    <s v="Neither"/>
    <n v="5"/>
  </r>
  <r>
    <d v="2017-06-06T09:01:44"/>
    <s v="17-4027"/>
    <s v="P071"/>
    <x v="6"/>
    <n v="210"/>
    <n v="70"/>
    <n v="1260"/>
    <n v="420"/>
    <n v="840"/>
    <x v="158"/>
    <s v="Creative &amp; Technology"/>
    <n v="15.207985888346794"/>
    <s v="Neither"/>
    <n v="5"/>
  </r>
  <r>
    <d v="2021-08-19T16:30:42"/>
    <s v="21-4548"/>
    <s v="P044"/>
    <x v="9"/>
    <n v="368"/>
    <n v="92"/>
    <n v="7360"/>
    <n v="1840"/>
    <n v="5520"/>
    <x v="293"/>
    <s v="Creative &amp; Technology"/>
    <n v="7.9096461399190003"/>
    <s v="Dissatisfied"/>
    <n v="1"/>
  </r>
  <r>
    <d v="2018-04-21T03:51:18"/>
    <s v="18-2314"/>
    <s v="P072"/>
    <x v="5"/>
    <n v="132"/>
    <n v="44"/>
    <n v="396"/>
    <n v="132"/>
    <n v="264"/>
    <x v="181"/>
    <s v="Sports &amp; Recreation"/>
    <n v="11.072271050116964"/>
    <s v="Neither"/>
    <n v="5"/>
  </r>
  <r>
    <d v="2021-10-30T19:38:46"/>
    <s v="21-3472"/>
    <s v="P055"/>
    <x v="2"/>
    <n v="360"/>
    <n v="90"/>
    <n v="4680"/>
    <n v="1170"/>
    <n v="3510"/>
    <x v="157"/>
    <s v="Corporate &amp; Professional"/>
    <n v="13.917704159139552"/>
    <s v="Satisfied"/>
    <n v="10"/>
  </r>
  <r>
    <d v="2021-06-29T09:41:33"/>
    <s v="21-2120"/>
    <s v="P072"/>
    <x v="6"/>
    <n v="132"/>
    <n v="44"/>
    <n v="792"/>
    <n v="264"/>
    <n v="528"/>
    <x v="106"/>
    <s v="Facilities &amp; Services"/>
    <n v="13.518413464873573"/>
    <s v="Satisfied"/>
    <n v="10"/>
  </r>
  <r>
    <d v="2020-03-24T21:36:59"/>
    <s v="20-2402"/>
    <s v="P090"/>
    <x v="5"/>
    <n v="57"/>
    <n v="19"/>
    <n v="171"/>
    <n v="57"/>
    <n v="114"/>
    <x v="238"/>
    <s v="Education"/>
    <n v="13.275355576494196"/>
    <s v="Dissatisfied"/>
    <n v="1"/>
  </r>
  <r>
    <d v="2020-05-15T10:15:46"/>
    <s v="20-3666"/>
    <s v="P091"/>
    <x v="2"/>
    <n v="204"/>
    <n v="51"/>
    <n v="2652"/>
    <n v="663"/>
    <n v="1989"/>
    <x v="220"/>
    <s v="Education"/>
    <n v="13.392447352247808"/>
    <s v="Dissatisfied"/>
    <n v="1"/>
  </r>
  <r>
    <d v="2020-07-02T22:28:40"/>
    <s v="20-4870"/>
    <s v="P052"/>
    <x v="10"/>
    <n v="352"/>
    <n v="88"/>
    <n v="1760"/>
    <n v="440"/>
    <n v="1320"/>
    <x v="91"/>
    <s v="Creative &amp; Technology"/>
    <n v="11.03324198943719"/>
    <s v="Dissatisfied"/>
    <n v="1"/>
  </r>
  <r>
    <d v="2019-08-05T14:40:57"/>
    <s v="19-4407"/>
    <s v="P065"/>
    <x v="10"/>
    <n v="50"/>
    <n v="25"/>
    <n v="250"/>
    <n v="125"/>
    <n v="125"/>
    <x v="49"/>
    <s v="Creative &amp; Technology"/>
    <n v="11.31221475547909"/>
    <s v="Satisfied"/>
    <n v="10"/>
  </r>
  <r>
    <d v="2019-11-28T07:19:01"/>
    <s v="19-4416"/>
    <s v="P057"/>
    <x v="2"/>
    <n v="252"/>
    <n v="63"/>
    <n v="3276"/>
    <n v="819"/>
    <n v="2457"/>
    <x v="161"/>
    <s v="Corporate &amp; Professional"/>
    <n v="11.003496633574638"/>
    <s v="Dissatisfied"/>
    <n v="1"/>
  </r>
  <r>
    <d v="2020-01-20T23:01:38"/>
    <s v="20-2507"/>
    <s v="P048"/>
    <x v="4"/>
    <n v="252"/>
    <n v="63"/>
    <n v="504"/>
    <n v="126"/>
    <n v="378"/>
    <x v="143"/>
    <s v="Community &amp; Government"/>
    <n v="12.732640267350657"/>
    <s v="Dissatisfied"/>
    <n v="1"/>
  </r>
  <r>
    <d v="2020-06-29T04:39:36"/>
    <s v="20-2889"/>
    <s v="P067"/>
    <x v="0"/>
    <n v="144"/>
    <n v="36"/>
    <n v="2160"/>
    <n v="540"/>
    <n v="1620"/>
    <x v="72"/>
    <s v="Community &amp; Government"/>
    <n v="15.458859683514467"/>
    <s v="Neither"/>
    <n v="5"/>
  </r>
  <r>
    <d v="2021-08-11T16:03:32"/>
    <s v="21-4679"/>
    <s v="P083"/>
    <x v="9"/>
    <n v="90"/>
    <n v="45"/>
    <n v="1800"/>
    <n v="900"/>
    <n v="900"/>
    <x v="132"/>
    <s v="Education"/>
    <n v="13.857835104514242"/>
    <s v="Satisfied"/>
    <n v="10"/>
  </r>
  <r>
    <d v="2019-09-07T17:01:11"/>
    <s v="19-2899"/>
    <s v="P066"/>
    <x v="17"/>
    <n v="34"/>
    <n v="17"/>
    <n v="34"/>
    <n v="17"/>
    <n v="17"/>
    <x v="165"/>
    <s v="Creative &amp; Technology"/>
    <n v="13.929237493388955"/>
    <s v="Neither"/>
    <n v="5"/>
  </r>
  <r>
    <d v="2022-04-02T00:48:45"/>
    <s v="22-4290"/>
    <s v="P071"/>
    <x v="0"/>
    <n v="210"/>
    <n v="70"/>
    <n v="3150"/>
    <n v="1050"/>
    <n v="2100"/>
    <x v="41"/>
    <s v="Community &amp; Government"/>
    <n v="12.452986387489583"/>
    <s v="Neither"/>
    <n v="5"/>
  </r>
  <r>
    <d v="2018-08-18T02:31:50"/>
    <s v="18-2871"/>
    <s v="P099"/>
    <x v="6"/>
    <n v="132"/>
    <n v="33"/>
    <n v="792"/>
    <n v="198"/>
    <n v="594"/>
    <x v="232"/>
    <s v="Corporate &amp; Professional"/>
    <n v="11.816654396440285"/>
    <s v="Dissatisfied"/>
    <n v="1"/>
  </r>
  <r>
    <d v="2020-04-14T22:08:48"/>
    <s v="20-1004"/>
    <s v="P022"/>
    <x v="5"/>
    <n v="153"/>
    <n v="51"/>
    <n v="459"/>
    <n v="153"/>
    <n v="306"/>
    <x v="145"/>
    <s v="Sports &amp; Recreation"/>
    <n v="7.9963422143733238"/>
    <s v="Neither"/>
    <n v="5"/>
  </r>
  <r>
    <d v="2019-03-13T00:34:41"/>
    <s v="19-4223"/>
    <s v="P016"/>
    <x v="16"/>
    <n v="110"/>
    <n v="55"/>
    <n v="990"/>
    <n v="495"/>
    <n v="495"/>
    <x v="47"/>
    <s v="Healthcare &amp; Safety"/>
    <n v="11.727497850343074"/>
    <s v="Dissatisfied"/>
    <n v="1"/>
  </r>
  <r>
    <d v="2020-01-18T16:39:12"/>
    <s v="20-3368"/>
    <s v="P053"/>
    <x v="10"/>
    <n v="50"/>
    <n v="25"/>
    <n v="250"/>
    <n v="125"/>
    <n v="125"/>
    <x v="51"/>
    <s v="Facilities &amp; Services"/>
    <n v="10.523527521613014"/>
    <s v="Neither"/>
    <n v="5"/>
  </r>
  <r>
    <d v="2022-01-17T13:05:07"/>
    <s v="22-4411"/>
    <s v="P052"/>
    <x v="17"/>
    <n v="352"/>
    <n v="88"/>
    <n v="352"/>
    <n v="88"/>
    <n v="264"/>
    <x v="114"/>
    <s v="Healthcare &amp; Safety"/>
    <n v="14.423322704129969"/>
    <s v="Neither"/>
    <n v="5"/>
  </r>
  <r>
    <d v="2020-08-30T22:53:08"/>
    <s v="20-1765"/>
    <s v="P040"/>
    <x v="4"/>
    <n v="160"/>
    <n v="80"/>
    <n v="320"/>
    <n v="160"/>
    <n v="160"/>
    <x v="285"/>
    <s v="Healthcare &amp; Safety"/>
    <n v="13.2671922973198"/>
    <s v="Neither"/>
    <n v="5"/>
  </r>
  <r>
    <d v="2018-09-20T03:45:06"/>
    <s v="18-2326"/>
    <s v="P071"/>
    <x v="7"/>
    <n v="210"/>
    <n v="70"/>
    <n v="2310"/>
    <n v="770"/>
    <n v="1540"/>
    <x v="253"/>
    <s v="Facilities &amp; Services"/>
    <n v="11.961761925704458"/>
    <s v="Neither"/>
    <n v="5"/>
  </r>
  <r>
    <d v="2019-07-26T15:48:09"/>
    <s v="19-3333"/>
    <s v="P094"/>
    <x v="2"/>
    <n v="80"/>
    <n v="20"/>
    <n v="1040"/>
    <n v="260"/>
    <n v="780"/>
    <x v="246"/>
    <s v="Facilities &amp; Services"/>
    <n v="13.853438793083487"/>
    <s v="Dissatisfied"/>
    <n v="1"/>
  </r>
  <r>
    <d v="2023-05-13T16:29:35"/>
    <s v="23-4345"/>
    <s v="P076"/>
    <x v="16"/>
    <n v="94"/>
    <n v="47"/>
    <n v="846"/>
    <n v="423"/>
    <n v="423"/>
    <x v="57"/>
    <s v="Facilities &amp; Services"/>
    <n v="12.177709716438097"/>
    <s v="Neither"/>
    <n v="5"/>
  </r>
  <r>
    <d v="2020-12-21T04:49:54"/>
    <s v="20-4775"/>
    <s v="P045"/>
    <x v="17"/>
    <n v="100"/>
    <n v="25"/>
    <n v="100"/>
    <n v="25"/>
    <n v="75"/>
    <x v="21"/>
    <s v="Facilities &amp; Services"/>
    <n v="13.717776078041958"/>
    <s v="Neither"/>
    <n v="5"/>
  </r>
  <r>
    <d v="2018-08-01T10:01:24"/>
    <s v="18-3116"/>
    <s v="P067"/>
    <x v="0"/>
    <n v="144"/>
    <n v="36"/>
    <n v="2160"/>
    <n v="540"/>
    <n v="1620"/>
    <x v="274"/>
    <s v="Creative &amp; Technology"/>
    <n v="10.524491192521829"/>
    <s v="Neither"/>
    <n v="5"/>
  </r>
  <r>
    <d v="2019-08-20T01:13:24"/>
    <s v="19-1728"/>
    <s v="P005"/>
    <x v="1"/>
    <n v="76"/>
    <n v="19"/>
    <n v="608"/>
    <n v="152"/>
    <n v="456"/>
    <x v="11"/>
    <s v="Creative &amp; Technology"/>
    <n v="8.2871811249429097"/>
    <s v="Neither"/>
    <n v="5"/>
  </r>
  <r>
    <d v="2021-07-28T02:04:52"/>
    <s v="21-1292"/>
    <s v="P061"/>
    <x v="10"/>
    <n v="264"/>
    <n v="88"/>
    <n v="1320"/>
    <n v="440"/>
    <n v="880"/>
    <x v="235"/>
    <s v="Facilities &amp; Services"/>
    <n v="11.226611755437654"/>
    <s v="Dissatisfied"/>
    <n v="1"/>
  </r>
  <r>
    <d v="2018-10-14T05:50:12"/>
    <s v="18-3024"/>
    <s v="P007"/>
    <x v="17"/>
    <n v="225"/>
    <n v="75"/>
    <n v="225"/>
    <n v="75"/>
    <n v="150"/>
    <x v="101"/>
    <s v="Sports &amp; Recreation"/>
    <n v="10.816866337473218"/>
    <s v="Dissatisfied"/>
    <n v="1"/>
  </r>
  <r>
    <d v="2021-01-25T23:20:56"/>
    <s v="21-4784"/>
    <s v="P009"/>
    <x v="8"/>
    <n v="255"/>
    <n v="85"/>
    <n v="3570"/>
    <n v="1190"/>
    <n v="2380"/>
    <x v="124"/>
    <s v="Sports &amp; Recreation"/>
    <n v="13.115597690631557"/>
    <s v="Neither"/>
    <n v="5"/>
  </r>
  <r>
    <d v="2017-07-04T14:08:50"/>
    <s v="17-2317"/>
    <s v="P011"/>
    <x v="11"/>
    <n v="264"/>
    <n v="88"/>
    <n v="4224"/>
    <n v="1408"/>
    <n v="2816"/>
    <x v="192"/>
    <s v="Healthcare &amp; Safety"/>
    <n v="8.7741864171993527"/>
    <s v="Neither"/>
    <n v="5"/>
  </r>
  <r>
    <d v="2016-11-21T16:26:12"/>
    <s v="16-4606"/>
    <s v="P008"/>
    <x v="6"/>
    <n v="225"/>
    <n v="75"/>
    <n v="1350"/>
    <n v="450"/>
    <n v="900"/>
    <x v="110"/>
    <s v="Sports &amp; Recreation"/>
    <n v="14.690198582365463"/>
    <s v="Neither"/>
    <n v="5"/>
  </r>
  <r>
    <d v="2019-02-07T04:34:50"/>
    <s v="19-1804"/>
    <s v="P037"/>
    <x v="17"/>
    <n v="160"/>
    <n v="80"/>
    <n v="160"/>
    <n v="80"/>
    <n v="80"/>
    <x v="105"/>
    <s v="Corporate &amp; Professional"/>
    <n v="11.070908141213383"/>
    <s v="Neither"/>
    <n v="5"/>
  </r>
  <r>
    <d v="2022-03-27T23:40:58"/>
    <s v="22-4441"/>
    <s v="P042"/>
    <x v="8"/>
    <n v="50"/>
    <n v="25"/>
    <n v="700"/>
    <n v="350"/>
    <n v="350"/>
    <x v="91"/>
    <s v="Creative &amp; Technology"/>
    <n v="11.03324198943719"/>
    <s v="Neither"/>
    <n v="5"/>
  </r>
  <r>
    <d v="2020-03-02T04:58:31"/>
    <s v="20-1343"/>
    <s v="P009"/>
    <x v="11"/>
    <n v="255"/>
    <n v="85"/>
    <n v="4080"/>
    <n v="1360"/>
    <n v="2720"/>
    <x v="119"/>
    <s v="Education"/>
    <n v="12.456740895640767"/>
    <s v="Satisfied"/>
    <n v="10"/>
  </r>
  <r>
    <d v="2020-01-07T13:13:41"/>
    <s v="20-4888"/>
    <s v="P097"/>
    <x v="4"/>
    <n v="92"/>
    <n v="46"/>
    <n v="184"/>
    <n v="92"/>
    <n v="92"/>
    <x v="212"/>
    <s v="Sports &amp; Recreation"/>
    <n v="11.443503623244197"/>
    <s v="Satisfied"/>
    <n v="10"/>
  </r>
  <r>
    <d v="2020-11-05T01:23:42"/>
    <s v="20-1754"/>
    <s v="P049"/>
    <x v="4"/>
    <n v="356"/>
    <n v="89"/>
    <n v="712"/>
    <n v="178"/>
    <n v="534"/>
    <x v="87"/>
    <s v="Education"/>
    <n v="11.710935611749917"/>
    <s v="Neither"/>
    <n v="5"/>
  </r>
  <r>
    <d v="2023-05-25T14:56:07"/>
    <s v="23-2874"/>
    <s v="P038"/>
    <x v="5"/>
    <n v="240"/>
    <n v="80"/>
    <n v="720"/>
    <n v="240"/>
    <n v="480"/>
    <x v="236"/>
    <s v="Creative &amp; Technology"/>
    <n v="13.827196127590291"/>
    <s v="Neither"/>
    <n v="5"/>
  </r>
  <r>
    <d v="2020-11-19T01:16:28"/>
    <s v="20-2270"/>
    <s v="P023"/>
    <x v="5"/>
    <n v="126"/>
    <n v="42"/>
    <n v="378"/>
    <n v="126"/>
    <n v="252"/>
    <x v="245"/>
    <s v="Sports &amp; Recreation"/>
    <n v="11.816651848338852"/>
    <s v="Dissatisfied"/>
    <n v="1"/>
  </r>
  <r>
    <d v="2021-05-21T06:48:04"/>
    <s v="21-1446"/>
    <s v="P010"/>
    <x v="14"/>
    <n v="144"/>
    <n v="36"/>
    <n v="1728"/>
    <n v="432"/>
    <n v="1296"/>
    <x v="129"/>
    <s v="Community &amp; Government"/>
    <n v="10.813269600021069"/>
    <s v="Dissatisfied"/>
    <n v="1"/>
  </r>
  <r>
    <d v="2021-10-28T08:43:36"/>
    <s v="21-2479"/>
    <s v="P045"/>
    <x v="2"/>
    <n v="100"/>
    <n v="25"/>
    <n v="1300"/>
    <n v="325"/>
    <n v="975"/>
    <x v="230"/>
    <s v="Community &amp; Government"/>
    <n v="12.155895475340943"/>
    <s v="Neither"/>
    <n v="5"/>
  </r>
  <r>
    <d v="2019-11-19T03:29:30"/>
    <s v="19-4956"/>
    <s v="P034"/>
    <x v="7"/>
    <n v="114"/>
    <n v="57"/>
    <n v="1254"/>
    <n v="627"/>
    <n v="627"/>
    <x v="112"/>
    <s v="Creative &amp; Technology"/>
    <n v="12.004541523616258"/>
    <s v="Neither"/>
    <n v="5"/>
  </r>
  <r>
    <d v="2021-09-01T05:30:43"/>
    <s v="21-2253"/>
    <s v="P039"/>
    <x v="7"/>
    <n v="270"/>
    <n v="90"/>
    <n v="2970"/>
    <n v="990"/>
    <n v="1980"/>
    <x v="68"/>
    <s v="Sports &amp; Recreation"/>
    <n v="12.200533931675887"/>
    <s v="Neither"/>
    <n v="5"/>
  </r>
  <r>
    <d v="2019-04-22T18:56:10"/>
    <s v="19-1807"/>
    <s v="P037"/>
    <x v="12"/>
    <n v="160"/>
    <n v="80"/>
    <n v="1120"/>
    <n v="560"/>
    <n v="560"/>
    <x v="238"/>
    <s v="Education"/>
    <n v="13.275355576494196"/>
    <s v="Dissatisfied"/>
    <n v="1"/>
  </r>
  <r>
    <d v="2019-05-23T23:21:45"/>
    <s v="19-1432"/>
    <s v="P047"/>
    <x v="2"/>
    <n v="72"/>
    <n v="36"/>
    <n v="936"/>
    <n v="468"/>
    <n v="468"/>
    <x v="280"/>
    <s v="Education"/>
    <n v="9.1264071155960682"/>
    <s v="Dissatisfied"/>
    <n v="1"/>
  </r>
  <r>
    <d v="2021-05-22T08:21:19"/>
    <s v="21-2835"/>
    <s v="P092"/>
    <x v="7"/>
    <n v="124"/>
    <n v="62"/>
    <n v="1364"/>
    <n v="682"/>
    <n v="682"/>
    <x v="166"/>
    <s v="Healthcare &amp; Safety"/>
    <n v="10.112765954734209"/>
    <s v="Satisfied"/>
    <n v="10"/>
  </r>
  <r>
    <d v="2021-02-07T23:58:30"/>
    <s v="21-4209"/>
    <s v="P056"/>
    <x v="12"/>
    <n v="72"/>
    <n v="36"/>
    <n v="504"/>
    <n v="252"/>
    <n v="252"/>
    <x v="202"/>
    <s v="Community &amp; Government"/>
    <n v="8.1595626482464514"/>
    <s v="Neither"/>
    <n v="5"/>
  </r>
  <r>
    <d v="2022-05-10T16:20:10"/>
    <s v="22-3260"/>
    <s v="P089"/>
    <x v="2"/>
    <n v="102"/>
    <n v="51"/>
    <n v="1326"/>
    <n v="663"/>
    <n v="663"/>
    <x v="80"/>
    <s v="Education"/>
    <n v="12.503632939408062"/>
    <s v="Satisfied"/>
    <n v="10"/>
  </r>
  <r>
    <d v="2020-05-06T02:57:09"/>
    <s v="20-3739"/>
    <s v="P050"/>
    <x v="19"/>
    <n v="108"/>
    <n v="36"/>
    <n v="2052"/>
    <n v="684"/>
    <n v="1368"/>
    <x v="35"/>
    <s v="Sports &amp; Recreation"/>
    <n v="12.487915239531313"/>
    <s v="Neither"/>
    <n v="5"/>
  </r>
  <r>
    <d v="2020-09-12T12:56:16"/>
    <s v="20-1222"/>
    <s v="P096"/>
    <x v="16"/>
    <n v="144"/>
    <n v="48"/>
    <n v="1296"/>
    <n v="432"/>
    <n v="864"/>
    <x v="104"/>
    <s v="Facilities &amp; Services"/>
    <n v="11.769293993029555"/>
    <s v="Satisfied"/>
    <n v="10"/>
  </r>
  <r>
    <d v="2021-03-06T10:57:00"/>
    <s v="21-4873"/>
    <s v="P021"/>
    <x v="13"/>
    <n v="207"/>
    <n v="69"/>
    <n v="2070"/>
    <n v="690"/>
    <n v="1380"/>
    <x v="173"/>
    <s v="Education"/>
    <n v="12.147202500273634"/>
    <s v="Neither"/>
    <n v="5"/>
  </r>
  <r>
    <d v="2022-11-11T10:00:54"/>
    <s v="22-3726"/>
    <s v="P097"/>
    <x v="8"/>
    <n v="92"/>
    <n v="46"/>
    <n v="1288"/>
    <n v="644"/>
    <n v="644"/>
    <x v="274"/>
    <s v="Creative &amp; Technology"/>
    <n v="10.524491192521829"/>
    <s v="Neither"/>
    <n v="5"/>
  </r>
  <r>
    <d v="2019-04-20T20:39:53"/>
    <s v="19-4276"/>
    <s v="P049"/>
    <x v="1"/>
    <n v="356"/>
    <n v="89"/>
    <n v="2848"/>
    <n v="712"/>
    <n v="2136"/>
    <x v="257"/>
    <s v="Creative &amp; Technology"/>
    <n v="9.9471686551317795"/>
    <s v="Neither"/>
    <n v="5"/>
  </r>
  <r>
    <d v="2021-06-19T23:49:35"/>
    <s v="21-1829"/>
    <s v="P036"/>
    <x v="10"/>
    <n v="280"/>
    <n v="70"/>
    <n v="1400"/>
    <n v="350"/>
    <n v="1050"/>
    <x v="17"/>
    <s v="Education"/>
    <n v="9.8238489437106278"/>
    <s v="Satisfied"/>
    <n v="10"/>
  </r>
  <r>
    <d v="2021-12-08T15:59:15"/>
    <s v="21-2827"/>
    <s v="P006"/>
    <x v="16"/>
    <n v="38"/>
    <n v="19"/>
    <n v="342"/>
    <n v="171"/>
    <n v="171"/>
    <x v="117"/>
    <s v="Corporate &amp; Professional"/>
    <n v="11.687634894637348"/>
    <s v="Dissatisfied"/>
    <n v="1"/>
  </r>
  <r>
    <d v="2018-08-01T11:01:39"/>
    <s v="18-3085"/>
    <s v="P007"/>
    <x v="8"/>
    <n v="225"/>
    <n v="75"/>
    <n v="3150"/>
    <n v="1050"/>
    <n v="2100"/>
    <x v="239"/>
    <s v="Facilities &amp; Services"/>
    <n v="12.37474961859551"/>
    <s v="Neither"/>
    <n v="5"/>
  </r>
  <r>
    <d v="2019-09-07T15:48:18"/>
    <s v="19-3576"/>
    <s v="P006"/>
    <x v="5"/>
    <n v="38"/>
    <n v="19"/>
    <n v="114"/>
    <n v="57"/>
    <n v="57"/>
    <x v="194"/>
    <s v="Community &amp; Government"/>
    <n v="9.879282537628514"/>
    <s v="Satisfied"/>
    <n v="10"/>
  </r>
  <r>
    <d v="2018-11-06T08:17:16"/>
    <s v="18-1776"/>
    <s v="P058"/>
    <x v="4"/>
    <n v="356"/>
    <n v="89"/>
    <n v="712"/>
    <n v="178"/>
    <n v="534"/>
    <x v="134"/>
    <s v="Sports &amp; Recreation"/>
    <n v="12.532428411174646"/>
    <s v="Satisfied"/>
    <n v="10"/>
  </r>
  <r>
    <d v="2021-05-26T07:17:32"/>
    <s v="21-4806"/>
    <s v="P018"/>
    <x v="17"/>
    <n v="108"/>
    <n v="54"/>
    <n v="108"/>
    <n v="54"/>
    <n v="54"/>
    <x v="115"/>
    <s v="Sports &amp; Recreation"/>
    <n v="11.416048240262977"/>
    <s v="Dissatisfied"/>
    <n v="1"/>
  </r>
  <r>
    <d v="2020-12-01T16:12:09"/>
    <s v="20-1157"/>
    <s v="P063"/>
    <x v="7"/>
    <n v="261"/>
    <n v="87"/>
    <n v="2871"/>
    <n v="957"/>
    <n v="1914"/>
    <x v="82"/>
    <s v="Creative &amp; Technology"/>
    <n v="11.883396013219548"/>
    <s v="Satisfied"/>
    <n v="10"/>
  </r>
  <r>
    <d v="2021-07-11T10:37:12"/>
    <s v="21-3126"/>
    <s v="P032"/>
    <x v="8"/>
    <n v="92"/>
    <n v="46"/>
    <n v="1288"/>
    <n v="644"/>
    <n v="644"/>
    <x v="177"/>
    <s v="Creative &amp; Technology"/>
    <n v="14.66147716237918"/>
    <s v="Neither"/>
    <n v="5"/>
  </r>
  <r>
    <d v="2019-07-01T22:15:21"/>
    <s v="19-3973"/>
    <s v="P046"/>
    <x v="10"/>
    <n v="38"/>
    <n v="19"/>
    <n v="190"/>
    <n v="95"/>
    <n v="95"/>
    <x v="87"/>
    <s v="Education"/>
    <n v="11.710935611749917"/>
    <s v="Neither"/>
    <n v="5"/>
  </r>
  <r>
    <d v="2018-09-17T13:43:03"/>
    <s v="18-1196"/>
    <s v="P010"/>
    <x v="2"/>
    <n v="144"/>
    <n v="36"/>
    <n v="1872"/>
    <n v="468"/>
    <n v="1404"/>
    <x v="249"/>
    <s v="Corporate &amp; Professional"/>
    <n v="13.397308081757757"/>
    <s v="Neither"/>
    <n v="5"/>
  </r>
  <r>
    <d v="2021-06-16T23:26:12"/>
    <s v="21-3760"/>
    <s v="P011"/>
    <x v="13"/>
    <n v="264"/>
    <n v="88"/>
    <n v="2640"/>
    <n v="880"/>
    <n v="1760"/>
    <x v="32"/>
    <s v="Facilities &amp; Services"/>
    <n v="11.410471033945758"/>
    <s v="Neither"/>
    <n v="5"/>
  </r>
  <r>
    <d v="2019-05-07T06:25:53"/>
    <s v="19-1413"/>
    <s v="P002"/>
    <x v="14"/>
    <n v="144"/>
    <n v="36"/>
    <n v="1728"/>
    <n v="432"/>
    <n v="1296"/>
    <x v="269"/>
    <s v="Corporate &amp; Professional"/>
    <n v="10.585251392347548"/>
    <s v="Dissatisfied"/>
    <n v="1"/>
  </r>
  <r>
    <d v="2017-09-29T01:00:02"/>
    <s v="17-1266"/>
    <s v="P029"/>
    <x v="5"/>
    <n v="300"/>
    <n v="75"/>
    <n v="900"/>
    <n v="225"/>
    <n v="675"/>
    <x v="248"/>
    <s v="Creative &amp; Technology"/>
    <n v="11.130819205617987"/>
    <s v="Dissatisfied"/>
    <n v="1"/>
  </r>
  <r>
    <d v="2020-05-05T15:42:26"/>
    <s v="20-4863"/>
    <s v="P016"/>
    <x v="17"/>
    <n v="110"/>
    <n v="55"/>
    <n v="110"/>
    <n v="55"/>
    <n v="55"/>
    <x v="268"/>
    <s v="Sports &amp; Recreation"/>
    <n v="11.593991859287692"/>
    <s v="Neither"/>
    <n v="5"/>
  </r>
  <r>
    <d v="2021-05-08T05:22:22"/>
    <s v="21-3062"/>
    <s v="P069"/>
    <x v="7"/>
    <n v="150"/>
    <n v="75"/>
    <n v="1650"/>
    <n v="825"/>
    <n v="825"/>
    <x v="10"/>
    <s v="Education"/>
    <n v="12.957303170959879"/>
    <s v="Satisfied"/>
    <n v="10"/>
  </r>
  <r>
    <d v="2020-03-05T03:45:23"/>
    <s v="20-2308"/>
    <s v="P078"/>
    <x v="14"/>
    <n v="225"/>
    <n v="75"/>
    <n v="2700"/>
    <n v="900"/>
    <n v="1800"/>
    <x v="191"/>
    <s v="Corporate &amp; Professional"/>
    <n v="12.131375018945562"/>
    <s v="Neither"/>
    <n v="5"/>
  </r>
  <r>
    <d v="2020-04-09T07:39:41"/>
    <s v="20-1862"/>
    <s v="P039"/>
    <x v="10"/>
    <n v="270"/>
    <n v="90"/>
    <n v="1350"/>
    <n v="450"/>
    <n v="900"/>
    <x v="194"/>
    <s v="Community &amp; Government"/>
    <n v="9.879282537628514"/>
    <s v="Neither"/>
    <n v="5"/>
  </r>
  <r>
    <d v="2021-01-22T05:26:27"/>
    <s v="21-4059"/>
    <s v="P050"/>
    <x v="1"/>
    <n v="108"/>
    <n v="36"/>
    <n v="864"/>
    <n v="288"/>
    <n v="576"/>
    <x v="83"/>
    <s v="Sports &amp; Recreation"/>
    <n v="11.504886852416154"/>
    <s v="Dissatisfied"/>
    <n v="1"/>
  </r>
  <r>
    <d v="2018-03-26T16:50:56"/>
    <s v="18-2011"/>
    <s v="P002"/>
    <x v="4"/>
    <n v="144"/>
    <n v="36"/>
    <n v="288"/>
    <n v="72"/>
    <n v="216"/>
    <x v="18"/>
    <s v="Sports &amp; Recreation"/>
    <n v="12.072414596936037"/>
    <s v="Satisfied"/>
    <n v="10"/>
  </r>
  <r>
    <d v="2020-01-05T09:32:50"/>
    <s v="20-1914"/>
    <s v="P059"/>
    <x v="18"/>
    <n v="267"/>
    <n v="89"/>
    <n v="4806"/>
    <n v="1602"/>
    <n v="3204"/>
    <x v="116"/>
    <s v="Education"/>
    <n v="12.299779975023837"/>
    <s v="Satisfied"/>
    <n v="10"/>
  </r>
  <r>
    <d v="2020-01-12T03:40:36"/>
    <s v="20-3317"/>
    <s v="P032"/>
    <x v="19"/>
    <n v="92"/>
    <n v="46"/>
    <n v="1748"/>
    <n v="874"/>
    <n v="874"/>
    <x v="230"/>
    <s v="Community &amp; Government"/>
    <n v="12.155895475340943"/>
    <s v="Dissatisfied"/>
    <n v="1"/>
  </r>
  <r>
    <d v="2020-02-12T18:42:17"/>
    <s v="20-2994"/>
    <s v="P062"/>
    <x v="1"/>
    <n v="348"/>
    <n v="87"/>
    <n v="2784"/>
    <n v="696"/>
    <n v="2088"/>
    <x v="50"/>
    <s v="Creative &amp; Technology"/>
    <n v="12.551203838971933"/>
    <s v="Dissatisfied"/>
    <n v="1"/>
  </r>
  <r>
    <d v="2022-08-13T13:24:49"/>
    <s v="22-1439"/>
    <s v="P093"/>
    <x v="4"/>
    <n v="384"/>
    <n v="96"/>
    <n v="768"/>
    <n v="192"/>
    <n v="576"/>
    <x v="230"/>
    <s v="Community &amp; Government"/>
    <n v="12.155895475340943"/>
    <s v="Neither"/>
    <n v="5"/>
  </r>
  <r>
    <d v="2019-06-07T13:04:56"/>
    <s v="19-4411"/>
    <s v="P094"/>
    <x v="9"/>
    <n v="80"/>
    <n v="20"/>
    <n v="1600"/>
    <n v="400"/>
    <n v="1200"/>
    <x v="41"/>
    <s v="Community &amp; Government"/>
    <n v="12.452986387489583"/>
    <s v="Satisfied"/>
    <n v="10"/>
  </r>
  <r>
    <d v="2018-08-19T17:42:31"/>
    <s v="18-4767"/>
    <s v="P052"/>
    <x v="1"/>
    <n v="352"/>
    <n v="88"/>
    <n v="2816"/>
    <n v="704"/>
    <n v="2112"/>
    <x v="146"/>
    <s v="Creative &amp; Technology"/>
    <n v="10.764293826791503"/>
    <s v="Satisfied"/>
    <n v="10"/>
  </r>
  <r>
    <d v="2020-10-22T00:55:54"/>
    <s v="20-2119"/>
    <s v="P096"/>
    <x v="1"/>
    <n v="144"/>
    <n v="48"/>
    <n v="1152"/>
    <n v="384"/>
    <n v="768"/>
    <x v="211"/>
    <s v="Healthcare &amp; Safety"/>
    <n v="13.106678263594747"/>
    <s v="Dissatisfied"/>
    <n v="1"/>
  </r>
  <r>
    <d v="2021-04-16T17:04:40"/>
    <s v="21-1956"/>
    <s v="P004"/>
    <x v="9"/>
    <n v="189"/>
    <n v="63"/>
    <n v="3780"/>
    <n v="1260"/>
    <n v="2520"/>
    <x v="237"/>
    <s v="Creative &amp; Technology"/>
    <n v="11.485823039755857"/>
    <s v="Dissatisfied"/>
    <n v="1"/>
  </r>
  <r>
    <d v="2020-10-05T21:42:46"/>
    <s v="20-1916"/>
    <s v="P002"/>
    <x v="3"/>
    <n v="144"/>
    <n v="36"/>
    <n v="576"/>
    <n v="144"/>
    <n v="432"/>
    <x v="27"/>
    <s v="Healthcare &amp; Safety"/>
    <n v="10.42743035829395"/>
    <s v="Neither"/>
    <n v="5"/>
  </r>
  <r>
    <d v="2018-07-16T16:38:55"/>
    <s v="18-2240"/>
    <s v="P003"/>
    <x v="16"/>
    <n v="189"/>
    <n v="63"/>
    <n v="1701"/>
    <n v="567"/>
    <n v="1134"/>
    <x v="262"/>
    <s v="Healthcare &amp; Safety"/>
    <n v="13.00553764131261"/>
    <s v="Satisfied"/>
    <n v="10"/>
  </r>
  <r>
    <d v="2019-11-04T20:04:34"/>
    <s v="19-4514"/>
    <s v="P006"/>
    <x v="0"/>
    <n v="38"/>
    <n v="19"/>
    <n v="570"/>
    <n v="285"/>
    <n v="285"/>
    <x v="127"/>
    <s v="Facilities &amp; Services"/>
    <n v="11.644564584314265"/>
    <s v="Neither"/>
    <n v="5"/>
  </r>
  <r>
    <d v="2020-04-11T12:27:05"/>
    <s v="20-4745"/>
    <s v="P088"/>
    <x v="8"/>
    <n v="192"/>
    <n v="96"/>
    <n v="2688"/>
    <n v="1344"/>
    <n v="1344"/>
    <x v="181"/>
    <s v="Sports &amp; Recreation"/>
    <n v="11.072271050116964"/>
    <s v="Dissatisfied"/>
    <n v="1"/>
  </r>
  <r>
    <d v="2021-07-27T23:25:33"/>
    <s v="21-3745"/>
    <s v="P004"/>
    <x v="8"/>
    <n v="189"/>
    <n v="63"/>
    <n v="2646"/>
    <n v="882"/>
    <n v="1764"/>
    <x v="74"/>
    <s v="Education"/>
    <n v="12.699346182652626"/>
    <s v="Neither"/>
    <n v="5"/>
  </r>
  <r>
    <d v="2022-01-15T00:51:17"/>
    <s v="22-1933"/>
    <s v="P051"/>
    <x v="16"/>
    <n v="135"/>
    <n v="45"/>
    <n v="1215"/>
    <n v="405"/>
    <n v="810"/>
    <x v="49"/>
    <s v="Creative &amp; Technology"/>
    <n v="11.31221475547909"/>
    <s v="Neither"/>
    <n v="5"/>
  </r>
  <r>
    <d v="2021-09-15T09:42:37"/>
    <s v="21-3530"/>
    <s v="P024"/>
    <x v="18"/>
    <n v="66"/>
    <n v="33"/>
    <n v="1188"/>
    <n v="594"/>
    <n v="594"/>
    <x v="51"/>
    <s v="Facilities &amp; Services"/>
    <n v="10.523527521613014"/>
    <s v="Satisfied"/>
    <n v="10"/>
  </r>
  <r>
    <d v="2021-10-05T04:11:24"/>
    <s v="21-1511"/>
    <s v="P025"/>
    <x v="2"/>
    <n v="210"/>
    <n v="70"/>
    <n v="2730"/>
    <n v="910"/>
    <n v="1820"/>
    <x v="103"/>
    <s v="Education"/>
    <n v="14.687857652112591"/>
    <s v="Neither"/>
    <n v="5"/>
  </r>
  <r>
    <d v="2022-05-23T10:31:07"/>
    <s v="22-4806"/>
    <s v="P083"/>
    <x v="14"/>
    <n v="90"/>
    <n v="45"/>
    <n v="1080"/>
    <n v="540"/>
    <n v="540"/>
    <x v="259"/>
    <s v="Education"/>
    <n v="15.268550004010105"/>
    <s v="Dissatisfied"/>
    <n v="1"/>
  </r>
  <r>
    <d v="2019-10-30T13:36:13"/>
    <s v="19-2658"/>
    <s v="P078"/>
    <x v="8"/>
    <n v="225"/>
    <n v="75"/>
    <n v="3150"/>
    <n v="1050"/>
    <n v="2100"/>
    <x v="148"/>
    <s v="Healthcare &amp; Safety"/>
    <n v="14.845213075061906"/>
    <s v="Neither"/>
    <n v="5"/>
  </r>
  <r>
    <d v="2019-03-16T22:08:32"/>
    <s v="19-2271"/>
    <s v="P086"/>
    <x v="14"/>
    <n v="352"/>
    <n v="88"/>
    <n v="4224"/>
    <n v="1056"/>
    <n v="3168"/>
    <x v="125"/>
    <s v="Sports &amp; Recreation"/>
    <n v="12.682358648534777"/>
    <s v="Satisfied"/>
    <n v="10"/>
  </r>
  <r>
    <d v="2022-06-26T20:37:59"/>
    <s v="22-3206"/>
    <s v="P054"/>
    <x v="8"/>
    <n v="144"/>
    <n v="48"/>
    <n v="2016"/>
    <n v="672"/>
    <n v="1344"/>
    <x v="144"/>
    <s v="Education"/>
    <n v="16.368863536738775"/>
    <s v="Satisfied"/>
    <n v="10"/>
  </r>
  <r>
    <d v="2019-10-18T21:13:44"/>
    <s v="19-3614"/>
    <s v="P010"/>
    <x v="0"/>
    <n v="144"/>
    <n v="36"/>
    <n v="2160"/>
    <n v="540"/>
    <n v="1620"/>
    <x v="184"/>
    <s v="Community &amp; Government"/>
    <n v="8.8169309002713945"/>
    <s v="Neither"/>
    <n v="5"/>
  </r>
  <r>
    <d v="2018-09-15T21:59:43"/>
    <s v="18-4927"/>
    <s v="P062"/>
    <x v="13"/>
    <n v="348"/>
    <n v="87"/>
    <n v="3480"/>
    <n v="870"/>
    <n v="2610"/>
    <x v="34"/>
    <s v="Sports &amp; Recreation"/>
    <n v="11.406233913305266"/>
    <s v="Dissatisfied"/>
    <n v="1"/>
  </r>
  <r>
    <d v="2020-05-08T07:20:46"/>
    <s v="20-2119"/>
    <s v="P046"/>
    <x v="14"/>
    <n v="38"/>
    <n v="19"/>
    <n v="456"/>
    <n v="228"/>
    <n v="228"/>
    <x v="139"/>
    <s v="Creative &amp; Technology"/>
    <n v="15.770846827234339"/>
    <s v="Dissatisfied"/>
    <n v="1"/>
  </r>
  <r>
    <d v="2019-07-06T10:18:19"/>
    <s v="19-3938"/>
    <s v="P001"/>
    <x v="19"/>
    <n v="108"/>
    <n v="36"/>
    <n v="2052"/>
    <n v="684"/>
    <n v="1368"/>
    <x v="103"/>
    <s v="Education"/>
    <n v="14.687857652112591"/>
    <s v="Satisfied"/>
    <n v="10"/>
  </r>
  <r>
    <d v="2018-09-02T14:41:38"/>
    <s v="18-1169"/>
    <s v="P098"/>
    <x v="16"/>
    <n v="201"/>
    <n v="67"/>
    <n v="1809"/>
    <n v="603"/>
    <n v="1206"/>
    <x v="265"/>
    <s v="Corporate &amp; Professional"/>
    <n v="12.55774399806273"/>
    <s v="Satisfied"/>
    <n v="10"/>
  </r>
  <r>
    <d v="2020-12-28T10:18:35"/>
    <s v="20-3270"/>
    <s v="P040"/>
    <x v="18"/>
    <n v="160"/>
    <n v="80"/>
    <n v="2880"/>
    <n v="1440"/>
    <n v="1440"/>
    <x v="30"/>
    <s v="Corporate &amp; Professional"/>
    <n v="12.844063202784817"/>
    <s v="Neither"/>
    <n v="5"/>
  </r>
  <r>
    <d v="2020-08-29T16:50:21"/>
    <s v="20-1047"/>
    <s v="P040"/>
    <x v="1"/>
    <n v="160"/>
    <n v="80"/>
    <n v="1280"/>
    <n v="640"/>
    <n v="640"/>
    <x v="84"/>
    <s v="Corporate &amp; Professional"/>
    <n v="11.428575823958646"/>
    <s v="Dissatisfied"/>
    <n v="1"/>
  </r>
  <r>
    <d v="2022-01-14T01:36:15"/>
    <s v="22-2472"/>
    <s v="P001"/>
    <x v="12"/>
    <n v="108"/>
    <n v="36"/>
    <n v="756"/>
    <n v="252"/>
    <n v="504"/>
    <x v="218"/>
    <s v="Facilities &amp; Services"/>
    <n v="14.376986923104601"/>
    <s v="Neither"/>
    <n v="5"/>
  </r>
  <r>
    <d v="2023-10-05T05:09:38"/>
    <s v="23-2402"/>
    <s v="P040"/>
    <x v="16"/>
    <n v="160"/>
    <n v="80"/>
    <n v="1440"/>
    <n v="720"/>
    <n v="720"/>
    <x v="187"/>
    <s v="Creative &amp; Technology"/>
    <n v="13.259563298324382"/>
    <s v="Neither"/>
    <n v="5"/>
  </r>
  <r>
    <d v="2020-09-09T18:12:23"/>
    <s v="20-5000"/>
    <s v="P039"/>
    <x v="2"/>
    <n v="270"/>
    <n v="90"/>
    <n v="3510"/>
    <n v="1170"/>
    <n v="2340"/>
    <x v="18"/>
    <s v="Sports &amp; Recreation"/>
    <n v="12.072414596936037"/>
    <s v="Satisfied"/>
    <n v="10"/>
  </r>
  <r>
    <d v="2021-05-12T15:47:16"/>
    <s v="21-2502"/>
    <s v="P066"/>
    <x v="1"/>
    <n v="34"/>
    <n v="17"/>
    <n v="272"/>
    <n v="136"/>
    <n v="136"/>
    <x v="203"/>
    <s v="Creative &amp; Technology"/>
    <n v="13.486912834801583"/>
    <s v="Neither"/>
    <n v="5"/>
  </r>
  <r>
    <d v="2020-05-19T16:48:05"/>
    <s v="20-2001"/>
    <s v="P009"/>
    <x v="7"/>
    <n v="255"/>
    <n v="85"/>
    <n v="2805"/>
    <n v="935"/>
    <n v="1870"/>
    <x v="100"/>
    <s v="Sports &amp; Recreation"/>
    <n v="10.132922049221957"/>
    <s v="Dissatisfied"/>
    <n v="1"/>
  </r>
  <r>
    <d v="2021-02-21T04:32:00"/>
    <s v="21-3336"/>
    <s v="P052"/>
    <x v="5"/>
    <n v="352"/>
    <n v="88"/>
    <n v="1056"/>
    <n v="264"/>
    <n v="792"/>
    <x v="245"/>
    <s v="Sports &amp; Recreation"/>
    <n v="11.816651848338852"/>
    <s v="Neither"/>
    <n v="5"/>
  </r>
  <r>
    <d v="2019-06-25T14:53:23"/>
    <s v="19-1371"/>
    <s v="P073"/>
    <x v="3"/>
    <n v="48"/>
    <n v="24"/>
    <n v="192"/>
    <n v="96"/>
    <n v="96"/>
    <x v="231"/>
    <s v="Facilities &amp; Services"/>
    <n v="14.060995290679429"/>
    <s v="Satisfied"/>
    <n v="10"/>
  </r>
  <r>
    <d v="2020-06-03T06:11:27"/>
    <s v="20-3358"/>
    <s v="P038"/>
    <x v="0"/>
    <n v="240"/>
    <n v="80"/>
    <n v="3600"/>
    <n v="1200"/>
    <n v="2400"/>
    <x v="47"/>
    <s v="Healthcare &amp; Safety"/>
    <n v="11.727497850343074"/>
    <s v="Satisfied"/>
    <n v="10"/>
  </r>
  <r>
    <d v="2022-03-09T04:57:50"/>
    <s v="22-3231"/>
    <s v="P036"/>
    <x v="10"/>
    <n v="280"/>
    <n v="70"/>
    <n v="1400"/>
    <n v="350"/>
    <n v="1050"/>
    <x v="148"/>
    <s v="Healthcare &amp; Safety"/>
    <n v="14.845213075061906"/>
    <s v="Neither"/>
    <n v="5"/>
  </r>
  <r>
    <d v="2022-06-30T03:47:50"/>
    <s v="22-2787"/>
    <s v="P053"/>
    <x v="13"/>
    <n v="50"/>
    <n v="25"/>
    <n v="500"/>
    <n v="250"/>
    <n v="250"/>
    <x v="177"/>
    <s v="Creative &amp; Technology"/>
    <n v="14.66147716237918"/>
    <s v="Neither"/>
    <n v="5"/>
  </r>
  <r>
    <d v="2019-05-05T13:24:02"/>
    <s v="19-4442"/>
    <s v="P039"/>
    <x v="10"/>
    <n v="270"/>
    <n v="90"/>
    <n v="1350"/>
    <n v="450"/>
    <n v="900"/>
    <x v="102"/>
    <s v="Facilities &amp; Services"/>
    <n v="9.8928038181361391"/>
    <s v="Neither"/>
    <n v="5"/>
  </r>
  <r>
    <d v="2019-02-08T20:37:58"/>
    <s v="19-4229"/>
    <s v="P080"/>
    <x v="6"/>
    <n v="57"/>
    <n v="19"/>
    <n v="342"/>
    <n v="114"/>
    <n v="228"/>
    <x v="131"/>
    <s v="Corporate &amp; Professional"/>
    <n v="11.701919153133453"/>
    <s v="Neither"/>
    <n v="5"/>
  </r>
  <r>
    <d v="2019-04-04T06:55:47"/>
    <s v="19-4506"/>
    <s v="P082"/>
    <x v="0"/>
    <n v="312"/>
    <n v="78"/>
    <n v="4680"/>
    <n v="1170"/>
    <n v="3510"/>
    <x v="25"/>
    <s v="Sports &amp; Recreation"/>
    <n v="11.128721898968678"/>
    <s v="Dissatisfied"/>
    <n v="1"/>
  </r>
  <r>
    <d v="2019-03-30T08:57:30"/>
    <s v="19-4758"/>
    <s v="P046"/>
    <x v="1"/>
    <n v="38"/>
    <n v="19"/>
    <n v="304"/>
    <n v="152"/>
    <n v="152"/>
    <x v="273"/>
    <s v="Corporate &amp; Professional"/>
    <n v="11.971065679104063"/>
    <s v="Satisfied"/>
    <n v="10"/>
  </r>
  <r>
    <d v="2019-04-11T20:51:36"/>
    <s v="19-1468"/>
    <s v="P032"/>
    <x v="18"/>
    <n v="92"/>
    <n v="46"/>
    <n v="1656"/>
    <n v="828"/>
    <n v="828"/>
    <x v="243"/>
    <s v="Creative &amp; Technology"/>
    <n v="11.952554704438674"/>
    <s v="Neither"/>
    <n v="5"/>
  </r>
  <r>
    <d v="2022-04-24T22:54:48"/>
    <s v="22-3064"/>
    <s v="P089"/>
    <x v="13"/>
    <n v="102"/>
    <n v="51"/>
    <n v="1020"/>
    <n v="510"/>
    <n v="510"/>
    <x v="108"/>
    <s v="Sports &amp; Recreation"/>
    <n v="11.970975110943924"/>
    <s v="Satisfied"/>
    <n v="10"/>
  </r>
  <r>
    <d v="2018-12-03T06:28:10"/>
    <s v="18-1106"/>
    <s v="P072"/>
    <x v="7"/>
    <n v="132"/>
    <n v="44"/>
    <n v="1452"/>
    <n v="484"/>
    <n v="968"/>
    <x v="247"/>
    <s v="Facilities &amp; Services"/>
    <n v="12.502346728827876"/>
    <s v="Neither"/>
    <n v="5"/>
  </r>
  <r>
    <d v="2021-03-23T01:02:51"/>
    <s v="21-2913"/>
    <s v="P076"/>
    <x v="8"/>
    <n v="94"/>
    <n v="47"/>
    <n v="1316"/>
    <n v="658"/>
    <n v="658"/>
    <x v="169"/>
    <s v="Healthcare &amp; Safety"/>
    <n v="14.341195386574373"/>
    <s v="Satisfied"/>
    <n v="10"/>
  </r>
  <r>
    <d v="2020-12-21T11:52:59"/>
    <s v="20-3084"/>
    <s v="P036"/>
    <x v="0"/>
    <n v="280"/>
    <n v="70"/>
    <n v="4200"/>
    <n v="1050"/>
    <n v="3150"/>
    <x v="86"/>
    <s v="Community &amp; Government"/>
    <n v="12.758430621858414"/>
    <s v="Dissatisfied"/>
    <n v="1"/>
  </r>
  <r>
    <d v="2019-09-14T05:54:18"/>
    <s v="19-3141"/>
    <s v="P069"/>
    <x v="4"/>
    <n v="150"/>
    <n v="75"/>
    <n v="300"/>
    <n v="150"/>
    <n v="150"/>
    <x v="210"/>
    <s v="Corporate &amp; Professional"/>
    <n v="10.411813357023924"/>
    <s v="Satisfied"/>
    <n v="10"/>
  </r>
  <r>
    <d v="2017-10-19T22:10:22"/>
    <s v="17-4015"/>
    <s v="P081"/>
    <x v="19"/>
    <n v="50"/>
    <n v="25"/>
    <n v="950"/>
    <n v="475"/>
    <n v="475"/>
    <x v="254"/>
    <s v="Corporate &amp; Professional"/>
    <n v="8.1743378387804331"/>
    <s v="Neither"/>
    <n v="5"/>
  </r>
  <r>
    <d v="2019-08-30T15:54:59"/>
    <s v="19-4546"/>
    <s v="P074"/>
    <x v="19"/>
    <n v="352"/>
    <n v="88"/>
    <n v="6688"/>
    <n v="1672"/>
    <n v="5016"/>
    <x v="215"/>
    <s v="Facilities &amp; Services"/>
    <n v="14.817898176328208"/>
    <s v="Satisfied"/>
    <n v="10"/>
  </r>
  <r>
    <d v="2020-01-27T17:25:52"/>
    <s v="20-3303"/>
    <s v="P093"/>
    <x v="7"/>
    <n v="384"/>
    <n v="96"/>
    <n v="4224"/>
    <n v="1056"/>
    <n v="3168"/>
    <x v="228"/>
    <s v="Corporate &amp; Professional"/>
    <n v="16.254955391951082"/>
    <s v="Dissatisfied"/>
    <n v="1"/>
  </r>
  <r>
    <d v="2022-07-10T16:07:52"/>
    <s v="22-3511"/>
    <s v="P046"/>
    <x v="18"/>
    <n v="38"/>
    <n v="19"/>
    <n v="684"/>
    <n v="342"/>
    <n v="342"/>
    <x v="80"/>
    <s v="Education"/>
    <n v="12.503632939408062"/>
    <s v="Neither"/>
    <n v="5"/>
  </r>
  <r>
    <d v="2020-10-14T14:03:59"/>
    <s v="20-3597"/>
    <s v="P095"/>
    <x v="19"/>
    <n v="116"/>
    <n v="29"/>
    <n v="2204"/>
    <n v="551"/>
    <n v="1653"/>
    <x v="222"/>
    <s v="Community &amp; Government"/>
    <n v="13.095446915421235"/>
    <s v="Neither"/>
    <n v="5"/>
  </r>
  <r>
    <d v="2018-09-25T16:43:04"/>
    <s v="18-3402"/>
    <s v="P078"/>
    <x v="12"/>
    <n v="225"/>
    <n v="75"/>
    <n v="1575"/>
    <n v="525"/>
    <n v="1050"/>
    <x v="3"/>
    <s v="Facilities &amp; Services"/>
    <n v="10.06992029407844"/>
    <s v="Neither"/>
    <n v="5"/>
  </r>
  <r>
    <d v="2020-02-10T21:09:40"/>
    <s v="20-4377"/>
    <s v="P042"/>
    <x v="19"/>
    <n v="50"/>
    <n v="25"/>
    <n v="950"/>
    <n v="475"/>
    <n v="475"/>
    <x v="228"/>
    <s v="Corporate &amp; Professional"/>
    <n v="16.254955391951082"/>
    <s v="Satisfied"/>
    <n v="10"/>
  </r>
  <r>
    <d v="2021-01-17T03:10:16"/>
    <s v="21-1509"/>
    <s v="P097"/>
    <x v="0"/>
    <n v="92"/>
    <n v="46"/>
    <n v="1380"/>
    <n v="690"/>
    <n v="690"/>
    <x v="124"/>
    <s v="Sports &amp; Recreation"/>
    <n v="13.115597690631557"/>
    <s v="Satisfied"/>
    <n v="10"/>
  </r>
  <r>
    <d v="2018-11-24T17:31:23"/>
    <s v="18-2015"/>
    <s v="P019"/>
    <x v="14"/>
    <n v="308"/>
    <n v="77"/>
    <n v="3696"/>
    <n v="924"/>
    <n v="2772"/>
    <x v="13"/>
    <s v="Sports &amp; Recreation"/>
    <n v="12.163730387337393"/>
    <s v="Neither"/>
    <n v="5"/>
  </r>
  <r>
    <d v="2020-09-17T08:53:43"/>
    <s v="20-2375"/>
    <s v="P027"/>
    <x v="14"/>
    <n v="140"/>
    <n v="70"/>
    <n v="1680"/>
    <n v="840"/>
    <n v="840"/>
    <x v="230"/>
    <s v="Community &amp; Government"/>
    <n v="12.155895475340943"/>
    <s v="Satisfied"/>
    <n v="10"/>
  </r>
  <r>
    <d v="2021-10-31T06:19:34"/>
    <s v="21-1839"/>
    <s v="P081"/>
    <x v="3"/>
    <n v="50"/>
    <n v="25"/>
    <n v="200"/>
    <n v="100"/>
    <n v="100"/>
    <x v="193"/>
    <s v="Corporate &amp; Professional"/>
    <n v="12.275875773922367"/>
    <s v="Neither"/>
    <n v="5"/>
  </r>
  <r>
    <d v="2019-03-20T13:04:12"/>
    <s v="19-2710"/>
    <s v="P045"/>
    <x v="5"/>
    <n v="100"/>
    <n v="25"/>
    <n v="300"/>
    <n v="75"/>
    <n v="225"/>
    <x v="12"/>
    <s v="Creative &amp; Technology"/>
    <n v="9.8384363471888783"/>
    <s v="Neither"/>
    <n v="5"/>
  </r>
  <r>
    <d v="2020-09-17T18:07:07"/>
    <s v="20-3569"/>
    <s v="P001"/>
    <x v="8"/>
    <n v="108"/>
    <n v="36"/>
    <n v="1512"/>
    <n v="504"/>
    <n v="1008"/>
    <x v="213"/>
    <s v="Healthcare &amp; Safety"/>
    <n v="16.148992525516267"/>
    <s v="Satisfied"/>
    <n v="10"/>
  </r>
  <r>
    <d v="2020-05-03T11:10:17"/>
    <s v="20-1676"/>
    <s v="P071"/>
    <x v="2"/>
    <n v="210"/>
    <n v="70"/>
    <n v="2730"/>
    <n v="910"/>
    <n v="1820"/>
    <x v="210"/>
    <s v="Corporate &amp; Professional"/>
    <n v="10.411813357023924"/>
    <s v="Neither"/>
    <n v="5"/>
  </r>
  <r>
    <d v="2022-06-23T02:25:55"/>
    <s v="22-2373"/>
    <s v="P060"/>
    <x v="19"/>
    <n v="300"/>
    <n v="75"/>
    <n v="5700"/>
    <n v="1425"/>
    <n v="4275"/>
    <x v="110"/>
    <s v="Sports &amp; Recreation"/>
    <n v="14.690198582365463"/>
    <s v="Neither"/>
    <n v="5"/>
  </r>
  <r>
    <d v="2022-02-17T15:45:37"/>
    <s v="22-3164"/>
    <s v="P039"/>
    <x v="8"/>
    <n v="270"/>
    <n v="90"/>
    <n v="3780"/>
    <n v="1260"/>
    <n v="2520"/>
    <x v="135"/>
    <s v="Corporate &amp; Professional"/>
    <n v="10.408704992688252"/>
    <s v="Neither"/>
    <n v="5"/>
  </r>
  <r>
    <d v="2020-12-29T14:33:12"/>
    <s v="20-1668"/>
    <s v="P065"/>
    <x v="8"/>
    <n v="50"/>
    <n v="25"/>
    <n v="700"/>
    <n v="350"/>
    <n v="350"/>
    <x v="274"/>
    <s v="Creative &amp; Technology"/>
    <n v="10.524491192521829"/>
    <s v="Neither"/>
    <n v="5"/>
  </r>
  <r>
    <d v="2020-02-25T16:23:44"/>
    <s v="20-4612"/>
    <s v="P052"/>
    <x v="1"/>
    <n v="352"/>
    <n v="88"/>
    <n v="2816"/>
    <n v="704"/>
    <n v="2112"/>
    <x v="51"/>
    <s v="Facilities &amp; Services"/>
    <n v="10.523527521613014"/>
    <s v="Neither"/>
    <n v="5"/>
  </r>
  <r>
    <d v="2023-06-20T15:30:31"/>
    <s v="23-1364"/>
    <s v="P049"/>
    <x v="17"/>
    <n v="356"/>
    <n v="89"/>
    <n v="356"/>
    <n v="89"/>
    <n v="267"/>
    <x v="256"/>
    <s v="Creative &amp; Technology"/>
    <n v="12.173451788225162"/>
    <s v="Neither"/>
    <n v="5"/>
  </r>
  <r>
    <d v="2020-07-13T23:04:51"/>
    <s v="20-2884"/>
    <s v="P019"/>
    <x v="12"/>
    <n v="308"/>
    <n v="77"/>
    <n v="2156"/>
    <n v="539"/>
    <n v="1617"/>
    <x v="280"/>
    <s v="Education"/>
    <n v="9.1264071155960682"/>
    <s v="Dissatisfied"/>
    <n v="1"/>
  </r>
  <r>
    <d v="2022-01-10T16:33:32"/>
    <s v="22-4048"/>
    <s v="P030"/>
    <x v="11"/>
    <n v="81"/>
    <n v="27"/>
    <n v="1296"/>
    <n v="432"/>
    <n v="864"/>
    <x v="209"/>
    <s v="Facilities &amp; Services"/>
    <n v="10.956589836772277"/>
    <s v="Neither"/>
    <n v="5"/>
  </r>
  <r>
    <d v="2019-12-18T15:52:17"/>
    <s v="19-1653"/>
    <s v="P064"/>
    <x v="3"/>
    <n v="231"/>
    <n v="77"/>
    <n v="924"/>
    <n v="308"/>
    <n v="616"/>
    <x v="209"/>
    <s v="Facilities &amp; Services"/>
    <n v="10.956589836772277"/>
    <s v="Neither"/>
    <n v="5"/>
  </r>
  <r>
    <d v="2022-09-12T02:20:41"/>
    <s v="22-2231"/>
    <s v="P014"/>
    <x v="11"/>
    <n v="166"/>
    <n v="83"/>
    <n v="2656"/>
    <n v="1328"/>
    <n v="1328"/>
    <x v="153"/>
    <s v="Corporate &amp; Professional"/>
    <n v="11.799431383856128"/>
    <s v="Satisfied"/>
    <n v="10"/>
  </r>
  <r>
    <d v="2021-08-08T22:02:14"/>
    <s v="21-4736"/>
    <s v="P047"/>
    <x v="3"/>
    <n v="72"/>
    <n v="36"/>
    <n v="288"/>
    <n v="144"/>
    <n v="144"/>
    <x v="187"/>
    <s v="Creative &amp; Technology"/>
    <n v="13.259563298324382"/>
    <s v="Neither"/>
    <n v="5"/>
  </r>
  <r>
    <d v="2021-06-01T07:34:59"/>
    <s v="21-2308"/>
    <s v="P004"/>
    <x v="1"/>
    <n v="189"/>
    <n v="63"/>
    <n v="1512"/>
    <n v="504"/>
    <n v="1008"/>
    <x v="144"/>
    <s v="Education"/>
    <n v="16.368863536738775"/>
    <s v="Dissatisfied"/>
    <n v="1"/>
  </r>
  <r>
    <d v="2020-05-17T08:56:50"/>
    <s v="20-3831"/>
    <s v="P004"/>
    <x v="11"/>
    <n v="189"/>
    <n v="63"/>
    <n v="3024"/>
    <n v="1008"/>
    <n v="2016"/>
    <x v="110"/>
    <s v="Sports &amp; Recreation"/>
    <n v="14.690198582365463"/>
    <s v="Satisfied"/>
    <n v="10"/>
  </r>
  <r>
    <d v="2019-07-03T12:43:55"/>
    <s v="19-4269"/>
    <s v="P043"/>
    <x v="14"/>
    <n v="184"/>
    <n v="92"/>
    <n v="2208"/>
    <n v="1104"/>
    <n v="1104"/>
    <x v="265"/>
    <s v="Corporate &amp; Professional"/>
    <n v="12.55774399806273"/>
    <s v="Neither"/>
    <n v="5"/>
  </r>
  <r>
    <d v="2022-10-12T21:01:48"/>
    <s v="22-3046"/>
    <s v="P050"/>
    <x v="8"/>
    <n v="108"/>
    <n v="36"/>
    <n v="1512"/>
    <n v="504"/>
    <n v="1008"/>
    <x v="98"/>
    <s v="Creative &amp; Technology"/>
    <n v="15.18789248529443"/>
    <s v="Neither"/>
    <n v="5"/>
  </r>
  <r>
    <d v="2019-10-11T22:21:17"/>
    <s v="19-1707"/>
    <s v="P071"/>
    <x v="11"/>
    <n v="210"/>
    <n v="70"/>
    <n v="3360"/>
    <n v="1120"/>
    <n v="2240"/>
    <x v="257"/>
    <s v="Creative &amp; Technology"/>
    <n v="9.9471686551317795"/>
    <s v="Neither"/>
    <n v="5"/>
  </r>
  <r>
    <d v="2019-03-04T10:18:19"/>
    <s v="19-4910"/>
    <s v="P031"/>
    <x v="15"/>
    <n v="146"/>
    <n v="73"/>
    <n v="2482"/>
    <n v="1241"/>
    <n v="1241"/>
    <x v="284"/>
    <s v="Facilities &amp; Services"/>
    <n v="8.6625575824723242"/>
    <s v="Neither"/>
    <n v="5"/>
  </r>
  <r>
    <d v="2019-04-11T14:45:59"/>
    <s v="19-3821"/>
    <s v="P026"/>
    <x v="5"/>
    <n v="280"/>
    <n v="70"/>
    <n v="840"/>
    <n v="210"/>
    <n v="630"/>
    <x v="284"/>
    <s v="Facilities &amp; Services"/>
    <n v="8.6625575824723242"/>
    <s v="Neither"/>
    <n v="5"/>
  </r>
  <r>
    <d v="2019-11-24T20:32:54"/>
    <s v="19-4414"/>
    <s v="P037"/>
    <x v="12"/>
    <n v="160"/>
    <n v="80"/>
    <n v="1120"/>
    <n v="560"/>
    <n v="560"/>
    <x v="45"/>
    <s v="Sports &amp; Recreation"/>
    <n v="12.1334991293512"/>
    <s v="Neither"/>
    <n v="5"/>
  </r>
  <r>
    <d v="2021-10-03T11:23:58"/>
    <s v="21-2486"/>
    <s v="P031"/>
    <x v="14"/>
    <n v="146"/>
    <n v="73"/>
    <n v="1752"/>
    <n v="876"/>
    <n v="876"/>
    <x v="200"/>
    <s v="Community &amp; Government"/>
    <n v="12.460490918487697"/>
    <s v="Neither"/>
    <n v="5"/>
  </r>
  <r>
    <d v="2019-02-05T11:46:20"/>
    <s v="19-1516"/>
    <s v="P044"/>
    <x v="5"/>
    <n v="368"/>
    <n v="92"/>
    <n v="1104"/>
    <n v="276"/>
    <n v="828"/>
    <x v="77"/>
    <s v="Facilities &amp; Services"/>
    <n v="12.514998090845811"/>
    <s v="Neither"/>
    <n v="5"/>
  </r>
  <r>
    <d v="2023-02-04T15:59:48"/>
    <s v="23-1542"/>
    <s v="P056"/>
    <x v="4"/>
    <n v="72"/>
    <n v="36"/>
    <n v="144"/>
    <n v="72"/>
    <n v="72"/>
    <x v="42"/>
    <s v="Community &amp; Government"/>
    <n v="10.216282609482219"/>
    <s v="Satisfied"/>
    <n v="10"/>
  </r>
  <r>
    <d v="2023-01-22T05:26:48"/>
    <s v="23-2051"/>
    <s v="P097"/>
    <x v="3"/>
    <n v="92"/>
    <n v="46"/>
    <n v="368"/>
    <n v="184"/>
    <n v="184"/>
    <x v="263"/>
    <s v="Facilities &amp; Services"/>
    <n v="8.1352386075080023"/>
    <s v="Dissatisfied"/>
    <n v="1"/>
  </r>
  <r>
    <d v="2021-03-01T04:50:33"/>
    <s v="21-2646"/>
    <s v="P066"/>
    <x v="19"/>
    <n v="34"/>
    <n v="17"/>
    <n v="646"/>
    <n v="323"/>
    <n v="323"/>
    <x v="240"/>
    <s v="Sports &amp; Recreation"/>
    <n v="12.701325659159139"/>
    <s v="Satisfied"/>
    <n v="10"/>
  </r>
  <r>
    <d v="2019-10-14T00:41:53"/>
    <s v="19-3533"/>
    <s v="P082"/>
    <x v="0"/>
    <n v="312"/>
    <n v="78"/>
    <n v="4680"/>
    <n v="1170"/>
    <n v="3510"/>
    <x v="248"/>
    <s v="Creative &amp; Technology"/>
    <n v="11.130819205617987"/>
    <s v="Neither"/>
    <n v="5"/>
  </r>
  <r>
    <d v="2019-11-13T12:06:33"/>
    <s v="19-4028"/>
    <s v="P046"/>
    <x v="4"/>
    <n v="38"/>
    <n v="19"/>
    <n v="76"/>
    <n v="38"/>
    <n v="38"/>
    <x v="175"/>
    <s v="Creative &amp; Technology"/>
    <n v="13.150536103258979"/>
    <s v="Satisfied"/>
    <n v="10"/>
  </r>
  <r>
    <d v="2020-09-27T18:19:55"/>
    <s v="20-1669"/>
    <s v="P027"/>
    <x v="3"/>
    <n v="140"/>
    <n v="70"/>
    <n v="560"/>
    <n v="280"/>
    <n v="280"/>
    <x v="192"/>
    <s v="Healthcare &amp; Safety"/>
    <n v="8.7741864171993527"/>
    <s v="Satisfied"/>
    <n v="10"/>
  </r>
  <r>
    <d v="2020-09-25T18:13:58"/>
    <s v="20-3339"/>
    <s v="P089"/>
    <x v="7"/>
    <n v="102"/>
    <n v="51"/>
    <n v="1122"/>
    <n v="561"/>
    <n v="561"/>
    <x v="194"/>
    <s v="Community &amp; Government"/>
    <n v="9.879282537628514"/>
    <s v="Neither"/>
    <n v="5"/>
  </r>
  <r>
    <d v="2021-03-23T03:17:12"/>
    <s v="21-4831"/>
    <s v="P083"/>
    <x v="1"/>
    <n v="90"/>
    <n v="45"/>
    <n v="720"/>
    <n v="360"/>
    <n v="360"/>
    <x v="13"/>
    <s v="Sports &amp; Recreation"/>
    <n v="12.163730387337393"/>
    <s v="Neither"/>
    <n v="5"/>
  </r>
  <r>
    <d v="2020-08-04T12:31:12"/>
    <s v="20-3033"/>
    <s v="P095"/>
    <x v="11"/>
    <n v="116"/>
    <n v="29"/>
    <n v="1856"/>
    <n v="464"/>
    <n v="1392"/>
    <x v="139"/>
    <s v="Creative &amp; Technology"/>
    <n v="15.770846827234339"/>
    <s v="Dissatisfied"/>
    <n v="1"/>
  </r>
  <r>
    <d v="2019-08-17T18:49:27"/>
    <s v="19-3253"/>
    <s v="P057"/>
    <x v="16"/>
    <n v="252"/>
    <n v="63"/>
    <n v="2268"/>
    <n v="567"/>
    <n v="1701"/>
    <x v="55"/>
    <s v="Creative &amp; Technology"/>
    <n v="13.765798454641494"/>
    <s v="Neither"/>
    <n v="5"/>
  </r>
  <r>
    <d v="2021-03-03T04:12:37"/>
    <s v="21-4582"/>
    <s v="P005"/>
    <x v="17"/>
    <n v="76"/>
    <n v="19"/>
    <n v="76"/>
    <n v="19"/>
    <n v="57"/>
    <x v="277"/>
    <s v="Sports &amp; Recreation"/>
    <n v="10.01033276255276"/>
    <s v="Neither"/>
    <n v="5"/>
  </r>
  <r>
    <d v="2023-10-23T14:09:29"/>
    <s v="23-4949"/>
    <s v="P057"/>
    <x v="7"/>
    <n v="252"/>
    <n v="63"/>
    <n v="2772"/>
    <n v="693"/>
    <n v="2079"/>
    <x v="95"/>
    <s v="Facilities &amp; Services"/>
    <n v="7.7337149713827413"/>
    <s v="Neither"/>
    <n v="5"/>
  </r>
  <r>
    <d v="2021-03-22T23:55:27"/>
    <s v="21-1504"/>
    <s v="P050"/>
    <x v="0"/>
    <n v="108"/>
    <n v="36"/>
    <n v="1620"/>
    <n v="540"/>
    <n v="1080"/>
    <x v="84"/>
    <s v="Corporate &amp; Professional"/>
    <n v="11.428575823958646"/>
    <s v="Dissatisfied"/>
    <n v="1"/>
  </r>
  <r>
    <d v="2022-10-02T11:36:05"/>
    <s v="22-4541"/>
    <s v="P027"/>
    <x v="16"/>
    <n v="140"/>
    <n v="70"/>
    <n v="1260"/>
    <n v="630"/>
    <n v="630"/>
    <x v="253"/>
    <s v="Facilities &amp; Services"/>
    <n v="11.961761925704458"/>
    <s v="Neither"/>
    <n v="5"/>
  </r>
  <r>
    <d v="2021-05-26T04:28:12"/>
    <s v="21-4279"/>
    <s v="P003"/>
    <x v="4"/>
    <n v="189"/>
    <n v="63"/>
    <n v="378"/>
    <n v="126"/>
    <n v="252"/>
    <x v="53"/>
    <s v="Education"/>
    <n v="13.288482149665386"/>
    <s v="Neither"/>
    <n v="5"/>
  </r>
  <r>
    <d v="2018-11-07T05:11:55"/>
    <s v="18-3343"/>
    <s v="P039"/>
    <x v="13"/>
    <n v="270"/>
    <n v="90"/>
    <n v="2700"/>
    <n v="900"/>
    <n v="1800"/>
    <x v="212"/>
    <s v="Sports &amp; Recreation"/>
    <n v="11.443503623244197"/>
    <s v="Satisfied"/>
    <n v="10"/>
  </r>
  <r>
    <d v="2020-04-05T07:03:55"/>
    <s v="20-3280"/>
    <s v="P027"/>
    <x v="11"/>
    <n v="140"/>
    <n v="70"/>
    <n v="2240"/>
    <n v="1120"/>
    <n v="1120"/>
    <x v="249"/>
    <s v="Corporate &amp; Professional"/>
    <n v="13.397308081757757"/>
    <s v="Neither"/>
    <n v="5"/>
  </r>
  <r>
    <d v="2018-12-14T18:33:17"/>
    <s v="18-3236"/>
    <s v="P007"/>
    <x v="0"/>
    <n v="225"/>
    <n v="75"/>
    <n v="3375"/>
    <n v="1125"/>
    <n v="2250"/>
    <x v="128"/>
    <s v="Healthcare &amp; Safety"/>
    <n v="10.96230865592911"/>
    <s v="Neither"/>
    <n v="5"/>
  </r>
  <r>
    <d v="2019-08-10T03:55:44"/>
    <s v="19-2700"/>
    <s v="P052"/>
    <x v="17"/>
    <n v="352"/>
    <n v="88"/>
    <n v="352"/>
    <n v="88"/>
    <n v="264"/>
    <x v="119"/>
    <s v="Education"/>
    <n v="12.456740895640767"/>
    <s v="Satisfied"/>
    <n v="10"/>
  </r>
  <r>
    <d v="2021-10-01T02:10:06"/>
    <s v="21-3352"/>
    <s v="P023"/>
    <x v="17"/>
    <n v="126"/>
    <n v="42"/>
    <n v="126"/>
    <n v="42"/>
    <n v="84"/>
    <x v="122"/>
    <s v="Creative &amp; Technology"/>
    <n v="11.082295381980092"/>
    <s v="Neither"/>
    <n v="5"/>
  </r>
  <r>
    <d v="2021-05-25T11:01:32"/>
    <s v="21-1858"/>
    <s v="P089"/>
    <x v="3"/>
    <n v="102"/>
    <n v="51"/>
    <n v="408"/>
    <n v="204"/>
    <n v="204"/>
    <x v="46"/>
    <s v="Healthcare &amp; Safety"/>
    <n v="11.36085047138285"/>
    <s v="Satisfied"/>
    <n v="10"/>
  </r>
  <r>
    <d v="2018-09-03T16:11:31"/>
    <s v="18-3767"/>
    <s v="P007"/>
    <x v="13"/>
    <n v="225"/>
    <n v="75"/>
    <n v="2250"/>
    <n v="750"/>
    <n v="1500"/>
    <x v="173"/>
    <s v="Education"/>
    <n v="12.147202500273634"/>
    <s v="Neither"/>
    <n v="5"/>
  </r>
  <r>
    <d v="2018-08-15T20:39:48"/>
    <s v="18-3067"/>
    <s v="P097"/>
    <x v="2"/>
    <n v="92"/>
    <n v="46"/>
    <n v="1196"/>
    <n v="598"/>
    <n v="598"/>
    <x v="189"/>
    <s v="Community &amp; Government"/>
    <n v="12.954911944548844"/>
    <s v="Neither"/>
    <n v="5"/>
  </r>
  <r>
    <d v="2022-06-24T10:06:24"/>
    <s v="22-1618"/>
    <s v="P002"/>
    <x v="0"/>
    <n v="144"/>
    <n v="36"/>
    <n v="2160"/>
    <n v="540"/>
    <n v="1620"/>
    <x v="127"/>
    <s v="Facilities &amp; Services"/>
    <n v="11.644564584314265"/>
    <s v="Neither"/>
    <n v="5"/>
  </r>
  <r>
    <d v="2021-06-22T20:54:16"/>
    <s v="21-1605"/>
    <s v="P054"/>
    <x v="19"/>
    <n v="144"/>
    <n v="48"/>
    <n v="2736"/>
    <n v="912"/>
    <n v="1824"/>
    <x v="216"/>
    <s v="Corporate &amp; Professional"/>
    <n v="9.1057685343725456"/>
    <s v="Satisfied"/>
    <n v="10"/>
  </r>
  <r>
    <d v="2017-12-31T04:11:55"/>
    <s v="17-2796"/>
    <s v="P092"/>
    <x v="6"/>
    <n v="124"/>
    <n v="62"/>
    <n v="744"/>
    <n v="372"/>
    <n v="372"/>
    <x v="129"/>
    <s v="Community &amp; Government"/>
    <n v="10.813269600021069"/>
    <s v="Dissatisfied"/>
    <n v="1"/>
  </r>
  <r>
    <d v="2021-02-13T23:55:30"/>
    <s v="21-1762"/>
    <s v="P019"/>
    <x v="12"/>
    <n v="308"/>
    <n v="77"/>
    <n v="2156"/>
    <n v="539"/>
    <n v="1617"/>
    <x v="102"/>
    <s v="Facilities &amp; Services"/>
    <n v="9.8928038181361391"/>
    <s v="Neither"/>
    <n v="5"/>
  </r>
  <r>
    <d v="2022-05-09T06:27:14"/>
    <s v="22-2130"/>
    <s v="P062"/>
    <x v="11"/>
    <n v="348"/>
    <n v="87"/>
    <n v="5568"/>
    <n v="1392"/>
    <n v="4176"/>
    <x v="163"/>
    <s v="Corporate &amp; Professional"/>
    <n v="14.554851510602212"/>
    <s v="Neither"/>
    <n v="5"/>
  </r>
  <r>
    <d v="2022-01-29T16:28:34"/>
    <s v="22-1117"/>
    <s v="P061"/>
    <x v="6"/>
    <n v="264"/>
    <n v="88"/>
    <n v="1584"/>
    <n v="528"/>
    <n v="1056"/>
    <x v="59"/>
    <s v="Creative &amp; Technology"/>
    <n v="10.980884286450312"/>
    <s v="Neither"/>
    <n v="5"/>
  </r>
  <r>
    <d v="2020-02-24T01:15:17"/>
    <s v="20-4336"/>
    <s v="P087"/>
    <x v="8"/>
    <n v="176"/>
    <n v="88"/>
    <n v="2464"/>
    <n v="1232"/>
    <n v="1232"/>
    <x v="10"/>
    <s v="Education"/>
    <n v="12.957303170959879"/>
    <s v="Satisfied"/>
    <n v="10"/>
  </r>
  <r>
    <d v="2020-03-01T05:18:19"/>
    <s v="20-1460"/>
    <s v="P002"/>
    <x v="19"/>
    <n v="144"/>
    <n v="36"/>
    <n v="2736"/>
    <n v="684"/>
    <n v="2052"/>
    <x v="30"/>
    <s v="Corporate &amp; Professional"/>
    <n v="12.844063202784817"/>
    <s v="Dissatisfied"/>
    <n v="1"/>
  </r>
  <r>
    <d v="2020-05-16T06:16:08"/>
    <s v="20-2735"/>
    <s v="P046"/>
    <x v="1"/>
    <n v="38"/>
    <n v="19"/>
    <n v="304"/>
    <n v="152"/>
    <n v="152"/>
    <x v="53"/>
    <s v="Education"/>
    <n v="13.288482149665386"/>
    <s v="Neither"/>
    <n v="5"/>
  </r>
  <r>
    <d v="2018-09-24T07:23:22"/>
    <s v="18-2062"/>
    <s v="P087"/>
    <x v="5"/>
    <n v="176"/>
    <n v="88"/>
    <n v="528"/>
    <n v="264"/>
    <n v="264"/>
    <x v="55"/>
    <s v="Creative &amp; Technology"/>
    <n v="13.765798454641494"/>
    <s v="Neither"/>
    <n v="5"/>
  </r>
  <r>
    <d v="2022-05-15T08:29:49"/>
    <s v="22-4643"/>
    <s v="P046"/>
    <x v="9"/>
    <n v="38"/>
    <n v="19"/>
    <n v="760"/>
    <n v="380"/>
    <n v="380"/>
    <x v="221"/>
    <s v="Community &amp; Government"/>
    <n v="13.611804647345796"/>
    <s v="Satisfied"/>
    <n v="10"/>
  </r>
  <r>
    <d v="2018-11-15T00:18:51"/>
    <s v="18-2747"/>
    <s v="P047"/>
    <x v="19"/>
    <n v="72"/>
    <n v="36"/>
    <n v="1368"/>
    <n v="684"/>
    <n v="684"/>
    <x v="238"/>
    <s v="Education"/>
    <n v="13.275355576494196"/>
    <s v="Satisfied"/>
    <n v="10"/>
  </r>
  <r>
    <d v="2020-12-07T19:06:43"/>
    <s v="20-1251"/>
    <s v="P020"/>
    <x v="10"/>
    <n v="180"/>
    <n v="45"/>
    <n v="900"/>
    <n v="225"/>
    <n v="675"/>
    <x v="190"/>
    <s v="Corporate &amp; Professional"/>
    <n v="15.478388039566896"/>
    <s v="Dissatisfied"/>
    <n v="1"/>
  </r>
  <r>
    <d v="2022-01-21T15:36:21"/>
    <s v="22-3084"/>
    <s v="P049"/>
    <x v="6"/>
    <n v="356"/>
    <n v="89"/>
    <n v="2136"/>
    <n v="534"/>
    <n v="1602"/>
    <x v="9"/>
    <s v="Sports &amp; Recreation"/>
    <n v="15.602184182549776"/>
    <s v="Neither"/>
    <n v="5"/>
  </r>
  <r>
    <d v="2019-04-11T05:29:53"/>
    <s v="19-4019"/>
    <s v="P045"/>
    <x v="14"/>
    <n v="100"/>
    <n v="25"/>
    <n v="1200"/>
    <n v="300"/>
    <n v="900"/>
    <x v="32"/>
    <s v="Facilities &amp; Services"/>
    <n v="11.410471033945758"/>
    <s v="Dissatisfied"/>
    <n v="1"/>
  </r>
  <r>
    <d v="2019-12-14T12:11:46"/>
    <s v="19-4879"/>
    <s v="P052"/>
    <x v="10"/>
    <n v="352"/>
    <n v="88"/>
    <n v="1760"/>
    <n v="440"/>
    <n v="1320"/>
    <x v="237"/>
    <s v="Creative &amp; Technology"/>
    <n v="11.485823039755857"/>
    <s v="Satisfied"/>
    <n v="10"/>
  </r>
  <r>
    <d v="2021-10-27T10:03:36"/>
    <s v="21-1040"/>
    <s v="P042"/>
    <x v="8"/>
    <n v="50"/>
    <n v="25"/>
    <n v="700"/>
    <n v="350"/>
    <n v="350"/>
    <x v="57"/>
    <s v="Facilities &amp; Services"/>
    <n v="12.177709716438097"/>
    <s v="Neither"/>
    <n v="5"/>
  </r>
  <r>
    <d v="2020-03-11T03:09:37"/>
    <s v="20-2869"/>
    <s v="P047"/>
    <x v="12"/>
    <n v="72"/>
    <n v="36"/>
    <n v="504"/>
    <n v="252"/>
    <n v="252"/>
    <x v="233"/>
    <s v="Education"/>
    <n v="9.5176115401380308"/>
    <s v="Neither"/>
    <n v="5"/>
  </r>
  <r>
    <d v="2019-10-22T02:38:40"/>
    <s v="19-1441"/>
    <s v="P096"/>
    <x v="16"/>
    <n v="144"/>
    <n v="48"/>
    <n v="1296"/>
    <n v="432"/>
    <n v="864"/>
    <x v="37"/>
    <s v="Corporate &amp; Professional"/>
    <n v="11.749038185128619"/>
    <s v="Satisfied"/>
    <n v="10"/>
  </r>
  <r>
    <d v="2023-02-04T02:19:27"/>
    <s v="23-3509"/>
    <s v="P025"/>
    <x v="5"/>
    <n v="210"/>
    <n v="70"/>
    <n v="630"/>
    <n v="210"/>
    <n v="420"/>
    <x v="145"/>
    <s v="Sports &amp; Recreation"/>
    <n v="7.9963422143733238"/>
    <s v="Satisfied"/>
    <n v="10"/>
  </r>
  <r>
    <d v="2018-08-19T22:09:15"/>
    <s v="18-3425"/>
    <s v="P042"/>
    <x v="17"/>
    <n v="50"/>
    <n v="25"/>
    <n v="50"/>
    <n v="25"/>
    <n v="25"/>
    <x v="266"/>
    <s v="Corporate &amp; Professional"/>
    <n v="9.8776671534059073"/>
    <s v="Dissatisfied"/>
    <n v="1"/>
  </r>
  <r>
    <d v="2018-12-25T21:00:56"/>
    <s v="18-4888"/>
    <s v="P074"/>
    <x v="19"/>
    <n v="352"/>
    <n v="88"/>
    <n v="6688"/>
    <n v="1672"/>
    <n v="5016"/>
    <x v="42"/>
    <s v="Community &amp; Government"/>
    <n v="10.216282609482219"/>
    <s v="Neither"/>
    <n v="5"/>
  </r>
  <r>
    <d v="2018-09-26T18:05:15"/>
    <s v="18-3842"/>
    <s v="P089"/>
    <x v="8"/>
    <n v="102"/>
    <n v="51"/>
    <n v="1428"/>
    <n v="714"/>
    <n v="714"/>
    <x v="48"/>
    <s v="Creative &amp; Technology"/>
    <n v="11.939773463335372"/>
    <s v="Neither"/>
    <n v="5"/>
  </r>
  <r>
    <d v="2022-01-10T05:49:44"/>
    <s v="22-3520"/>
    <s v="P055"/>
    <x v="4"/>
    <n v="360"/>
    <n v="90"/>
    <n v="720"/>
    <n v="180"/>
    <n v="540"/>
    <x v="114"/>
    <s v="Healthcare &amp; Safety"/>
    <n v="14.423322704129969"/>
    <s v="Dissatisfied"/>
    <n v="1"/>
  </r>
  <r>
    <d v="2018-11-22T23:57:44"/>
    <s v="18-3594"/>
    <s v="P037"/>
    <x v="7"/>
    <n v="160"/>
    <n v="80"/>
    <n v="1760"/>
    <n v="880"/>
    <n v="880"/>
    <x v="10"/>
    <s v="Education"/>
    <n v="12.957303170959879"/>
    <s v="Neither"/>
    <n v="5"/>
  </r>
  <r>
    <d v="2020-08-30T06:34:25"/>
    <s v="20-2365"/>
    <s v="P048"/>
    <x v="5"/>
    <n v="252"/>
    <n v="63"/>
    <n v="756"/>
    <n v="189"/>
    <n v="567"/>
    <x v="189"/>
    <s v="Community &amp; Government"/>
    <n v="12.954911944548844"/>
    <s v="Satisfied"/>
    <n v="10"/>
  </r>
  <r>
    <d v="2022-01-01T03:52:49"/>
    <s v="22-3170"/>
    <s v="P043"/>
    <x v="12"/>
    <n v="184"/>
    <n v="92"/>
    <n v="1288"/>
    <n v="644"/>
    <n v="644"/>
    <x v="183"/>
    <s v="Creative &amp; Technology"/>
    <n v="7.8974070387684714"/>
    <s v="Satisfied"/>
    <n v="10"/>
  </r>
  <r>
    <d v="2019-12-21T02:55:07"/>
    <s v="19-2041"/>
    <s v="P015"/>
    <x v="14"/>
    <n v="176"/>
    <n v="88"/>
    <n v="2112"/>
    <n v="1056"/>
    <n v="1056"/>
    <x v="248"/>
    <s v="Creative &amp; Technology"/>
    <n v="11.130819205617987"/>
    <s v="Neither"/>
    <n v="5"/>
  </r>
  <r>
    <d v="2018-12-31T16:19:40"/>
    <s v="18-2953"/>
    <s v="P054"/>
    <x v="11"/>
    <n v="144"/>
    <n v="48"/>
    <n v="2304"/>
    <n v="768"/>
    <n v="1536"/>
    <x v="0"/>
    <s v="Corporate &amp; Professional"/>
    <n v="10.278063859084313"/>
    <s v="Neither"/>
    <n v="5"/>
  </r>
  <r>
    <d v="2020-05-29T00:32:03"/>
    <s v="20-2470"/>
    <s v="P032"/>
    <x v="8"/>
    <n v="92"/>
    <n v="46"/>
    <n v="1288"/>
    <n v="644"/>
    <n v="644"/>
    <x v="148"/>
    <s v="Healthcare &amp; Safety"/>
    <n v="14.845213075061906"/>
    <s v="Neither"/>
    <n v="5"/>
  </r>
  <r>
    <d v="2018-03-20T16:04:33"/>
    <s v="18-2892"/>
    <s v="P076"/>
    <x v="6"/>
    <n v="94"/>
    <n v="47"/>
    <n v="564"/>
    <n v="282"/>
    <n v="282"/>
    <x v="1"/>
    <s v="Corporate &amp; Professional"/>
    <n v="13.299525114817991"/>
    <s v="Dissatisfied"/>
    <n v="1"/>
  </r>
  <r>
    <d v="2019-09-08T02:49:36"/>
    <s v="19-1606"/>
    <s v="P025"/>
    <x v="17"/>
    <n v="210"/>
    <n v="70"/>
    <n v="210"/>
    <n v="70"/>
    <n v="140"/>
    <x v="293"/>
    <s v="Creative &amp; Technology"/>
    <n v="7.9096461399190003"/>
    <s v="Satisfied"/>
    <n v="10"/>
  </r>
  <r>
    <d v="2022-10-01T05:47:22"/>
    <s v="22-1681"/>
    <s v="P023"/>
    <x v="3"/>
    <n v="126"/>
    <n v="42"/>
    <n v="504"/>
    <n v="168"/>
    <n v="336"/>
    <x v="184"/>
    <s v="Community &amp; Government"/>
    <n v="8.8169309002713945"/>
    <s v="Dissatisfied"/>
    <n v="1"/>
  </r>
  <r>
    <d v="2020-07-27T21:49:43"/>
    <s v="20-1363"/>
    <s v="P015"/>
    <x v="1"/>
    <n v="176"/>
    <n v="88"/>
    <n v="1408"/>
    <n v="704"/>
    <n v="704"/>
    <x v="240"/>
    <s v="Sports &amp; Recreation"/>
    <n v="12.701325659159139"/>
    <s v="Dissatisfied"/>
    <n v="1"/>
  </r>
  <r>
    <d v="2019-08-21T02:23:59"/>
    <s v="19-4402"/>
    <s v="P073"/>
    <x v="5"/>
    <n v="48"/>
    <n v="24"/>
    <n v="144"/>
    <n v="72"/>
    <n v="72"/>
    <x v="54"/>
    <s v="Community &amp; Government"/>
    <n v="13.890275354050972"/>
    <s v="Neither"/>
    <n v="5"/>
  </r>
  <r>
    <d v="2019-05-02T20:40:47"/>
    <s v="19-4488"/>
    <s v="P009"/>
    <x v="10"/>
    <n v="255"/>
    <n v="85"/>
    <n v="1275"/>
    <n v="425"/>
    <n v="850"/>
    <x v="285"/>
    <s v="Healthcare &amp; Safety"/>
    <n v="13.2671922973198"/>
    <s v="Dissatisfied"/>
    <n v="1"/>
  </r>
  <r>
    <d v="2017-06-05T06:40:55"/>
    <s v="17-1458"/>
    <s v="P090"/>
    <x v="0"/>
    <n v="57"/>
    <n v="19"/>
    <n v="855"/>
    <n v="285"/>
    <n v="570"/>
    <x v="157"/>
    <s v="Corporate &amp; Professional"/>
    <n v="13.917704159139552"/>
    <s v="Satisfied"/>
    <n v="10"/>
  </r>
  <r>
    <d v="2018-12-25T06:21:46"/>
    <s v="18-1248"/>
    <s v="P003"/>
    <x v="19"/>
    <n v="189"/>
    <n v="63"/>
    <n v="3591"/>
    <n v="1197"/>
    <n v="2394"/>
    <x v="282"/>
    <s v="Community &amp; Government"/>
    <n v="14.157909724393564"/>
    <s v="Neither"/>
    <n v="5"/>
  </r>
  <r>
    <d v="2017-11-03T15:35:41"/>
    <s v="17-1955"/>
    <s v="P032"/>
    <x v="8"/>
    <n v="92"/>
    <n v="46"/>
    <n v="1288"/>
    <n v="644"/>
    <n v="644"/>
    <x v="204"/>
    <s v="Corporate &amp; Professional"/>
    <n v="10.248947386022252"/>
    <s v="Satisfied"/>
    <n v="10"/>
  </r>
  <r>
    <d v="2019-03-01T07:07:54"/>
    <s v="19-4672"/>
    <s v="P012"/>
    <x v="6"/>
    <n v="30"/>
    <n v="15"/>
    <n v="180"/>
    <n v="90"/>
    <n v="90"/>
    <x v="140"/>
    <s v="Education"/>
    <n v="13.332534707865639"/>
    <s v="Neither"/>
    <n v="5"/>
  </r>
  <r>
    <d v="2018-10-10T21:38:26"/>
    <s v="18-4410"/>
    <s v="P002"/>
    <x v="17"/>
    <n v="144"/>
    <n v="36"/>
    <n v="144"/>
    <n v="36"/>
    <n v="108"/>
    <x v="100"/>
    <s v="Sports &amp; Recreation"/>
    <n v="10.132922049221957"/>
    <s v="Neither"/>
    <n v="5"/>
  </r>
  <r>
    <d v="2018-11-20T13:30:57"/>
    <s v="18-4717"/>
    <s v="P041"/>
    <x v="2"/>
    <n v="144"/>
    <n v="36"/>
    <n v="1872"/>
    <n v="468"/>
    <n v="1404"/>
    <x v="66"/>
    <s v="Facilities &amp; Services"/>
    <n v="12.172922939334034"/>
    <s v="Dissatisfied"/>
    <n v="1"/>
  </r>
  <r>
    <d v="2020-09-12T08:33:36"/>
    <s v="20-4968"/>
    <s v="P061"/>
    <x v="12"/>
    <n v="264"/>
    <n v="88"/>
    <n v="1848"/>
    <n v="616"/>
    <n v="1232"/>
    <x v="9"/>
    <s v="Sports &amp; Recreation"/>
    <n v="15.602184182549776"/>
    <s v="Neither"/>
    <n v="5"/>
  </r>
  <r>
    <d v="2020-12-06T06:46:51"/>
    <s v="20-4185"/>
    <s v="P030"/>
    <x v="7"/>
    <n v="81"/>
    <n v="27"/>
    <n v="891"/>
    <n v="297"/>
    <n v="594"/>
    <x v="262"/>
    <s v="Healthcare &amp; Safety"/>
    <n v="13.00553764131261"/>
    <s v="Neither"/>
    <n v="5"/>
  </r>
  <r>
    <d v="2019-03-23T15:54:04"/>
    <s v="19-2550"/>
    <s v="P043"/>
    <x v="9"/>
    <n v="184"/>
    <n v="92"/>
    <n v="3680"/>
    <n v="1840"/>
    <n v="1840"/>
    <x v="224"/>
    <s v="Creative &amp; Technology"/>
    <n v="11.943192562152261"/>
    <s v="Satisfied"/>
    <n v="10"/>
  </r>
  <r>
    <d v="2020-12-07T10:01:35"/>
    <s v="20-4521"/>
    <s v="P077"/>
    <x v="4"/>
    <n v="162"/>
    <n v="54"/>
    <n v="324"/>
    <n v="108"/>
    <n v="216"/>
    <x v="149"/>
    <s v="Facilities &amp; Services"/>
    <n v="11.311040680082275"/>
    <s v="Satisfied"/>
    <n v="10"/>
  </r>
  <r>
    <d v="2021-05-23T09:02:20"/>
    <s v="21-2946"/>
    <s v="P038"/>
    <x v="13"/>
    <n v="240"/>
    <n v="80"/>
    <n v="2400"/>
    <n v="800"/>
    <n v="1600"/>
    <x v="71"/>
    <s v="Corporate &amp; Professional"/>
    <n v="11.274864741138284"/>
    <s v="Neither"/>
    <n v="5"/>
  </r>
  <r>
    <d v="2021-01-23T19:14:34"/>
    <s v="21-3838"/>
    <s v="P075"/>
    <x v="13"/>
    <n v="160"/>
    <n v="80"/>
    <n v="1600"/>
    <n v="800"/>
    <n v="800"/>
    <x v="7"/>
    <s v="Healthcare &amp; Safety"/>
    <n v="11.048444680405545"/>
    <s v="Neither"/>
    <n v="5"/>
  </r>
  <r>
    <d v="2021-02-18T23:27:09"/>
    <s v="21-2046"/>
    <s v="P082"/>
    <x v="6"/>
    <n v="312"/>
    <n v="78"/>
    <n v="1872"/>
    <n v="468"/>
    <n v="1404"/>
    <x v="147"/>
    <s v="Corporate &amp; Professional"/>
    <n v="9.629298039722805"/>
    <s v="Neither"/>
    <n v="5"/>
  </r>
  <r>
    <d v="2021-05-23T15:19:28"/>
    <s v="21-1441"/>
    <s v="P063"/>
    <x v="9"/>
    <n v="261"/>
    <n v="87"/>
    <n v="5220"/>
    <n v="1740"/>
    <n v="3480"/>
    <x v="287"/>
    <s v="Community &amp; Government"/>
    <n v="14.412865837260112"/>
    <s v="Dissatisfied"/>
    <n v="1"/>
  </r>
  <r>
    <d v="2018-09-16T15:46:18"/>
    <s v="18-3294"/>
    <s v="P070"/>
    <x v="17"/>
    <n v="84"/>
    <n v="21"/>
    <n v="84"/>
    <n v="21"/>
    <n v="63"/>
    <x v="30"/>
    <s v="Corporate &amp; Professional"/>
    <n v="12.844063202784817"/>
    <s v="Dissatisfied"/>
    <n v="1"/>
  </r>
  <r>
    <d v="2020-09-18T14:09:44"/>
    <s v="20-1571"/>
    <s v="P064"/>
    <x v="13"/>
    <n v="231"/>
    <n v="77"/>
    <n v="2310"/>
    <n v="770"/>
    <n v="1540"/>
    <x v="139"/>
    <s v="Creative &amp; Technology"/>
    <n v="15.770846827234339"/>
    <s v="Satisfied"/>
    <n v="10"/>
  </r>
  <r>
    <d v="2019-12-18T07:36:06"/>
    <s v="19-1616"/>
    <s v="P082"/>
    <x v="1"/>
    <n v="312"/>
    <n v="78"/>
    <n v="2496"/>
    <n v="624"/>
    <n v="1872"/>
    <x v="282"/>
    <s v="Community &amp; Government"/>
    <n v="14.157909724393564"/>
    <s v="Neither"/>
    <n v="5"/>
  </r>
  <r>
    <d v="2019-07-12T05:52:35"/>
    <s v="19-4703"/>
    <s v="P053"/>
    <x v="3"/>
    <n v="50"/>
    <n v="25"/>
    <n v="200"/>
    <n v="100"/>
    <n v="100"/>
    <x v="106"/>
    <s v="Facilities &amp; Services"/>
    <n v="13.518413464873573"/>
    <s v="Dissatisfied"/>
    <n v="1"/>
  </r>
  <r>
    <d v="2021-05-23T04:51:15"/>
    <s v="21-1977"/>
    <s v="P068"/>
    <x v="2"/>
    <n v="300"/>
    <n v="75"/>
    <n v="3900"/>
    <n v="975"/>
    <n v="2925"/>
    <x v="209"/>
    <s v="Facilities &amp; Services"/>
    <n v="10.956589836772277"/>
    <s v="Neither"/>
    <n v="5"/>
  </r>
  <r>
    <d v="2019-10-12T13:24:13"/>
    <s v="19-4276"/>
    <s v="P026"/>
    <x v="18"/>
    <n v="280"/>
    <n v="70"/>
    <n v="5040"/>
    <n v="1260"/>
    <n v="3780"/>
    <x v="253"/>
    <s v="Facilities &amp; Services"/>
    <n v="11.961761925704458"/>
    <s v="Dissatisfied"/>
    <n v="1"/>
  </r>
  <r>
    <d v="2021-02-21T13:43:15"/>
    <s v="21-1701"/>
    <s v="P086"/>
    <x v="9"/>
    <n v="352"/>
    <n v="88"/>
    <n v="7040"/>
    <n v="1760"/>
    <n v="5280"/>
    <x v="145"/>
    <s v="Sports &amp; Recreation"/>
    <n v="7.9963422143733238"/>
    <s v="Neither"/>
    <n v="5"/>
  </r>
  <r>
    <d v="2020-09-16T18:45:02"/>
    <s v="20-2074"/>
    <s v="P064"/>
    <x v="13"/>
    <n v="231"/>
    <n v="77"/>
    <n v="2310"/>
    <n v="770"/>
    <n v="1540"/>
    <x v="137"/>
    <s v="Facilities &amp; Services"/>
    <n v="15.861056998489449"/>
    <s v="Neither"/>
    <n v="5"/>
  </r>
  <r>
    <d v="2021-12-12T21:36:44"/>
    <s v="21-1550"/>
    <s v="P055"/>
    <x v="5"/>
    <n v="360"/>
    <n v="90"/>
    <n v="1080"/>
    <n v="270"/>
    <n v="810"/>
    <x v="22"/>
    <s v="Sports &amp; Recreation"/>
    <n v="9.7467096260695598"/>
    <s v="Neither"/>
    <n v="5"/>
  </r>
  <r>
    <d v="2022-02-07T11:38:32"/>
    <s v="22-1497"/>
    <s v="P046"/>
    <x v="17"/>
    <n v="38"/>
    <n v="19"/>
    <n v="38"/>
    <n v="19"/>
    <n v="19"/>
    <x v="36"/>
    <s v="Creative &amp; Technology"/>
    <n v="8.1085102757869372"/>
    <s v="Neither"/>
    <n v="5"/>
  </r>
  <r>
    <d v="2021-11-18T07:21:41"/>
    <s v="21-3314"/>
    <s v="P059"/>
    <x v="9"/>
    <n v="267"/>
    <n v="89"/>
    <n v="5340"/>
    <n v="1780"/>
    <n v="3560"/>
    <x v="111"/>
    <s v="Sports &amp; Recreation"/>
    <n v="12.342715162719054"/>
    <s v="Neither"/>
    <n v="5"/>
  </r>
  <r>
    <d v="2021-08-19T16:43:49"/>
    <s v="21-2290"/>
    <s v="P066"/>
    <x v="5"/>
    <n v="34"/>
    <n v="17"/>
    <n v="102"/>
    <n v="51"/>
    <n v="51"/>
    <x v="169"/>
    <s v="Healthcare &amp; Safety"/>
    <n v="14.341195386574373"/>
    <s v="Dissatisfied"/>
    <n v="1"/>
  </r>
  <r>
    <d v="2017-12-16T07:47:06"/>
    <s v="17-4367"/>
    <s v="P081"/>
    <x v="6"/>
    <n v="50"/>
    <n v="25"/>
    <n v="300"/>
    <n v="150"/>
    <n v="150"/>
    <x v="194"/>
    <s v="Community &amp; Government"/>
    <n v="9.879282537628514"/>
    <s v="Neither"/>
    <n v="5"/>
  </r>
  <r>
    <d v="2019-11-26T12:32:36"/>
    <s v="19-1408"/>
    <s v="P024"/>
    <x v="5"/>
    <n v="66"/>
    <n v="33"/>
    <n v="198"/>
    <n v="99"/>
    <n v="99"/>
    <x v="14"/>
    <s v="Creative &amp; Technology"/>
    <n v="13.45980057156361"/>
    <s v="Neither"/>
    <n v="5"/>
  </r>
  <r>
    <d v="2019-04-19T08:29:57"/>
    <s v="19-1991"/>
    <s v="P093"/>
    <x v="3"/>
    <n v="384"/>
    <n v="96"/>
    <n v="1536"/>
    <n v="384"/>
    <n v="1152"/>
    <x v="199"/>
    <s v="Healthcare &amp; Safety"/>
    <n v="14.460020532456038"/>
    <s v="Satisfied"/>
    <n v="10"/>
  </r>
  <r>
    <d v="2021-03-25T11:31:39"/>
    <s v="21-1056"/>
    <s v="P005"/>
    <x v="8"/>
    <n v="76"/>
    <n v="19"/>
    <n v="1064"/>
    <n v="266"/>
    <n v="798"/>
    <x v="219"/>
    <s v="Facilities &amp; Services"/>
    <n v="11.289144410898391"/>
    <s v="Dissatisfied"/>
    <n v="1"/>
  </r>
  <r>
    <d v="2020-08-22T09:59:43"/>
    <s v="20-2943"/>
    <s v="P032"/>
    <x v="15"/>
    <n v="92"/>
    <n v="46"/>
    <n v="1564"/>
    <n v="782"/>
    <n v="782"/>
    <x v="90"/>
    <s v="Healthcare &amp; Safety"/>
    <n v="7.0114620475168028"/>
    <s v="Dissatisfied"/>
    <n v="1"/>
  </r>
  <r>
    <d v="2020-07-31T00:01:45"/>
    <s v="20-3434"/>
    <s v="P061"/>
    <x v="19"/>
    <n v="264"/>
    <n v="88"/>
    <n v="5016"/>
    <n v="1672"/>
    <n v="3344"/>
    <x v="217"/>
    <s v="Education"/>
    <n v="11.862005526237752"/>
    <s v="Neither"/>
    <n v="5"/>
  </r>
  <r>
    <d v="2021-07-29T16:31:10"/>
    <s v="21-1619"/>
    <s v="P059"/>
    <x v="8"/>
    <n v="267"/>
    <n v="89"/>
    <n v="3738"/>
    <n v="1246"/>
    <n v="2492"/>
    <x v="207"/>
    <s v="Education"/>
    <n v="11.779256317174871"/>
    <s v="Dissatisfied"/>
    <n v="1"/>
  </r>
  <r>
    <d v="2021-10-24T09:27:49"/>
    <s v="21-3888"/>
    <s v="P078"/>
    <x v="0"/>
    <n v="225"/>
    <n v="75"/>
    <n v="3375"/>
    <n v="1125"/>
    <n v="2250"/>
    <x v="86"/>
    <s v="Community &amp; Government"/>
    <n v="12.758430621858414"/>
    <s v="Satisfied"/>
    <n v="10"/>
  </r>
  <r>
    <d v="2019-08-20T07:42:28"/>
    <s v="19-3441"/>
    <s v="P029"/>
    <x v="3"/>
    <n v="300"/>
    <n v="75"/>
    <n v="1200"/>
    <n v="300"/>
    <n v="900"/>
    <x v="34"/>
    <s v="Sports &amp; Recreation"/>
    <n v="11.406233913305266"/>
    <s v="Satisfied"/>
    <n v="10"/>
  </r>
  <r>
    <d v="2019-06-22T15:16:09"/>
    <s v="19-4203"/>
    <s v="P002"/>
    <x v="10"/>
    <n v="144"/>
    <n v="36"/>
    <n v="720"/>
    <n v="180"/>
    <n v="540"/>
    <x v="148"/>
    <s v="Healthcare &amp; Safety"/>
    <n v="14.845213075061906"/>
    <s v="Dissatisfied"/>
    <n v="1"/>
  </r>
  <r>
    <d v="2020-10-11T12:26:58"/>
    <s v="20-2604"/>
    <s v="P042"/>
    <x v="8"/>
    <n v="50"/>
    <n v="25"/>
    <n v="700"/>
    <n v="350"/>
    <n v="350"/>
    <x v="187"/>
    <s v="Creative &amp; Technology"/>
    <n v="13.259563298324382"/>
    <s v="Neither"/>
    <n v="5"/>
  </r>
  <r>
    <d v="2020-11-13T01:54:41"/>
    <s v="20-1078"/>
    <s v="P089"/>
    <x v="1"/>
    <n v="102"/>
    <n v="51"/>
    <n v="816"/>
    <n v="408"/>
    <n v="408"/>
    <x v="197"/>
    <s v="Community &amp; Government"/>
    <n v="10.163794912095831"/>
    <s v="Neither"/>
    <n v="5"/>
  </r>
  <r>
    <d v="2019-12-12T10:59:02"/>
    <s v="19-2495"/>
    <s v="P032"/>
    <x v="0"/>
    <n v="92"/>
    <n v="46"/>
    <n v="1380"/>
    <n v="690"/>
    <n v="690"/>
    <x v="156"/>
    <s v="Healthcare &amp; Safety"/>
    <n v="12.801144805697081"/>
    <s v="Neither"/>
    <n v="5"/>
  </r>
  <r>
    <d v="2019-09-19T16:19:27"/>
    <s v="19-4286"/>
    <s v="P048"/>
    <x v="0"/>
    <n v="252"/>
    <n v="63"/>
    <n v="3780"/>
    <n v="945"/>
    <n v="2835"/>
    <x v="60"/>
    <s v="Creative &amp; Technology"/>
    <n v="15.556812309269255"/>
    <s v="Neither"/>
    <n v="5"/>
  </r>
  <r>
    <d v="2020-03-16T13:05:00"/>
    <s v="20-2990"/>
    <s v="P064"/>
    <x v="2"/>
    <n v="231"/>
    <n v="77"/>
    <n v="3003"/>
    <n v="1001"/>
    <n v="2002"/>
    <x v="288"/>
    <s v="Sports &amp; Recreation"/>
    <n v="10.78374703625888"/>
    <s v="Neither"/>
    <n v="5"/>
  </r>
  <r>
    <d v="2022-03-15T13:47:22"/>
    <s v="22-1867"/>
    <s v="P019"/>
    <x v="18"/>
    <n v="308"/>
    <n v="77"/>
    <n v="5544"/>
    <n v="1386"/>
    <n v="4158"/>
    <x v="233"/>
    <s v="Education"/>
    <n v="9.5176115401380308"/>
    <s v="Neither"/>
    <n v="5"/>
  </r>
  <r>
    <d v="2018-11-25T23:06:10"/>
    <s v="18-3882"/>
    <s v="P086"/>
    <x v="11"/>
    <n v="352"/>
    <n v="88"/>
    <n v="5632"/>
    <n v="1408"/>
    <n v="4224"/>
    <x v="14"/>
    <s v="Creative &amp; Technology"/>
    <n v="13.45980057156361"/>
    <s v="Neither"/>
    <n v="5"/>
  </r>
  <r>
    <d v="2018-09-12T04:30:30"/>
    <s v="18-4050"/>
    <s v="P016"/>
    <x v="3"/>
    <n v="110"/>
    <n v="55"/>
    <n v="440"/>
    <n v="220"/>
    <n v="220"/>
    <x v="181"/>
    <s v="Sports &amp; Recreation"/>
    <n v="11.072271050116964"/>
    <s v="Satisfied"/>
    <n v="10"/>
  </r>
  <r>
    <d v="2022-04-20T13:47:54"/>
    <s v="22-4873"/>
    <s v="P086"/>
    <x v="0"/>
    <n v="352"/>
    <n v="88"/>
    <n v="5280"/>
    <n v="1320"/>
    <n v="3960"/>
    <x v="269"/>
    <s v="Corporate &amp; Professional"/>
    <n v="10.585251392347548"/>
    <s v="Satisfied"/>
    <n v="10"/>
  </r>
  <r>
    <d v="2020-10-17T07:01:49"/>
    <s v="20-1727"/>
    <s v="P024"/>
    <x v="15"/>
    <n v="66"/>
    <n v="33"/>
    <n v="1122"/>
    <n v="561"/>
    <n v="561"/>
    <x v="68"/>
    <s v="Sports &amp; Recreation"/>
    <n v="12.200533931675887"/>
    <s v="Satisfied"/>
    <n v="10"/>
  </r>
  <r>
    <d v="2020-04-12T06:46:15"/>
    <s v="20-1860"/>
    <s v="P028"/>
    <x v="2"/>
    <n v="156"/>
    <n v="78"/>
    <n v="2028"/>
    <n v="1014"/>
    <n v="1014"/>
    <x v="10"/>
    <s v="Education"/>
    <n v="12.957303170959879"/>
    <s v="Satisfied"/>
    <n v="10"/>
  </r>
  <r>
    <d v="2019-10-04T03:17:52"/>
    <s v="19-4198"/>
    <s v="P014"/>
    <x v="10"/>
    <n v="166"/>
    <n v="83"/>
    <n v="830"/>
    <n v="415"/>
    <n v="415"/>
    <x v="290"/>
    <s v="Community &amp; Government"/>
    <n v="15.239568994601312"/>
    <s v="Neither"/>
    <n v="5"/>
  </r>
  <r>
    <d v="2023-02-07T23:54:07"/>
    <s v="23-5000"/>
    <s v="P091"/>
    <x v="13"/>
    <n v="204"/>
    <n v="51"/>
    <n v="2040"/>
    <n v="510"/>
    <n v="1530"/>
    <x v="150"/>
    <s v="Education"/>
    <n v="12.889576147248359"/>
    <s v="Neither"/>
    <n v="5"/>
  </r>
  <r>
    <d v="2022-03-12T13:07:15"/>
    <s v="22-3075"/>
    <s v="P076"/>
    <x v="18"/>
    <n v="94"/>
    <n v="47"/>
    <n v="1692"/>
    <n v="846"/>
    <n v="846"/>
    <x v="37"/>
    <s v="Corporate &amp; Professional"/>
    <n v="11.749038185128619"/>
    <s v="Dissatisfied"/>
    <n v="1"/>
  </r>
  <r>
    <d v="2021-04-17T07:46:34"/>
    <s v="21-3066"/>
    <s v="P028"/>
    <x v="14"/>
    <n v="156"/>
    <n v="78"/>
    <n v="1872"/>
    <n v="936"/>
    <n v="936"/>
    <x v="67"/>
    <s v="Community &amp; Government"/>
    <n v="11.346510807401776"/>
    <s v="Neither"/>
    <n v="5"/>
  </r>
  <r>
    <d v="2018-10-27T07:52:04"/>
    <s v="18-1896"/>
    <s v="P064"/>
    <x v="6"/>
    <n v="231"/>
    <n v="77"/>
    <n v="1386"/>
    <n v="462"/>
    <n v="924"/>
    <x v="19"/>
    <s v="Community &amp; Government"/>
    <n v="15.140903556171683"/>
    <s v="Satisfied"/>
    <n v="10"/>
  </r>
  <r>
    <d v="2021-09-25T21:15:31"/>
    <s v="21-1433"/>
    <s v="P062"/>
    <x v="1"/>
    <n v="348"/>
    <n v="87"/>
    <n v="2784"/>
    <n v="696"/>
    <n v="2088"/>
    <x v="173"/>
    <s v="Education"/>
    <n v="12.147202500273634"/>
    <s v="Neither"/>
    <n v="5"/>
  </r>
  <r>
    <d v="2022-11-03T01:21:21"/>
    <s v="22-3212"/>
    <s v="P047"/>
    <x v="18"/>
    <n v="72"/>
    <n v="36"/>
    <n v="1296"/>
    <n v="648"/>
    <n v="648"/>
    <x v="36"/>
    <s v="Creative &amp; Technology"/>
    <n v="8.1085102757869372"/>
    <s v="Dissatisfied"/>
    <n v="1"/>
  </r>
  <r>
    <d v="2019-09-13T14:06:50"/>
    <s v="19-1427"/>
    <s v="P095"/>
    <x v="16"/>
    <n v="116"/>
    <n v="29"/>
    <n v="1044"/>
    <n v="261"/>
    <n v="783"/>
    <x v="75"/>
    <s v="Healthcare &amp; Safety"/>
    <n v="13.918153610259502"/>
    <s v="Neither"/>
    <n v="5"/>
  </r>
  <r>
    <d v="2023-02-11T15:54:29"/>
    <s v="23-4508"/>
    <s v="P026"/>
    <x v="17"/>
    <n v="280"/>
    <n v="70"/>
    <n v="280"/>
    <n v="70"/>
    <n v="210"/>
    <x v="175"/>
    <s v="Creative &amp; Technology"/>
    <n v="13.150536103258979"/>
    <s v="Satisfied"/>
    <n v="10"/>
  </r>
  <r>
    <d v="2018-10-06T15:29:03"/>
    <s v="18-3352"/>
    <s v="P070"/>
    <x v="6"/>
    <n v="84"/>
    <n v="21"/>
    <n v="504"/>
    <n v="126"/>
    <n v="378"/>
    <x v="251"/>
    <s v="Creative &amp; Technology"/>
    <n v="9.1591412531773226"/>
    <s v="Neither"/>
    <n v="5"/>
  </r>
  <r>
    <d v="2021-07-08T11:35:06"/>
    <s v="21-4978"/>
    <s v="P093"/>
    <x v="11"/>
    <n v="384"/>
    <n v="96"/>
    <n v="6144"/>
    <n v="1536"/>
    <n v="4608"/>
    <x v="22"/>
    <s v="Sports &amp; Recreation"/>
    <n v="9.7467096260695598"/>
    <s v="Neither"/>
    <n v="5"/>
  </r>
  <r>
    <d v="2019-06-02T20:37:47"/>
    <s v="19-4650"/>
    <s v="P010"/>
    <x v="8"/>
    <n v="144"/>
    <n v="36"/>
    <n v="2016"/>
    <n v="504"/>
    <n v="1512"/>
    <x v="30"/>
    <s v="Corporate &amp; Professional"/>
    <n v="12.844063202784817"/>
    <s v="Satisfied"/>
    <n v="10"/>
  </r>
  <r>
    <d v="2018-03-05T13:27:21"/>
    <s v="18-1249"/>
    <s v="P085"/>
    <x v="5"/>
    <n v="320"/>
    <n v="80"/>
    <n v="960"/>
    <n v="240"/>
    <n v="720"/>
    <x v="268"/>
    <s v="Sports &amp; Recreation"/>
    <n v="11.593991859287692"/>
    <s v="Satisfied"/>
    <n v="10"/>
  </r>
  <r>
    <d v="2021-01-06T09:37:27"/>
    <s v="21-4327"/>
    <s v="P097"/>
    <x v="7"/>
    <n v="92"/>
    <n v="46"/>
    <n v="1012"/>
    <n v="506"/>
    <n v="506"/>
    <x v="173"/>
    <s v="Education"/>
    <n v="12.147202500273634"/>
    <s v="Neither"/>
    <n v="5"/>
  </r>
  <r>
    <d v="2022-01-16T18:12:16"/>
    <s v="22-1357"/>
    <s v="P060"/>
    <x v="12"/>
    <n v="300"/>
    <n v="75"/>
    <n v="2100"/>
    <n v="525"/>
    <n v="1575"/>
    <x v="156"/>
    <s v="Healthcare &amp; Safety"/>
    <n v="12.801144805697081"/>
    <s v="Satisfied"/>
    <n v="10"/>
  </r>
  <r>
    <d v="2019-07-05T08:56:05"/>
    <s v="19-1250"/>
    <s v="P019"/>
    <x v="2"/>
    <n v="308"/>
    <n v="77"/>
    <n v="4004"/>
    <n v="1001"/>
    <n v="3003"/>
    <x v="249"/>
    <s v="Corporate &amp; Professional"/>
    <n v="13.397308081757757"/>
    <s v="Neither"/>
    <n v="5"/>
  </r>
  <r>
    <d v="2022-07-04T06:44:53"/>
    <s v="22-2708"/>
    <s v="P025"/>
    <x v="4"/>
    <n v="210"/>
    <n v="70"/>
    <n v="420"/>
    <n v="140"/>
    <n v="280"/>
    <x v="7"/>
    <s v="Healthcare &amp; Safety"/>
    <n v="11.048444680405545"/>
    <s v="Dissatisfied"/>
    <n v="1"/>
  </r>
  <r>
    <d v="2018-09-15T05:43:26"/>
    <s v="18-3703"/>
    <s v="P052"/>
    <x v="12"/>
    <n v="352"/>
    <n v="88"/>
    <n v="2464"/>
    <n v="616"/>
    <n v="1848"/>
    <x v="103"/>
    <s v="Education"/>
    <n v="14.687857652112591"/>
    <s v="Neither"/>
    <n v="5"/>
  </r>
  <r>
    <d v="2016-03-18T04:11:30"/>
    <s v="16-2553"/>
    <s v="P100"/>
    <x v="10"/>
    <n v="46"/>
    <n v="23"/>
    <n v="230"/>
    <n v="115"/>
    <n v="115"/>
    <x v="17"/>
    <s v="Education"/>
    <n v="9.8238489437106278"/>
    <s v="Satisfied"/>
    <n v="10"/>
  </r>
  <r>
    <d v="2017-09-12T13:24:55"/>
    <s v="17-3371"/>
    <s v="P063"/>
    <x v="17"/>
    <n v="261"/>
    <n v="87"/>
    <n v="261"/>
    <n v="87"/>
    <n v="174"/>
    <x v="27"/>
    <s v="Healthcare &amp; Safety"/>
    <n v="10.42743035829395"/>
    <s v="Satisfied"/>
    <n v="10"/>
  </r>
  <r>
    <d v="2021-12-14T11:54:32"/>
    <s v="21-3373"/>
    <s v="P100"/>
    <x v="4"/>
    <n v="46"/>
    <n v="23"/>
    <n v="92"/>
    <n v="46"/>
    <n v="46"/>
    <x v="161"/>
    <s v="Corporate &amp; Professional"/>
    <n v="11.003496633574638"/>
    <s v="Neither"/>
    <n v="5"/>
  </r>
  <r>
    <d v="2018-03-23T20:01:09"/>
    <s v="18-4002"/>
    <s v="P091"/>
    <x v="0"/>
    <n v="204"/>
    <n v="51"/>
    <n v="3060"/>
    <n v="765"/>
    <n v="2295"/>
    <x v="84"/>
    <s v="Corporate &amp; Professional"/>
    <n v="11.428575823958646"/>
    <s v="Neither"/>
    <n v="5"/>
  </r>
  <r>
    <d v="2019-12-27T16:24:32"/>
    <s v="19-4224"/>
    <s v="P090"/>
    <x v="1"/>
    <n v="57"/>
    <n v="19"/>
    <n v="456"/>
    <n v="152"/>
    <n v="304"/>
    <x v="104"/>
    <s v="Facilities &amp; Services"/>
    <n v="11.769293993029555"/>
    <s v="Satisfied"/>
    <n v="10"/>
  </r>
  <r>
    <d v="2021-07-19T22:13:23"/>
    <s v="21-3998"/>
    <s v="P090"/>
    <x v="12"/>
    <n v="57"/>
    <n v="19"/>
    <n v="399"/>
    <n v="133"/>
    <n v="266"/>
    <x v="96"/>
    <s v="Healthcare &amp; Safety"/>
    <n v="11.221666113009938"/>
    <s v="Neither"/>
    <n v="5"/>
  </r>
  <r>
    <d v="2020-08-17T11:39:01"/>
    <s v="20-3671"/>
    <s v="P037"/>
    <x v="12"/>
    <n v="160"/>
    <n v="80"/>
    <n v="1120"/>
    <n v="560"/>
    <n v="560"/>
    <x v="95"/>
    <s v="Facilities &amp; Services"/>
    <n v="7.7337149713827413"/>
    <s v="Neither"/>
    <n v="5"/>
  </r>
  <r>
    <d v="2020-01-03T00:12:39"/>
    <s v="20-4854"/>
    <s v="P044"/>
    <x v="4"/>
    <n v="368"/>
    <n v="92"/>
    <n v="736"/>
    <n v="184"/>
    <n v="552"/>
    <x v="292"/>
    <s v="Creative &amp; Technology"/>
    <n v="13.537350739681813"/>
    <s v="Neither"/>
    <n v="5"/>
  </r>
  <r>
    <d v="2020-12-06T18:43:20"/>
    <s v="20-4907"/>
    <s v="P038"/>
    <x v="6"/>
    <n v="240"/>
    <n v="80"/>
    <n v="1440"/>
    <n v="480"/>
    <n v="960"/>
    <x v="256"/>
    <s v="Creative &amp; Technology"/>
    <n v="12.173451788225162"/>
    <s v="Satisfied"/>
    <n v="10"/>
  </r>
  <r>
    <d v="2022-03-13T20:58:09"/>
    <s v="22-4441"/>
    <s v="P048"/>
    <x v="10"/>
    <n v="252"/>
    <n v="63"/>
    <n v="1260"/>
    <n v="315"/>
    <n v="945"/>
    <x v="142"/>
    <s v="Healthcare &amp; Safety"/>
    <n v="13.574227261506472"/>
    <s v="Neither"/>
    <n v="5"/>
  </r>
  <r>
    <d v="2020-12-12T18:51:14"/>
    <s v="20-4512"/>
    <s v="P064"/>
    <x v="2"/>
    <n v="231"/>
    <n v="77"/>
    <n v="3003"/>
    <n v="1001"/>
    <n v="2002"/>
    <x v="23"/>
    <s v="Healthcare &amp; Safety"/>
    <n v="13.407340878370247"/>
    <s v="Neither"/>
    <n v="5"/>
  </r>
  <r>
    <d v="2018-12-01T07:27:45"/>
    <s v="18-4169"/>
    <s v="P033"/>
    <x v="19"/>
    <n v="57"/>
    <n v="19"/>
    <n v="1083"/>
    <n v="361"/>
    <n v="722"/>
    <x v="59"/>
    <s v="Creative &amp; Technology"/>
    <n v="10.980884286450312"/>
    <s v="Dissatisfied"/>
    <n v="1"/>
  </r>
  <r>
    <d v="2020-06-05T05:03:18"/>
    <s v="20-2516"/>
    <s v="P029"/>
    <x v="5"/>
    <n v="300"/>
    <n v="75"/>
    <n v="900"/>
    <n v="225"/>
    <n v="675"/>
    <x v="138"/>
    <s v="Healthcare &amp; Safety"/>
    <n v="12.85215703546821"/>
    <s v="Neither"/>
    <n v="5"/>
  </r>
  <r>
    <d v="2021-03-17T00:06:50"/>
    <s v="21-3475"/>
    <s v="P002"/>
    <x v="8"/>
    <n v="144"/>
    <n v="36"/>
    <n v="2016"/>
    <n v="504"/>
    <n v="1512"/>
    <x v="195"/>
    <s v="Community &amp; Government"/>
    <n v="12.679725647708608"/>
    <s v="Neither"/>
    <n v="5"/>
  </r>
  <r>
    <d v="2018-05-03T02:49:03"/>
    <s v="18-1199"/>
    <s v="P033"/>
    <x v="8"/>
    <n v="57"/>
    <n v="19"/>
    <n v="798"/>
    <n v="266"/>
    <n v="532"/>
    <x v="70"/>
    <s v="Community &amp; Government"/>
    <n v="14.593670394271927"/>
    <s v="Neither"/>
    <n v="5"/>
  </r>
  <r>
    <d v="2020-07-10T01:44:26"/>
    <s v="20-2768"/>
    <s v="P057"/>
    <x v="10"/>
    <n v="252"/>
    <n v="63"/>
    <n v="1260"/>
    <n v="315"/>
    <n v="945"/>
    <x v="29"/>
    <s v="Facilities &amp; Services"/>
    <n v="15.487214309603928"/>
    <s v="Neither"/>
    <n v="5"/>
  </r>
  <r>
    <d v="2020-06-06T08:39:27"/>
    <s v="20-4829"/>
    <s v="P099"/>
    <x v="0"/>
    <n v="132"/>
    <n v="33"/>
    <n v="1980"/>
    <n v="495"/>
    <n v="1485"/>
    <x v="218"/>
    <s v="Facilities &amp; Services"/>
    <n v="14.376986923104601"/>
    <s v="Satisfied"/>
    <n v="10"/>
  </r>
  <r>
    <d v="2020-11-12T22:41:16"/>
    <s v="20-2963"/>
    <s v="P094"/>
    <x v="14"/>
    <n v="80"/>
    <n v="20"/>
    <n v="960"/>
    <n v="240"/>
    <n v="720"/>
    <x v="22"/>
    <s v="Sports &amp; Recreation"/>
    <n v="9.7467096260695598"/>
    <s v="Satisfied"/>
    <n v="10"/>
  </r>
  <r>
    <d v="2020-02-22T07:22:54"/>
    <s v="20-2931"/>
    <s v="P075"/>
    <x v="8"/>
    <n v="160"/>
    <n v="80"/>
    <n v="2240"/>
    <n v="1120"/>
    <n v="1120"/>
    <x v="26"/>
    <s v="Sports &amp; Recreation"/>
    <n v="14.16303548174143"/>
    <s v="Neither"/>
    <n v="5"/>
  </r>
  <r>
    <d v="2019-04-28T00:15:41"/>
    <s v="19-2533"/>
    <s v="P003"/>
    <x v="7"/>
    <n v="189"/>
    <n v="63"/>
    <n v="2079"/>
    <n v="693"/>
    <n v="1386"/>
    <x v="24"/>
    <s v="Sports &amp; Recreation"/>
    <n v="14.697745043716761"/>
    <s v="Satisfied"/>
    <n v="10"/>
  </r>
  <r>
    <d v="2020-03-27T14:02:23"/>
    <s v="20-3587"/>
    <s v="P025"/>
    <x v="2"/>
    <n v="210"/>
    <n v="70"/>
    <n v="2730"/>
    <n v="910"/>
    <n v="1820"/>
    <x v="48"/>
    <s v="Creative &amp; Technology"/>
    <n v="11.939773463335372"/>
    <s v="Dissatisfied"/>
    <n v="1"/>
  </r>
  <r>
    <d v="2019-07-21T22:51:32"/>
    <s v="19-2014"/>
    <s v="P028"/>
    <x v="10"/>
    <n v="156"/>
    <n v="78"/>
    <n v="780"/>
    <n v="390"/>
    <n v="390"/>
    <x v="85"/>
    <s v="Creative &amp; Technology"/>
    <n v="10.570474361325047"/>
    <s v="Neither"/>
    <n v="5"/>
  </r>
  <r>
    <d v="2021-07-13T12:53:48"/>
    <s v="21-3056"/>
    <s v="P049"/>
    <x v="0"/>
    <n v="356"/>
    <n v="89"/>
    <n v="5340"/>
    <n v="1335"/>
    <n v="4005"/>
    <x v="76"/>
    <s v="Community &amp; Government"/>
    <n v="12.796588406005421"/>
    <s v="Neither"/>
    <n v="5"/>
  </r>
  <r>
    <d v="2020-11-12T15:49:27"/>
    <s v="20-3582"/>
    <s v="P020"/>
    <x v="10"/>
    <n v="180"/>
    <n v="45"/>
    <n v="900"/>
    <n v="225"/>
    <n v="675"/>
    <x v="178"/>
    <s v="Education"/>
    <n v="14.760829371220243"/>
    <s v="Neither"/>
    <n v="5"/>
  </r>
  <r>
    <d v="2020-06-15T12:34:47"/>
    <s v="20-1144"/>
    <s v="P031"/>
    <x v="10"/>
    <n v="146"/>
    <n v="73"/>
    <n v="730"/>
    <n v="365"/>
    <n v="365"/>
    <x v="172"/>
    <s v="Healthcare &amp; Safety"/>
    <n v="11.563724686003232"/>
    <s v="Neither"/>
    <n v="5"/>
  </r>
  <r>
    <d v="2021-02-02T16:56:40"/>
    <s v="21-1469"/>
    <s v="P016"/>
    <x v="5"/>
    <n v="110"/>
    <n v="55"/>
    <n v="330"/>
    <n v="165"/>
    <n v="165"/>
    <x v="5"/>
    <s v="Healthcare &amp; Safety"/>
    <n v="12.169266722245851"/>
    <s v="Dissatisfied"/>
    <n v="1"/>
  </r>
  <r>
    <d v="2020-01-31T03:18:12"/>
    <s v="20-3413"/>
    <s v="P008"/>
    <x v="0"/>
    <n v="225"/>
    <n v="75"/>
    <n v="3375"/>
    <n v="1125"/>
    <n v="2250"/>
    <x v="7"/>
    <s v="Healthcare &amp; Safety"/>
    <n v="11.048444680405545"/>
    <s v="Neither"/>
    <n v="5"/>
  </r>
  <r>
    <d v="2021-12-12T14:59:50"/>
    <s v="21-2560"/>
    <s v="P019"/>
    <x v="9"/>
    <n v="308"/>
    <n v="77"/>
    <n v="6160"/>
    <n v="1540"/>
    <n v="4620"/>
    <x v="236"/>
    <s v="Creative &amp; Technology"/>
    <n v="13.827196127590291"/>
    <s v="Dissatisfied"/>
    <n v="1"/>
  </r>
  <r>
    <d v="2019-12-07T18:40:51"/>
    <s v="19-2883"/>
    <s v="P018"/>
    <x v="12"/>
    <n v="108"/>
    <n v="54"/>
    <n v="756"/>
    <n v="378"/>
    <n v="378"/>
    <x v="54"/>
    <s v="Community &amp; Government"/>
    <n v="13.890275354050972"/>
    <s v="Dissatisfied"/>
    <n v="1"/>
  </r>
  <r>
    <d v="2021-11-22T15:19:01"/>
    <s v="21-1879"/>
    <s v="P007"/>
    <x v="10"/>
    <n v="225"/>
    <n v="75"/>
    <n v="1125"/>
    <n v="375"/>
    <n v="750"/>
    <x v="214"/>
    <s v="Corporate &amp; Professional"/>
    <n v="12.985332015423809"/>
    <s v="Neither"/>
    <n v="5"/>
  </r>
  <r>
    <d v="2021-02-01T05:57:00"/>
    <s v="21-1824"/>
    <s v="P080"/>
    <x v="9"/>
    <n v="57"/>
    <n v="19"/>
    <n v="1140"/>
    <n v="380"/>
    <n v="760"/>
    <x v="131"/>
    <s v="Corporate &amp; Professional"/>
    <n v="11.701919153133453"/>
    <s v="Satisfied"/>
    <n v="10"/>
  </r>
  <r>
    <d v="2018-08-16T02:39:50"/>
    <s v="18-1067"/>
    <s v="P047"/>
    <x v="9"/>
    <n v="72"/>
    <n v="36"/>
    <n v="1440"/>
    <n v="720"/>
    <n v="720"/>
    <x v="40"/>
    <s v="Corporate &amp; Professional"/>
    <n v="14.370283356317486"/>
    <s v="Dissatisfied"/>
    <n v="1"/>
  </r>
  <r>
    <d v="2019-07-01T22:34:24"/>
    <s v="19-2485"/>
    <s v="P015"/>
    <x v="14"/>
    <n v="176"/>
    <n v="88"/>
    <n v="2112"/>
    <n v="1056"/>
    <n v="1056"/>
    <x v="151"/>
    <s v="Sports &amp; Recreation"/>
    <n v="9.458617986208397"/>
    <s v="Neither"/>
    <n v="5"/>
  </r>
  <r>
    <d v="2020-09-28T09:00:40"/>
    <s v="20-2746"/>
    <s v="P030"/>
    <x v="10"/>
    <n v="81"/>
    <n v="27"/>
    <n v="405"/>
    <n v="135"/>
    <n v="270"/>
    <x v="244"/>
    <s v="Creative &amp; Technology"/>
    <n v="11.78346750250795"/>
    <s v="Neither"/>
    <n v="5"/>
  </r>
  <r>
    <d v="2022-10-10T19:45:41"/>
    <s v="22-4796"/>
    <s v="P081"/>
    <x v="15"/>
    <n v="50"/>
    <n v="25"/>
    <n v="850"/>
    <n v="425"/>
    <n v="425"/>
    <x v="287"/>
    <s v="Community &amp; Government"/>
    <n v="14.412865837260112"/>
    <s v="Neither"/>
    <n v="5"/>
  </r>
  <r>
    <d v="2018-12-12T19:41:40"/>
    <s v="18-2190"/>
    <s v="P014"/>
    <x v="19"/>
    <n v="166"/>
    <n v="83"/>
    <n v="3154"/>
    <n v="1577"/>
    <n v="1577"/>
    <x v="20"/>
    <s v="Education"/>
    <n v="15.12637675023732"/>
    <s v="Neither"/>
    <n v="5"/>
  </r>
  <r>
    <d v="2020-08-12T20:42:10"/>
    <s v="20-1518"/>
    <s v="P011"/>
    <x v="3"/>
    <n v="264"/>
    <n v="88"/>
    <n v="1056"/>
    <n v="352"/>
    <n v="704"/>
    <x v="134"/>
    <s v="Sports &amp; Recreation"/>
    <n v="12.532428411174646"/>
    <s v="Neither"/>
    <n v="5"/>
  </r>
  <r>
    <d v="2018-07-22T00:06:21"/>
    <s v="18-2402"/>
    <s v="P060"/>
    <x v="6"/>
    <n v="300"/>
    <n v="75"/>
    <n v="1800"/>
    <n v="450"/>
    <n v="1350"/>
    <x v="83"/>
    <s v="Sports &amp; Recreation"/>
    <n v="11.504886852416154"/>
    <s v="Neither"/>
    <n v="5"/>
  </r>
  <r>
    <d v="2019-08-26T03:39:16"/>
    <s v="19-3980"/>
    <s v="P061"/>
    <x v="13"/>
    <n v="264"/>
    <n v="88"/>
    <n v="2640"/>
    <n v="880"/>
    <n v="1760"/>
    <x v="75"/>
    <s v="Healthcare &amp; Safety"/>
    <n v="13.918153610259502"/>
    <s v="Neither"/>
    <n v="5"/>
  </r>
  <r>
    <d v="2018-03-20T10:32:29"/>
    <s v="18-4508"/>
    <s v="P062"/>
    <x v="6"/>
    <n v="348"/>
    <n v="87"/>
    <n v="2088"/>
    <n v="522"/>
    <n v="1566"/>
    <x v="257"/>
    <s v="Creative &amp; Technology"/>
    <n v="9.9471686551317795"/>
    <s v="Dissatisfied"/>
    <n v="1"/>
  </r>
  <r>
    <d v="2020-01-07T12:19:58"/>
    <s v="20-1681"/>
    <s v="P046"/>
    <x v="7"/>
    <n v="38"/>
    <n v="19"/>
    <n v="418"/>
    <n v="209"/>
    <n v="209"/>
    <x v="103"/>
    <s v="Education"/>
    <n v="14.687857652112591"/>
    <s v="Neither"/>
    <n v="5"/>
  </r>
  <r>
    <d v="2019-03-08T05:16:27"/>
    <s v="19-2294"/>
    <s v="P030"/>
    <x v="2"/>
    <n v="81"/>
    <n v="27"/>
    <n v="1053"/>
    <n v="351"/>
    <n v="702"/>
    <x v="25"/>
    <s v="Sports &amp; Recreation"/>
    <n v="11.128721898968678"/>
    <s v="Satisfied"/>
    <n v="10"/>
  </r>
  <r>
    <d v="2019-07-22T05:51:47"/>
    <s v="19-1255"/>
    <s v="P096"/>
    <x v="5"/>
    <n v="144"/>
    <n v="48"/>
    <n v="432"/>
    <n v="144"/>
    <n v="288"/>
    <x v="62"/>
    <s v="Education"/>
    <n v="12.396052160428608"/>
    <s v="Dissatisfied"/>
    <n v="1"/>
  </r>
  <r>
    <d v="2020-09-06T11:21:45"/>
    <s v="20-3831"/>
    <s v="P039"/>
    <x v="5"/>
    <n v="270"/>
    <n v="90"/>
    <n v="810"/>
    <n v="270"/>
    <n v="540"/>
    <x v="160"/>
    <s v="Creative &amp; Technology"/>
    <n v="8.8514729234790472"/>
    <s v="Neither"/>
    <n v="5"/>
  </r>
  <r>
    <d v="2018-12-02T21:00:52"/>
    <s v="18-1495"/>
    <s v="P087"/>
    <x v="6"/>
    <n v="176"/>
    <n v="88"/>
    <n v="1056"/>
    <n v="528"/>
    <n v="528"/>
    <x v="84"/>
    <s v="Corporate &amp; Professional"/>
    <n v="11.428575823958646"/>
    <s v="Neither"/>
    <n v="5"/>
  </r>
  <r>
    <d v="2022-04-24T10:39:15"/>
    <s v="22-4277"/>
    <s v="P087"/>
    <x v="9"/>
    <n v="176"/>
    <n v="88"/>
    <n v="3520"/>
    <n v="1760"/>
    <n v="1760"/>
    <x v="181"/>
    <s v="Sports &amp; Recreation"/>
    <n v="11.072271050116964"/>
    <s v="Neither"/>
    <n v="5"/>
  </r>
  <r>
    <d v="2018-10-18T21:29:42"/>
    <s v="18-1669"/>
    <s v="P053"/>
    <x v="9"/>
    <n v="50"/>
    <n v="25"/>
    <n v="1000"/>
    <n v="500"/>
    <n v="500"/>
    <x v="121"/>
    <s v="Creative &amp; Technology"/>
    <n v="11.394777319422785"/>
    <s v="Neither"/>
    <n v="5"/>
  </r>
  <r>
    <d v="2019-03-17T16:05:05"/>
    <s v="19-4788"/>
    <s v="P047"/>
    <x v="7"/>
    <n v="72"/>
    <n v="36"/>
    <n v="792"/>
    <n v="396"/>
    <n v="396"/>
    <x v="140"/>
    <s v="Education"/>
    <n v="13.332534707865639"/>
    <s v="Satisfied"/>
    <n v="10"/>
  </r>
  <r>
    <d v="2017-10-28T03:30:56"/>
    <s v="17-4686"/>
    <s v="P001"/>
    <x v="18"/>
    <n v="108"/>
    <n v="36"/>
    <n v="1944"/>
    <n v="648"/>
    <n v="1296"/>
    <x v="32"/>
    <s v="Facilities &amp; Services"/>
    <n v="11.410471033945758"/>
    <s v="Satisfied"/>
    <n v="10"/>
  </r>
  <r>
    <d v="2020-02-05T11:41:42"/>
    <s v="20-2436"/>
    <s v="P019"/>
    <x v="7"/>
    <n v="308"/>
    <n v="77"/>
    <n v="3388"/>
    <n v="847"/>
    <n v="2541"/>
    <x v="9"/>
    <s v="Sports &amp; Recreation"/>
    <n v="15.602184182549776"/>
    <s v="Dissatisfied"/>
    <n v="1"/>
  </r>
  <r>
    <d v="2019-12-29T06:25:14"/>
    <s v="19-4992"/>
    <s v="P060"/>
    <x v="10"/>
    <n v="300"/>
    <n v="75"/>
    <n v="1500"/>
    <n v="375"/>
    <n v="1125"/>
    <x v="175"/>
    <s v="Creative &amp; Technology"/>
    <n v="13.150536103258979"/>
    <s v="Neither"/>
    <n v="5"/>
  </r>
  <r>
    <d v="2018-05-19T05:40:32"/>
    <s v="18-1310"/>
    <s v="P016"/>
    <x v="4"/>
    <n v="110"/>
    <n v="55"/>
    <n v="220"/>
    <n v="110"/>
    <n v="110"/>
    <x v="281"/>
    <s v="Community &amp; Government"/>
    <n v="13.811876869930865"/>
    <s v="Satisfied"/>
    <n v="10"/>
  </r>
  <r>
    <d v="2018-06-14T14:16:45"/>
    <s v="18-4606"/>
    <s v="P090"/>
    <x v="16"/>
    <n v="57"/>
    <n v="19"/>
    <n v="513"/>
    <n v="171"/>
    <n v="342"/>
    <x v="125"/>
    <s v="Sports &amp; Recreation"/>
    <n v="12.682358648534777"/>
    <s v="Neither"/>
    <n v="5"/>
  </r>
  <r>
    <d v="2019-10-04T21:25:18"/>
    <s v="19-1342"/>
    <s v="P028"/>
    <x v="16"/>
    <n v="156"/>
    <n v="78"/>
    <n v="1404"/>
    <n v="702"/>
    <n v="702"/>
    <x v="261"/>
    <s v="Sports &amp; Recreation"/>
    <n v="12.852414455158604"/>
    <s v="Neither"/>
    <n v="5"/>
  </r>
  <r>
    <d v="2019-12-29T06:39:13"/>
    <s v="19-2839"/>
    <s v="P079"/>
    <x v="0"/>
    <n v="188"/>
    <n v="94"/>
    <n v="2820"/>
    <n v="1410"/>
    <n v="1410"/>
    <x v="113"/>
    <s v="Community &amp; Government"/>
    <n v="11.655355879643379"/>
    <s v="Neither"/>
    <n v="5"/>
  </r>
  <r>
    <d v="2019-01-06T08:44:01"/>
    <s v="19-1584"/>
    <s v="P005"/>
    <x v="15"/>
    <n v="76"/>
    <n v="19"/>
    <n v="1292"/>
    <n v="323"/>
    <n v="969"/>
    <x v="92"/>
    <s v="Education"/>
    <n v="11.99399163482429"/>
    <s v="Dissatisfied"/>
    <n v="1"/>
  </r>
  <r>
    <d v="2018-04-21T07:41:48"/>
    <s v="18-2914"/>
    <s v="P063"/>
    <x v="10"/>
    <n v="261"/>
    <n v="87"/>
    <n v="1305"/>
    <n v="435"/>
    <n v="870"/>
    <x v="127"/>
    <s v="Facilities &amp; Services"/>
    <n v="11.644564584314265"/>
    <s v="Dissatisfied"/>
    <n v="1"/>
  </r>
  <r>
    <d v="2019-03-04T00:40:43"/>
    <s v="19-4320"/>
    <s v="P022"/>
    <x v="13"/>
    <n v="153"/>
    <n v="51"/>
    <n v="1530"/>
    <n v="510"/>
    <n v="1020"/>
    <x v="291"/>
    <s v="Facilities &amp; Services"/>
    <n v="11.375127981841125"/>
    <s v="Satisfied"/>
    <n v="10"/>
  </r>
  <r>
    <d v="2019-05-29T10:49:03"/>
    <s v="19-3303"/>
    <s v="P091"/>
    <x v="18"/>
    <n v="204"/>
    <n v="51"/>
    <n v="3672"/>
    <n v="918"/>
    <n v="2754"/>
    <x v="258"/>
    <s v="Corporate &amp; Professional"/>
    <n v="14.538471643780088"/>
    <s v="Neither"/>
    <n v="5"/>
  </r>
  <r>
    <d v="2020-03-16T03:00:25"/>
    <s v="20-1873"/>
    <s v="P031"/>
    <x v="16"/>
    <n v="146"/>
    <n v="73"/>
    <n v="1314"/>
    <n v="657"/>
    <n v="657"/>
    <x v="158"/>
    <s v="Creative &amp; Technology"/>
    <n v="15.207985888346794"/>
    <s v="Neither"/>
    <n v="5"/>
  </r>
  <r>
    <d v="2019-03-06T19:05:02"/>
    <s v="19-4017"/>
    <s v="P031"/>
    <x v="6"/>
    <n v="146"/>
    <n v="73"/>
    <n v="876"/>
    <n v="438"/>
    <n v="438"/>
    <x v="219"/>
    <s v="Facilities &amp; Services"/>
    <n v="11.289144410898391"/>
    <s v="Neither"/>
    <n v="5"/>
  </r>
  <r>
    <d v="2022-05-04T07:11:41"/>
    <s v="22-4303"/>
    <s v="P046"/>
    <x v="3"/>
    <n v="38"/>
    <n v="19"/>
    <n v="152"/>
    <n v="76"/>
    <n v="76"/>
    <x v="32"/>
    <s v="Facilities &amp; Services"/>
    <n v="11.410471033945758"/>
    <s v="Neither"/>
    <n v="5"/>
  </r>
  <r>
    <d v="2020-02-15T04:46:59"/>
    <s v="20-2656"/>
    <s v="P040"/>
    <x v="11"/>
    <n v="160"/>
    <n v="80"/>
    <n v="2560"/>
    <n v="1280"/>
    <n v="1280"/>
    <x v="17"/>
    <s v="Education"/>
    <n v="9.8238489437106278"/>
    <s v="Satisfied"/>
    <n v="10"/>
  </r>
  <r>
    <d v="2023-07-12T00:05:02"/>
    <s v="23-4466"/>
    <s v="P054"/>
    <x v="13"/>
    <n v="144"/>
    <n v="48"/>
    <n v="1440"/>
    <n v="480"/>
    <n v="960"/>
    <x v="106"/>
    <s v="Facilities &amp; Services"/>
    <n v="13.518413464873573"/>
    <s v="Neither"/>
    <n v="5"/>
  </r>
  <r>
    <d v="2019-05-25T01:47:07"/>
    <s v="19-3246"/>
    <s v="P062"/>
    <x v="6"/>
    <n v="348"/>
    <n v="87"/>
    <n v="2088"/>
    <n v="522"/>
    <n v="1566"/>
    <x v="102"/>
    <s v="Facilities &amp; Services"/>
    <n v="9.8928038181361391"/>
    <s v="Satisfied"/>
    <n v="10"/>
  </r>
  <r>
    <d v="2022-02-05T20:09:29"/>
    <s v="22-1977"/>
    <s v="P094"/>
    <x v="12"/>
    <n v="80"/>
    <n v="20"/>
    <n v="560"/>
    <n v="140"/>
    <n v="420"/>
    <x v="190"/>
    <s v="Corporate &amp; Professional"/>
    <n v="15.478388039566896"/>
    <s v="Satisfied"/>
    <n v="10"/>
  </r>
  <r>
    <d v="2021-12-01T12:06:04"/>
    <s v="21-4027"/>
    <s v="P075"/>
    <x v="2"/>
    <n v="160"/>
    <n v="80"/>
    <n v="2080"/>
    <n v="1040"/>
    <n v="1040"/>
    <x v="87"/>
    <s v="Education"/>
    <n v="11.710935611749917"/>
    <s v="Neither"/>
    <n v="5"/>
  </r>
  <r>
    <d v="2018-08-16T09:34:14"/>
    <s v="18-2818"/>
    <s v="P049"/>
    <x v="18"/>
    <n v="356"/>
    <n v="89"/>
    <n v="6408"/>
    <n v="1602"/>
    <n v="4806"/>
    <x v="204"/>
    <s v="Corporate &amp; Professional"/>
    <n v="10.248947386022252"/>
    <s v="Neither"/>
    <n v="5"/>
  </r>
  <r>
    <d v="2021-02-09T03:19:05"/>
    <s v="21-2329"/>
    <s v="P013"/>
    <x v="18"/>
    <n v="58"/>
    <n v="29"/>
    <n v="1044"/>
    <n v="522"/>
    <n v="522"/>
    <x v="240"/>
    <s v="Sports &amp; Recreation"/>
    <n v="12.701325659159139"/>
    <s v="Satisfied"/>
    <n v="10"/>
  </r>
  <r>
    <d v="2020-03-16T10:18:49"/>
    <s v="20-1386"/>
    <s v="P021"/>
    <x v="8"/>
    <n v="207"/>
    <n v="69"/>
    <n v="2898"/>
    <n v="966"/>
    <n v="1932"/>
    <x v="196"/>
    <s v="Community &amp; Government"/>
    <n v="12.869841591513939"/>
    <s v="Neither"/>
    <n v="5"/>
  </r>
  <r>
    <d v="2018-10-05T22:46:36"/>
    <s v="18-1533"/>
    <s v="P042"/>
    <x v="16"/>
    <n v="50"/>
    <n v="25"/>
    <n v="450"/>
    <n v="225"/>
    <n v="225"/>
    <x v="202"/>
    <s v="Community &amp; Government"/>
    <n v="8.1595626482464514"/>
    <s v="Neither"/>
    <n v="5"/>
  </r>
  <r>
    <d v="2019-05-25T19:54:47"/>
    <s v="19-3021"/>
    <s v="P072"/>
    <x v="13"/>
    <n v="132"/>
    <n v="44"/>
    <n v="1320"/>
    <n v="440"/>
    <n v="880"/>
    <x v="55"/>
    <s v="Creative &amp; Technology"/>
    <n v="13.765798454641494"/>
    <s v="Neither"/>
    <n v="5"/>
  </r>
  <r>
    <d v="2019-11-29T10:21:29"/>
    <s v="19-3370"/>
    <s v="P065"/>
    <x v="17"/>
    <n v="50"/>
    <n v="25"/>
    <n v="50"/>
    <n v="25"/>
    <n v="25"/>
    <x v="126"/>
    <s v="Creative &amp; Technology"/>
    <n v="12.399050786131125"/>
    <s v="Satisfied"/>
    <n v="10"/>
  </r>
  <r>
    <d v="2022-08-31T02:30:24"/>
    <s v="22-2557"/>
    <s v="P088"/>
    <x v="15"/>
    <n v="192"/>
    <n v="96"/>
    <n v="3264"/>
    <n v="1632"/>
    <n v="1632"/>
    <x v="177"/>
    <s v="Creative &amp; Technology"/>
    <n v="14.66147716237918"/>
    <s v="Dissatisfied"/>
    <n v="1"/>
  </r>
  <r>
    <d v="2019-12-22T04:05:42"/>
    <s v="19-1034"/>
    <s v="P004"/>
    <x v="0"/>
    <n v="189"/>
    <n v="63"/>
    <n v="2835"/>
    <n v="945"/>
    <n v="1890"/>
    <x v="238"/>
    <s v="Education"/>
    <n v="13.275355576494196"/>
    <s v="Satisfied"/>
    <n v="10"/>
  </r>
  <r>
    <d v="2020-03-11T17:47:37"/>
    <s v="20-2239"/>
    <s v="P066"/>
    <x v="17"/>
    <n v="34"/>
    <n v="17"/>
    <n v="34"/>
    <n v="17"/>
    <n v="17"/>
    <x v="130"/>
    <s v="Healthcare &amp; Safety"/>
    <n v="13.923194761258239"/>
    <s v="Neither"/>
    <n v="5"/>
  </r>
  <r>
    <d v="2021-07-07T14:35:44"/>
    <s v="21-4302"/>
    <s v="P090"/>
    <x v="7"/>
    <n v="57"/>
    <n v="19"/>
    <n v="627"/>
    <n v="209"/>
    <n v="418"/>
    <x v="202"/>
    <s v="Community &amp; Government"/>
    <n v="8.1595626482464514"/>
    <s v="Dissatisfied"/>
    <n v="1"/>
  </r>
  <r>
    <d v="2020-01-31T05:01:51"/>
    <s v="20-1899"/>
    <s v="P051"/>
    <x v="1"/>
    <n v="135"/>
    <n v="45"/>
    <n v="1080"/>
    <n v="360"/>
    <n v="720"/>
    <x v="290"/>
    <s v="Community &amp; Government"/>
    <n v="15.239568994601312"/>
    <s v="Neither"/>
    <n v="5"/>
  </r>
  <r>
    <d v="2019-09-15T09:17:44"/>
    <s v="19-3568"/>
    <s v="P060"/>
    <x v="2"/>
    <n v="300"/>
    <n v="75"/>
    <n v="3900"/>
    <n v="975"/>
    <n v="2925"/>
    <x v="260"/>
    <s v="Creative &amp; Technology"/>
    <n v="10.588336269016523"/>
    <s v="Neither"/>
    <n v="5"/>
  </r>
  <r>
    <d v="2018-08-03T14:59:52"/>
    <s v="18-4719"/>
    <s v="P095"/>
    <x v="14"/>
    <n v="116"/>
    <n v="29"/>
    <n v="1392"/>
    <n v="348"/>
    <n v="1044"/>
    <x v="3"/>
    <s v="Facilities &amp; Services"/>
    <n v="10.06992029407844"/>
    <s v="Neither"/>
    <n v="5"/>
  </r>
  <r>
    <d v="2020-07-06T21:17:20"/>
    <s v="20-1656"/>
    <s v="P069"/>
    <x v="12"/>
    <n v="150"/>
    <n v="75"/>
    <n v="1050"/>
    <n v="525"/>
    <n v="525"/>
    <x v="199"/>
    <s v="Healthcare &amp; Safety"/>
    <n v="14.460020532456038"/>
    <s v="Neither"/>
    <n v="5"/>
  </r>
  <r>
    <d v="2020-05-24T19:29:51"/>
    <s v="20-3420"/>
    <s v="P085"/>
    <x v="5"/>
    <n v="320"/>
    <n v="80"/>
    <n v="960"/>
    <n v="240"/>
    <n v="720"/>
    <x v="121"/>
    <s v="Creative &amp; Technology"/>
    <n v="11.394777319422785"/>
    <s v="Satisfied"/>
    <n v="10"/>
  </r>
  <r>
    <d v="2020-04-10T14:01:45"/>
    <s v="20-1877"/>
    <s v="P029"/>
    <x v="16"/>
    <n v="300"/>
    <n v="75"/>
    <n v="2700"/>
    <n v="675"/>
    <n v="2025"/>
    <x v="70"/>
    <s v="Community &amp; Government"/>
    <n v="14.593670394271927"/>
    <s v="Satisfied"/>
    <n v="10"/>
  </r>
  <r>
    <d v="2019-08-22T18:09:09"/>
    <s v="19-2744"/>
    <s v="P050"/>
    <x v="18"/>
    <n v="108"/>
    <n v="36"/>
    <n v="1944"/>
    <n v="648"/>
    <n v="1296"/>
    <x v="97"/>
    <s v="Corporate &amp; Professional"/>
    <n v="12.545140403858928"/>
    <s v="Satisfied"/>
    <n v="10"/>
  </r>
  <r>
    <d v="2021-12-16T07:53:51"/>
    <s v="21-2448"/>
    <s v="P100"/>
    <x v="9"/>
    <n v="46"/>
    <n v="23"/>
    <n v="920"/>
    <n v="460"/>
    <n v="460"/>
    <x v="59"/>
    <s v="Creative &amp; Technology"/>
    <n v="10.980884286450312"/>
    <s v="Neither"/>
    <n v="5"/>
  </r>
  <r>
    <d v="2019-12-24T08:37:57"/>
    <s v="19-3443"/>
    <s v="P095"/>
    <x v="10"/>
    <n v="116"/>
    <n v="29"/>
    <n v="580"/>
    <n v="145"/>
    <n v="435"/>
    <x v="231"/>
    <s v="Facilities &amp; Services"/>
    <n v="14.060995290679429"/>
    <s v="Dissatisfied"/>
    <n v="1"/>
  </r>
  <r>
    <d v="2020-04-25T19:37:25"/>
    <s v="20-4910"/>
    <s v="P024"/>
    <x v="19"/>
    <n v="66"/>
    <n v="33"/>
    <n v="1254"/>
    <n v="627"/>
    <n v="627"/>
    <x v="156"/>
    <s v="Healthcare &amp; Safety"/>
    <n v="12.801144805697081"/>
    <s v="Neither"/>
    <n v="5"/>
  </r>
  <r>
    <d v="2019-01-29T12:12:06"/>
    <s v="19-2607"/>
    <s v="P062"/>
    <x v="15"/>
    <n v="348"/>
    <n v="87"/>
    <n v="5916"/>
    <n v="1479"/>
    <n v="4437"/>
    <x v="207"/>
    <s v="Education"/>
    <n v="11.779256317174871"/>
    <s v="Neither"/>
    <n v="5"/>
  </r>
  <r>
    <d v="2021-03-01T06:56:02"/>
    <s v="21-2362"/>
    <s v="P040"/>
    <x v="12"/>
    <n v="160"/>
    <n v="80"/>
    <n v="1120"/>
    <n v="560"/>
    <n v="560"/>
    <x v="217"/>
    <s v="Education"/>
    <n v="11.862005526237752"/>
    <s v="Neither"/>
    <n v="5"/>
  </r>
  <r>
    <d v="2018-09-18T21:35:52"/>
    <s v="18-3462"/>
    <s v="P001"/>
    <x v="7"/>
    <n v="108"/>
    <n v="36"/>
    <n v="1188"/>
    <n v="396"/>
    <n v="792"/>
    <x v="241"/>
    <s v="Community &amp; Government"/>
    <n v="15.856807810268592"/>
    <s v="Dissatisfied"/>
    <n v="1"/>
  </r>
  <r>
    <d v="2020-02-19T06:07:36"/>
    <s v="20-3578"/>
    <s v="P095"/>
    <x v="16"/>
    <n v="116"/>
    <n v="29"/>
    <n v="1044"/>
    <n v="261"/>
    <n v="783"/>
    <x v="115"/>
    <s v="Sports &amp; Recreation"/>
    <n v="11.416048240262977"/>
    <s v="Neither"/>
    <n v="5"/>
  </r>
  <r>
    <d v="2021-06-16T02:54:28"/>
    <s v="21-2705"/>
    <s v="P057"/>
    <x v="5"/>
    <n v="252"/>
    <n v="63"/>
    <n v="756"/>
    <n v="189"/>
    <n v="567"/>
    <x v="165"/>
    <s v="Creative &amp; Technology"/>
    <n v="13.929237493388955"/>
    <s v="Neither"/>
    <n v="5"/>
  </r>
  <r>
    <d v="2018-12-25T03:43:59"/>
    <s v="18-1986"/>
    <s v="P039"/>
    <x v="17"/>
    <n v="270"/>
    <n v="90"/>
    <n v="270"/>
    <n v="90"/>
    <n v="180"/>
    <x v="209"/>
    <s v="Facilities &amp; Services"/>
    <n v="10.956589836772277"/>
    <s v="Neither"/>
    <n v="5"/>
  </r>
  <r>
    <d v="2020-01-29T14:04:50"/>
    <s v="20-3458"/>
    <s v="P040"/>
    <x v="11"/>
    <n v="160"/>
    <n v="80"/>
    <n v="2560"/>
    <n v="1280"/>
    <n v="1280"/>
    <x v="123"/>
    <s v="Facilities &amp; Services"/>
    <n v="9.1877733607656964"/>
    <s v="Dissatisfied"/>
    <n v="1"/>
  </r>
  <r>
    <d v="2020-04-11T23:18:46"/>
    <s v="20-2569"/>
    <s v="P059"/>
    <x v="6"/>
    <n v="267"/>
    <n v="89"/>
    <n v="1602"/>
    <n v="534"/>
    <n v="1068"/>
    <x v="238"/>
    <s v="Education"/>
    <n v="13.275355576494196"/>
    <s v="Satisfied"/>
    <n v="10"/>
  </r>
  <r>
    <d v="2021-03-11T18:51:21"/>
    <s v="21-3702"/>
    <s v="P075"/>
    <x v="3"/>
    <n v="160"/>
    <n v="80"/>
    <n v="640"/>
    <n v="320"/>
    <n v="320"/>
    <x v="138"/>
    <s v="Healthcare &amp; Safety"/>
    <n v="12.85215703546821"/>
    <s v="Neither"/>
    <n v="5"/>
  </r>
  <r>
    <d v="2019-06-24T08:43:47"/>
    <s v="19-2121"/>
    <s v="P038"/>
    <x v="3"/>
    <n v="240"/>
    <n v="80"/>
    <n v="960"/>
    <n v="320"/>
    <n v="640"/>
    <x v="57"/>
    <s v="Facilities &amp; Services"/>
    <n v="12.177709716438097"/>
    <s v="Dissatisfied"/>
    <n v="1"/>
  </r>
  <r>
    <d v="2023-02-19T13:03:11"/>
    <s v="23-2466"/>
    <s v="P004"/>
    <x v="15"/>
    <n v="189"/>
    <n v="63"/>
    <n v="3213"/>
    <n v="1071"/>
    <n v="2142"/>
    <x v="184"/>
    <s v="Community &amp; Government"/>
    <n v="8.8169309002713945"/>
    <s v="Neither"/>
    <n v="5"/>
  </r>
  <r>
    <d v="2020-04-18T01:42:44"/>
    <s v="20-4011"/>
    <s v="P007"/>
    <x v="11"/>
    <n v="225"/>
    <n v="75"/>
    <n v="3600"/>
    <n v="1200"/>
    <n v="2400"/>
    <x v="255"/>
    <s v="Community &amp; Government"/>
    <n v="12.392787515215366"/>
    <s v="Dissatisfied"/>
    <n v="1"/>
  </r>
  <r>
    <d v="2020-08-02T00:45:32"/>
    <s v="20-3887"/>
    <s v="P100"/>
    <x v="16"/>
    <n v="46"/>
    <n v="23"/>
    <n v="414"/>
    <n v="207"/>
    <n v="207"/>
    <x v="16"/>
    <s v="Sports &amp; Recreation"/>
    <n v="12.865074657680612"/>
    <s v="Neither"/>
    <n v="5"/>
  </r>
  <r>
    <d v="2022-03-21T09:05:31"/>
    <s v="22-1291"/>
    <s v="P033"/>
    <x v="3"/>
    <n v="57"/>
    <n v="19"/>
    <n v="228"/>
    <n v="76"/>
    <n v="152"/>
    <x v="194"/>
    <s v="Community &amp; Government"/>
    <n v="9.879282537628514"/>
    <s v="Neither"/>
    <n v="5"/>
  </r>
  <r>
    <d v="2018-05-10T17:19:20"/>
    <s v="18-4050"/>
    <s v="P055"/>
    <x v="19"/>
    <n v="360"/>
    <n v="90"/>
    <n v="6840"/>
    <n v="1710"/>
    <n v="5130"/>
    <x v="228"/>
    <s v="Corporate &amp; Professional"/>
    <n v="16.254955391951082"/>
    <s v="Neither"/>
    <n v="5"/>
  </r>
  <r>
    <d v="2020-11-11T22:38:00"/>
    <s v="20-3267"/>
    <s v="P030"/>
    <x v="16"/>
    <n v="81"/>
    <n v="27"/>
    <n v="729"/>
    <n v="243"/>
    <n v="486"/>
    <x v="213"/>
    <s v="Healthcare &amp; Safety"/>
    <n v="16.148992525516267"/>
    <s v="Dissatisfied"/>
    <n v="1"/>
  </r>
  <r>
    <d v="2018-04-29T18:37:04"/>
    <s v="18-1931"/>
    <s v="P023"/>
    <x v="17"/>
    <n v="126"/>
    <n v="42"/>
    <n v="126"/>
    <n v="42"/>
    <n v="84"/>
    <x v="269"/>
    <s v="Corporate &amp; Professional"/>
    <n v="10.585251392347548"/>
    <s v="Satisfied"/>
    <n v="10"/>
  </r>
  <r>
    <d v="2019-04-14T10:02:52"/>
    <s v="19-2503"/>
    <s v="P051"/>
    <x v="4"/>
    <n v="135"/>
    <n v="45"/>
    <n v="270"/>
    <n v="90"/>
    <n v="180"/>
    <x v="110"/>
    <s v="Sports &amp; Recreation"/>
    <n v="14.690198582365463"/>
    <s v="Satisfied"/>
    <n v="10"/>
  </r>
  <r>
    <d v="2022-04-12T22:00:04"/>
    <s v="22-2092"/>
    <s v="P087"/>
    <x v="7"/>
    <n v="176"/>
    <n v="88"/>
    <n v="1936"/>
    <n v="968"/>
    <n v="968"/>
    <x v="61"/>
    <s v="Education"/>
    <n v="13.697485557052493"/>
    <s v="Satisfied"/>
    <n v="10"/>
  </r>
  <r>
    <d v="2022-04-01T17:10:14"/>
    <s v="22-3928"/>
    <s v="P083"/>
    <x v="3"/>
    <n v="90"/>
    <n v="45"/>
    <n v="360"/>
    <n v="180"/>
    <n v="180"/>
    <x v="234"/>
    <s v="Creative &amp; Technology"/>
    <n v="12.990345718839325"/>
    <s v="Neither"/>
    <n v="5"/>
  </r>
  <r>
    <d v="2020-11-01T11:59:52"/>
    <s v="20-2793"/>
    <s v="P099"/>
    <x v="9"/>
    <n v="132"/>
    <n v="33"/>
    <n v="2640"/>
    <n v="660"/>
    <n v="1980"/>
    <x v="135"/>
    <s v="Corporate &amp; Professional"/>
    <n v="10.408704992688252"/>
    <s v="Neither"/>
    <n v="5"/>
  </r>
  <r>
    <d v="2018-08-11T19:42:46"/>
    <s v="18-2148"/>
    <s v="P083"/>
    <x v="18"/>
    <n v="90"/>
    <n v="45"/>
    <n v="1620"/>
    <n v="810"/>
    <n v="810"/>
    <x v="280"/>
    <s v="Education"/>
    <n v="9.1264071155960682"/>
    <s v="Satisfied"/>
    <n v="10"/>
  </r>
  <r>
    <d v="2020-05-24T09:27:09"/>
    <s v="20-3821"/>
    <s v="P060"/>
    <x v="7"/>
    <n v="300"/>
    <n v="75"/>
    <n v="3300"/>
    <n v="825"/>
    <n v="2475"/>
    <x v="270"/>
    <s v="Education"/>
    <n v="14.129095302641241"/>
    <s v="Dissatisfied"/>
    <n v="1"/>
  </r>
  <r>
    <d v="2019-08-23T20:50:02"/>
    <s v="19-1406"/>
    <s v="P055"/>
    <x v="1"/>
    <n v="360"/>
    <n v="90"/>
    <n v="2880"/>
    <n v="720"/>
    <n v="2160"/>
    <x v="251"/>
    <s v="Creative &amp; Technology"/>
    <n v="9.1591412531773226"/>
    <s v="Neither"/>
    <n v="5"/>
  </r>
  <r>
    <d v="2022-09-10T09:26:57"/>
    <s v="22-2422"/>
    <s v="P080"/>
    <x v="19"/>
    <n v="57"/>
    <n v="19"/>
    <n v="1083"/>
    <n v="361"/>
    <n v="722"/>
    <x v="283"/>
    <s v="Creative &amp; Technology"/>
    <n v="11.0700865530371"/>
    <s v="Dissatisfied"/>
    <n v="1"/>
  </r>
  <r>
    <d v="2021-08-24T17:02:02"/>
    <s v="21-3179"/>
    <s v="P075"/>
    <x v="1"/>
    <n v="160"/>
    <n v="80"/>
    <n v="1280"/>
    <n v="640"/>
    <n v="640"/>
    <x v="104"/>
    <s v="Facilities &amp; Services"/>
    <n v="11.769293993029555"/>
    <s v="Dissatisfied"/>
    <n v="1"/>
  </r>
  <r>
    <d v="2019-07-01T04:36:41"/>
    <s v="19-4801"/>
    <s v="P006"/>
    <x v="18"/>
    <n v="38"/>
    <n v="19"/>
    <n v="684"/>
    <n v="342"/>
    <n v="342"/>
    <x v="24"/>
    <s v="Sports &amp; Recreation"/>
    <n v="14.697745043716761"/>
    <s v="Dissatisfied"/>
    <n v="1"/>
  </r>
  <r>
    <d v="2019-10-20T09:29:58"/>
    <s v="19-1015"/>
    <s v="P064"/>
    <x v="16"/>
    <n v="231"/>
    <n v="77"/>
    <n v="2079"/>
    <n v="693"/>
    <n v="1386"/>
    <x v="79"/>
    <s v="Facilities &amp; Services"/>
    <n v="12.661538237835474"/>
    <s v="Neither"/>
    <n v="5"/>
  </r>
  <r>
    <d v="2019-11-12T00:26:33"/>
    <s v="19-2402"/>
    <s v="P092"/>
    <x v="1"/>
    <n v="124"/>
    <n v="62"/>
    <n v="992"/>
    <n v="496"/>
    <n v="496"/>
    <x v="223"/>
    <s v="Education"/>
    <n v="11.661237375491201"/>
    <s v="Satisfied"/>
    <n v="10"/>
  </r>
  <r>
    <d v="2018-10-17T06:41:38"/>
    <s v="18-4612"/>
    <s v="P056"/>
    <x v="13"/>
    <n v="72"/>
    <n v="36"/>
    <n v="720"/>
    <n v="360"/>
    <n v="360"/>
    <x v="48"/>
    <s v="Creative &amp; Technology"/>
    <n v="11.939773463335372"/>
    <s v="Neither"/>
    <n v="5"/>
  </r>
  <r>
    <d v="2022-07-29T21:19:12"/>
    <s v="22-1748"/>
    <s v="P043"/>
    <x v="16"/>
    <n v="184"/>
    <n v="92"/>
    <n v="1656"/>
    <n v="828"/>
    <n v="828"/>
    <x v="30"/>
    <s v="Corporate &amp; Professional"/>
    <n v="12.844063202784817"/>
    <s v="Neither"/>
    <n v="5"/>
  </r>
  <r>
    <d v="2018-09-22T11:52:27"/>
    <s v="18-3028"/>
    <s v="P028"/>
    <x v="0"/>
    <n v="156"/>
    <n v="78"/>
    <n v="2340"/>
    <n v="1170"/>
    <n v="1170"/>
    <x v="263"/>
    <s v="Facilities &amp; Services"/>
    <n v="8.1352386075080023"/>
    <s v="Satisfied"/>
    <n v="10"/>
  </r>
  <r>
    <d v="2018-08-25T17:03:06"/>
    <s v="18-4430"/>
    <s v="P077"/>
    <x v="6"/>
    <n v="162"/>
    <n v="54"/>
    <n v="972"/>
    <n v="324"/>
    <n v="648"/>
    <x v="113"/>
    <s v="Community &amp; Government"/>
    <n v="11.655355879643379"/>
    <s v="Dissatisfied"/>
    <n v="1"/>
  </r>
  <r>
    <d v="2019-09-23T12:59:27"/>
    <s v="19-4454"/>
    <s v="P014"/>
    <x v="12"/>
    <n v="166"/>
    <n v="83"/>
    <n v="1162"/>
    <n v="581"/>
    <n v="581"/>
    <x v="69"/>
    <s v="Healthcare &amp; Safety"/>
    <n v="9.3014286057233697"/>
    <s v="Neither"/>
    <n v="5"/>
  </r>
  <r>
    <d v="2019-12-24T19:58:39"/>
    <s v="19-4624"/>
    <s v="P012"/>
    <x v="6"/>
    <n v="30"/>
    <n v="15"/>
    <n v="180"/>
    <n v="90"/>
    <n v="90"/>
    <x v="118"/>
    <s v="Community &amp; Government"/>
    <n v="15.60430546146185"/>
    <s v="Neither"/>
    <n v="5"/>
  </r>
  <r>
    <d v="2020-09-18T00:35:04"/>
    <s v="20-1036"/>
    <s v="P089"/>
    <x v="5"/>
    <n v="102"/>
    <n v="51"/>
    <n v="306"/>
    <n v="153"/>
    <n v="153"/>
    <x v="56"/>
    <s v="Corporate &amp; Professional"/>
    <n v="12.007834550770397"/>
    <s v="Neither"/>
    <n v="5"/>
  </r>
  <r>
    <d v="2020-02-29T03:19:45"/>
    <s v="20-2010"/>
    <s v="P092"/>
    <x v="3"/>
    <n v="124"/>
    <n v="62"/>
    <n v="496"/>
    <n v="248"/>
    <n v="248"/>
    <x v="254"/>
    <s v="Corporate &amp; Professional"/>
    <n v="8.1743378387804331"/>
    <s v="Neither"/>
    <n v="5"/>
  </r>
  <r>
    <d v="2019-07-22T19:19:31"/>
    <s v="19-3265"/>
    <s v="P032"/>
    <x v="15"/>
    <n v="92"/>
    <n v="46"/>
    <n v="1564"/>
    <n v="782"/>
    <n v="782"/>
    <x v="246"/>
    <s v="Facilities &amp; Services"/>
    <n v="13.853438793083487"/>
    <s v="Neither"/>
    <n v="5"/>
  </r>
  <r>
    <d v="2019-10-22T05:26:47"/>
    <s v="19-1829"/>
    <s v="P050"/>
    <x v="7"/>
    <n v="108"/>
    <n v="36"/>
    <n v="1188"/>
    <n v="396"/>
    <n v="792"/>
    <x v="157"/>
    <s v="Corporate &amp; Professional"/>
    <n v="13.917704159139552"/>
    <s v="Satisfied"/>
    <n v="10"/>
  </r>
  <r>
    <d v="2020-06-21T04:38:25"/>
    <s v="20-1692"/>
    <s v="P055"/>
    <x v="11"/>
    <n v="360"/>
    <n v="90"/>
    <n v="5760"/>
    <n v="1440"/>
    <n v="4320"/>
    <x v="143"/>
    <s v="Community &amp; Government"/>
    <n v="12.732640267350657"/>
    <s v="Satisfied"/>
    <n v="10"/>
  </r>
  <r>
    <d v="2019-02-06T20:44:50"/>
    <s v="19-2673"/>
    <s v="P052"/>
    <x v="2"/>
    <n v="352"/>
    <n v="88"/>
    <n v="4576"/>
    <n v="1144"/>
    <n v="3432"/>
    <x v="226"/>
    <s v="Community &amp; Government"/>
    <n v="11.927799225928501"/>
    <s v="Satisfied"/>
    <n v="10"/>
  </r>
  <r>
    <d v="2019-07-22T15:28:24"/>
    <s v="19-1973"/>
    <s v="P099"/>
    <x v="14"/>
    <n v="132"/>
    <n v="33"/>
    <n v="1584"/>
    <n v="396"/>
    <n v="1188"/>
    <x v="93"/>
    <s v="Facilities &amp; Services"/>
    <n v="10.966283117837653"/>
    <s v="Dissatisfied"/>
    <n v="1"/>
  </r>
  <r>
    <d v="2020-01-07T15:14:23"/>
    <s v="20-3297"/>
    <s v="P039"/>
    <x v="9"/>
    <n v="270"/>
    <n v="90"/>
    <n v="5400"/>
    <n v="1800"/>
    <n v="3600"/>
    <x v="259"/>
    <s v="Education"/>
    <n v="15.268550004010105"/>
    <s v="Satisfied"/>
    <n v="10"/>
  </r>
  <r>
    <d v="2020-01-15T16:39:31"/>
    <s v="20-2906"/>
    <s v="P064"/>
    <x v="3"/>
    <n v="231"/>
    <n v="77"/>
    <n v="924"/>
    <n v="308"/>
    <n v="616"/>
    <x v="226"/>
    <s v="Community &amp; Government"/>
    <n v="11.927799225928501"/>
    <s v="Satisfied"/>
    <n v="10"/>
  </r>
  <r>
    <d v="2020-04-06T20:51:01"/>
    <s v="20-4740"/>
    <s v="P082"/>
    <x v="4"/>
    <n v="312"/>
    <n v="78"/>
    <n v="624"/>
    <n v="156"/>
    <n v="468"/>
    <x v="231"/>
    <s v="Facilities &amp; Services"/>
    <n v="14.060995290679429"/>
    <s v="Neither"/>
    <n v="5"/>
  </r>
  <r>
    <d v="2021-03-18T09:00:55"/>
    <s v="21-2089"/>
    <s v="P090"/>
    <x v="6"/>
    <n v="57"/>
    <n v="19"/>
    <n v="342"/>
    <n v="114"/>
    <n v="228"/>
    <x v="161"/>
    <s v="Corporate &amp; Professional"/>
    <n v="11.003496633574638"/>
    <s v="Satisfied"/>
    <n v="10"/>
  </r>
  <r>
    <d v="2023-02-25T17:17:29"/>
    <s v="23-3879"/>
    <s v="P088"/>
    <x v="6"/>
    <n v="192"/>
    <n v="96"/>
    <n v="1152"/>
    <n v="576"/>
    <n v="576"/>
    <x v="261"/>
    <s v="Sports &amp; Recreation"/>
    <n v="12.852414455158604"/>
    <s v="Dissatisfied"/>
    <n v="1"/>
  </r>
  <r>
    <d v="2020-05-16T22:04:16"/>
    <s v="20-1331"/>
    <s v="P073"/>
    <x v="13"/>
    <n v="48"/>
    <n v="24"/>
    <n v="480"/>
    <n v="240"/>
    <n v="240"/>
    <x v="153"/>
    <s v="Corporate &amp; Professional"/>
    <n v="11.799431383856128"/>
    <s v="Neither"/>
    <n v="5"/>
  </r>
  <r>
    <d v="2020-01-22T22:16:01"/>
    <s v="20-4051"/>
    <s v="P081"/>
    <x v="10"/>
    <n v="50"/>
    <n v="25"/>
    <n v="250"/>
    <n v="125"/>
    <n v="125"/>
    <x v="211"/>
    <s v="Healthcare &amp; Safety"/>
    <n v="13.106678263594747"/>
    <s v="Neither"/>
    <n v="5"/>
  </r>
  <r>
    <d v="2021-12-29T06:55:34"/>
    <s v="21-4375"/>
    <s v="P069"/>
    <x v="2"/>
    <n v="150"/>
    <n v="75"/>
    <n v="1950"/>
    <n v="975"/>
    <n v="975"/>
    <x v="105"/>
    <s v="Corporate &amp; Professional"/>
    <n v="11.070908141213383"/>
    <s v="Neither"/>
    <n v="5"/>
  </r>
  <r>
    <d v="2017-10-31T15:10:32"/>
    <s v="17-4260"/>
    <s v="P054"/>
    <x v="9"/>
    <n v="144"/>
    <n v="48"/>
    <n v="2880"/>
    <n v="960"/>
    <n v="1920"/>
    <x v="111"/>
    <s v="Sports &amp; Recreation"/>
    <n v="12.342715162719054"/>
    <s v="Dissatisfied"/>
    <n v="1"/>
  </r>
  <r>
    <d v="2018-01-30T02:34:56"/>
    <s v="18-4453"/>
    <s v="P071"/>
    <x v="12"/>
    <n v="210"/>
    <n v="70"/>
    <n v="1470"/>
    <n v="490"/>
    <n v="980"/>
    <x v="20"/>
    <s v="Education"/>
    <n v="15.12637675023732"/>
    <s v="Dissatisfied"/>
    <n v="1"/>
  </r>
  <r>
    <d v="2020-09-17T17:51:53"/>
    <s v="20-1260"/>
    <s v="P062"/>
    <x v="2"/>
    <n v="348"/>
    <n v="87"/>
    <n v="4524"/>
    <n v="1131"/>
    <n v="3393"/>
    <x v="174"/>
    <s v="Corporate &amp; Professional"/>
    <n v="12.921682080641304"/>
    <s v="Dissatisfied"/>
    <n v="1"/>
  </r>
  <r>
    <d v="2018-07-23T01:05:35"/>
    <s v="18-4414"/>
    <s v="P031"/>
    <x v="0"/>
    <n v="146"/>
    <n v="73"/>
    <n v="2190"/>
    <n v="1095"/>
    <n v="1095"/>
    <x v="42"/>
    <s v="Community &amp; Government"/>
    <n v="10.216282609482219"/>
    <s v="Satisfied"/>
    <n v="10"/>
  </r>
  <r>
    <d v="2018-10-04T18:59:54"/>
    <s v="18-4125"/>
    <s v="P028"/>
    <x v="10"/>
    <n v="156"/>
    <n v="78"/>
    <n v="780"/>
    <n v="390"/>
    <n v="390"/>
    <x v="73"/>
    <s v="Creative &amp; Technology"/>
    <n v="15.234329552872023"/>
    <s v="Neither"/>
    <n v="5"/>
  </r>
  <r>
    <d v="2020-02-25T06:48:29"/>
    <s v="20-3296"/>
    <s v="P049"/>
    <x v="13"/>
    <n v="356"/>
    <n v="89"/>
    <n v="3560"/>
    <n v="890"/>
    <n v="2670"/>
    <x v="153"/>
    <s v="Corporate &amp; Professional"/>
    <n v="11.799431383856128"/>
    <s v="Neither"/>
    <n v="5"/>
  </r>
  <r>
    <d v="2020-05-29T15:58:35"/>
    <s v="20-3662"/>
    <s v="P095"/>
    <x v="19"/>
    <n v="116"/>
    <n v="29"/>
    <n v="2204"/>
    <n v="551"/>
    <n v="1653"/>
    <x v="17"/>
    <s v="Education"/>
    <n v="9.8238489437106278"/>
    <s v="Neither"/>
    <n v="5"/>
  </r>
  <r>
    <d v="2020-06-14T07:39:28"/>
    <s v="20-1903"/>
    <s v="P037"/>
    <x v="9"/>
    <n v="160"/>
    <n v="80"/>
    <n v="3200"/>
    <n v="1600"/>
    <n v="1600"/>
    <x v="259"/>
    <s v="Education"/>
    <n v="15.268550004010105"/>
    <s v="Neither"/>
    <n v="5"/>
  </r>
  <r>
    <d v="2021-09-22T16:39:03"/>
    <s v="21-1435"/>
    <s v="P039"/>
    <x v="9"/>
    <n v="270"/>
    <n v="90"/>
    <n v="5400"/>
    <n v="1800"/>
    <n v="3600"/>
    <x v="86"/>
    <s v="Community &amp; Government"/>
    <n v="12.758430621858414"/>
    <s v="Neither"/>
    <n v="5"/>
  </r>
  <r>
    <d v="2021-08-30T10:28:51"/>
    <s v="21-4522"/>
    <s v="P006"/>
    <x v="18"/>
    <n v="38"/>
    <n v="19"/>
    <n v="684"/>
    <n v="342"/>
    <n v="342"/>
    <x v="82"/>
    <s v="Creative &amp; Technology"/>
    <n v="11.883396013219548"/>
    <s v="Dissatisfied"/>
    <n v="1"/>
  </r>
  <r>
    <d v="2018-10-28T00:02:21"/>
    <s v="18-1282"/>
    <s v="P012"/>
    <x v="10"/>
    <n v="30"/>
    <n v="15"/>
    <n v="150"/>
    <n v="75"/>
    <n v="75"/>
    <x v="24"/>
    <s v="Sports &amp; Recreation"/>
    <n v="14.697745043716761"/>
    <s v="Neither"/>
    <n v="5"/>
  </r>
  <r>
    <d v="2019-07-14T21:42:36"/>
    <s v="19-1704"/>
    <s v="P066"/>
    <x v="12"/>
    <n v="34"/>
    <n v="17"/>
    <n v="238"/>
    <n v="119"/>
    <n v="119"/>
    <x v="177"/>
    <s v="Creative &amp; Technology"/>
    <n v="14.66147716237918"/>
    <s v="Neither"/>
    <n v="5"/>
  </r>
  <r>
    <d v="2016-12-05T22:29:06"/>
    <s v="16-4839"/>
    <s v="P017"/>
    <x v="11"/>
    <n v="120"/>
    <n v="30"/>
    <n v="1920"/>
    <n v="480"/>
    <n v="1440"/>
    <x v="254"/>
    <s v="Corporate &amp; Professional"/>
    <n v="8.1743378387804331"/>
    <s v="Satisfied"/>
    <n v="10"/>
  </r>
  <r>
    <d v="2020-11-11T12:10:37"/>
    <s v="20-4605"/>
    <s v="P092"/>
    <x v="17"/>
    <n v="124"/>
    <n v="62"/>
    <n v="124"/>
    <n v="62"/>
    <n v="62"/>
    <x v="132"/>
    <s v="Education"/>
    <n v="13.857835104514242"/>
    <s v="Dissatisfied"/>
    <n v="1"/>
  </r>
  <r>
    <d v="2019-12-29T12:59:06"/>
    <s v="19-3890"/>
    <s v="P015"/>
    <x v="14"/>
    <n v="176"/>
    <n v="88"/>
    <n v="2112"/>
    <n v="1056"/>
    <n v="1056"/>
    <x v="194"/>
    <s v="Community &amp; Government"/>
    <n v="9.879282537628514"/>
    <s v="Neither"/>
    <n v="5"/>
  </r>
  <r>
    <d v="2021-03-24T19:46:34"/>
    <s v="21-1625"/>
    <s v="P092"/>
    <x v="4"/>
    <n v="124"/>
    <n v="62"/>
    <n v="248"/>
    <n v="124"/>
    <n v="124"/>
    <x v="21"/>
    <s v="Facilities &amp; Services"/>
    <n v="13.717776078041958"/>
    <s v="Neither"/>
    <n v="5"/>
  </r>
  <r>
    <d v="2019-11-25T09:58:37"/>
    <s v="19-1834"/>
    <s v="P082"/>
    <x v="11"/>
    <n v="312"/>
    <n v="78"/>
    <n v="4992"/>
    <n v="1248"/>
    <n v="3744"/>
    <x v="141"/>
    <s v="Facilities &amp; Services"/>
    <n v="13.104576594826185"/>
    <s v="Neither"/>
    <n v="5"/>
  </r>
  <r>
    <d v="2020-08-09T04:15:46"/>
    <s v="20-4267"/>
    <s v="P069"/>
    <x v="17"/>
    <n v="150"/>
    <n v="75"/>
    <n v="150"/>
    <n v="75"/>
    <n v="75"/>
    <x v="16"/>
    <s v="Sports &amp; Recreation"/>
    <n v="12.865074657680612"/>
    <s v="Neither"/>
    <n v="5"/>
  </r>
  <r>
    <d v="2019-07-31T02:26:36"/>
    <s v="19-2685"/>
    <s v="P046"/>
    <x v="5"/>
    <n v="38"/>
    <n v="19"/>
    <n v="114"/>
    <n v="57"/>
    <n v="57"/>
    <x v="205"/>
    <s v="Facilities &amp; Services"/>
    <n v="10.434860153112215"/>
    <s v="Neither"/>
    <n v="5"/>
  </r>
  <r>
    <d v="2021-02-25T23:00:35"/>
    <s v="21-4467"/>
    <s v="P020"/>
    <x v="13"/>
    <n v="180"/>
    <n v="45"/>
    <n v="1800"/>
    <n v="450"/>
    <n v="1350"/>
    <x v="8"/>
    <s v="Sports &amp; Recreation"/>
    <n v="10.988762477277161"/>
    <s v="Neither"/>
    <n v="5"/>
  </r>
  <r>
    <d v="2020-01-16T15:49:34"/>
    <s v="20-1681"/>
    <s v="P065"/>
    <x v="5"/>
    <n v="50"/>
    <n v="25"/>
    <n v="150"/>
    <n v="75"/>
    <n v="75"/>
    <x v="264"/>
    <s v="Education"/>
    <n v="10.818241047231139"/>
    <s v="Satisfied"/>
    <n v="10"/>
  </r>
  <r>
    <d v="2020-01-08T20:42:17"/>
    <s v="20-3333"/>
    <s v="P085"/>
    <x v="9"/>
    <n v="320"/>
    <n v="80"/>
    <n v="6400"/>
    <n v="1600"/>
    <n v="4800"/>
    <x v="106"/>
    <s v="Facilities &amp; Services"/>
    <n v="13.518413464873573"/>
    <s v="Dissatisfied"/>
    <n v="1"/>
  </r>
  <r>
    <d v="2020-01-14T01:37:10"/>
    <s v="20-3881"/>
    <s v="P025"/>
    <x v="15"/>
    <n v="210"/>
    <n v="70"/>
    <n v="3570"/>
    <n v="1190"/>
    <n v="2380"/>
    <x v="133"/>
    <s v="Corporate &amp; Professional"/>
    <n v="5.9872353338051019"/>
    <s v="Neither"/>
    <n v="5"/>
  </r>
  <r>
    <d v="2019-01-12T02:47:12"/>
    <s v="19-2447"/>
    <s v="P055"/>
    <x v="5"/>
    <n v="360"/>
    <n v="90"/>
    <n v="1080"/>
    <n v="270"/>
    <n v="810"/>
    <x v="54"/>
    <s v="Community &amp; Government"/>
    <n v="13.890275354050972"/>
    <s v="Satisfied"/>
    <n v="10"/>
  </r>
  <r>
    <d v="2020-05-23T05:56:23"/>
    <s v="20-4504"/>
    <s v="P084"/>
    <x v="0"/>
    <n v="154"/>
    <n v="77"/>
    <n v="2310"/>
    <n v="1155"/>
    <n v="1155"/>
    <x v="217"/>
    <s v="Education"/>
    <n v="11.862005526237752"/>
    <s v="Neither"/>
    <n v="5"/>
  </r>
  <r>
    <d v="2020-02-10T14:50:14"/>
    <s v="20-1890"/>
    <s v="P044"/>
    <x v="5"/>
    <n v="368"/>
    <n v="92"/>
    <n v="1104"/>
    <n v="276"/>
    <n v="828"/>
    <x v="128"/>
    <s v="Healthcare &amp; Safety"/>
    <n v="10.96230865592911"/>
    <s v="Dissatisfied"/>
    <n v="1"/>
  </r>
  <r>
    <d v="2018-11-21T05:03:03"/>
    <s v="18-4066"/>
    <s v="P073"/>
    <x v="6"/>
    <n v="48"/>
    <n v="24"/>
    <n v="288"/>
    <n v="144"/>
    <n v="144"/>
    <x v="18"/>
    <s v="Sports &amp; Recreation"/>
    <n v="12.072414596936037"/>
    <s v="Dissatisfied"/>
    <n v="1"/>
  </r>
  <r>
    <d v="2020-03-28T13:25:56"/>
    <s v="20-1385"/>
    <s v="P046"/>
    <x v="17"/>
    <n v="38"/>
    <n v="19"/>
    <n v="38"/>
    <n v="19"/>
    <n v="19"/>
    <x v="193"/>
    <s v="Corporate &amp; Professional"/>
    <n v="12.275875773922367"/>
    <s v="Neither"/>
    <n v="5"/>
  </r>
  <r>
    <d v="2018-02-19T03:13:49"/>
    <s v="18-3627"/>
    <s v="P011"/>
    <x v="15"/>
    <n v="264"/>
    <n v="88"/>
    <n v="4488"/>
    <n v="1496"/>
    <n v="2992"/>
    <x v="289"/>
    <s v="Community &amp; Government"/>
    <n v="11.238524301148807"/>
    <s v="Neither"/>
    <n v="5"/>
  </r>
  <r>
    <d v="2019-10-31T22:35:39"/>
    <s v="19-2961"/>
    <s v="P067"/>
    <x v="6"/>
    <n v="144"/>
    <n v="36"/>
    <n v="864"/>
    <n v="216"/>
    <n v="648"/>
    <x v="262"/>
    <s v="Healthcare &amp; Safety"/>
    <n v="13.00553764131261"/>
    <s v="Neither"/>
    <n v="5"/>
  </r>
  <r>
    <d v="2019-06-05T15:59:33"/>
    <s v="19-2118"/>
    <s v="P082"/>
    <x v="15"/>
    <n v="312"/>
    <n v="78"/>
    <n v="5304"/>
    <n v="1326"/>
    <n v="3978"/>
    <x v="261"/>
    <s v="Sports &amp; Recreation"/>
    <n v="12.852414455158604"/>
    <s v="Neither"/>
    <n v="5"/>
  </r>
  <r>
    <d v="2021-05-16T01:33:26"/>
    <s v="21-4615"/>
    <s v="P053"/>
    <x v="17"/>
    <n v="50"/>
    <n v="25"/>
    <n v="50"/>
    <n v="25"/>
    <n v="25"/>
    <x v="61"/>
    <s v="Education"/>
    <n v="13.697485557052493"/>
    <s v="Dissatisfied"/>
    <n v="1"/>
  </r>
  <r>
    <d v="2021-10-01T10:47:55"/>
    <s v="21-1559"/>
    <s v="P100"/>
    <x v="19"/>
    <n v="46"/>
    <n v="23"/>
    <n v="874"/>
    <n v="437"/>
    <n v="437"/>
    <x v="170"/>
    <s v="Sports &amp; Recreation"/>
    <n v="10.037135914792184"/>
    <s v="Neither"/>
    <n v="5"/>
  </r>
  <r>
    <d v="2019-11-01T15:14:06"/>
    <s v="19-3343"/>
    <s v="P003"/>
    <x v="16"/>
    <n v="189"/>
    <n v="63"/>
    <n v="1701"/>
    <n v="567"/>
    <n v="1134"/>
    <x v="286"/>
    <s v="Community &amp; Government"/>
    <n v="10.826646539963521"/>
    <s v="Neither"/>
    <n v="5"/>
  </r>
  <r>
    <d v="2020-05-09T09:17:55"/>
    <s v="20-1479"/>
    <s v="P006"/>
    <x v="4"/>
    <n v="38"/>
    <n v="19"/>
    <n v="76"/>
    <n v="38"/>
    <n v="38"/>
    <x v="293"/>
    <s v="Creative &amp; Technology"/>
    <n v="7.9096461399190003"/>
    <s v="Neither"/>
    <n v="5"/>
  </r>
  <r>
    <d v="2020-12-02T07:28:27"/>
    <s v="20-4094"/>
    <s v="P063"/>
    <x v="14"/>
    <n v="261"/>
    <n v="87"/>
    <n v="3132"/>
    <n v="1044"/>
    <n v="2088"/>
    <x v="281"/>
    <s v="Community &amp; Government"/>
    <n v="13.811876869930865"/>
    <s v="Dissatisfied"/>
    <n v="1"/>
  </r>
  <r>
    <d v="2022-03-08T12:49:03"/>
    <s v="22-3290"/>
    <s v="P012"/>
    <x v="6"/>
    <n v="30"/>
    <n v="15"/>
    <n v="180"/>
    <n v="90"/>
    <n v="90"/>
    <x v="232"/>
    <s v="Corporate &amp; Professional"/>
    <n v="11.816654396440285"/>
    <s v="Neither"/>
    <n v="5"/>
  </r>
  <r>
    <d v="2019-11-12T00:22:48"/>
    <s v="19-4995"/>
    <s v="P075"/>
    <x v="9"/>
    <n v="160"/>
    <n v="80"/>
    <n v="3200"/>
    <n v="1600"/>
    <n v="1600"/>
    <x v="70"/>
    <s v="Community &amp; Government"/>
    <n v="14.593670394271927"/>
    <s v="Dissatisfied"/>
    <n v="1"/>
  </r>
  <r>
    <d v="2022-05-09T09:14:46"/>
    <s v="22-2198"/>
    <s v="P013"/>
    <x v="7"/>
    <n v="58"/>
    <n v="29"/>
    <n v="638"/>
    <n v="319"/>
    <n v="319"/>
    <x v="121"/>
    <s v="Creative &amp; Technology"/>
    <n v="11.394777319422785"/>
    <s v="Neither"/>
    <n v="5"/>
  </r>
  <r>
    <d v="2020-05-22T12:01:40"/>
    <s v="20-3979"/>
    <s v="P091"/>
    <x v="13"/>
    <n v="204"/>
    <n v="51"/>
    <n v="2040"/>
    <n v="510"/>
    <n v="1530"/>
    <x v="130"/>
    <s v="Healthcare &amp; Safety"/>
    <n v="13.923194761258239"/>
    <s v="Satisfied"/>
    <n v="10"/>
  </r>
  <r>
    <d v="2019-10-30T04:32:51"/>
    <s v="19-1405"/>
    <s v="P014"/>
    <x v="12"/>
    <n v="166"/>
    <n v="83"/>
    <n v="1162"/>
    <n v="581"/>
    <n v="581"/>
    <x v="170"/>
    <s v="Sports &amp; Recreation"/>
    <n v="10.037135914792184"/>
    <s v="Neither"/>
    <n v="5"/>
  </r>
  <r>
    <d v="2018-07-13T12:43:44"/>
    <s v="18-2828"/>
    <s v="P055"/>
    <x v="11"/>
    <n v="360"/>
    <n v="90"/>
    <n v="5760"/>
    <n v="1440"/>
    <n v="4320"/>
    <x v="24"/>
    <s v="Sports &amp; Recreation"/>
    <n v="14.697745043716761"/>
    <s v="Neither"/>
    <n v="5"/>
  </r>
  <r>
    <d v="2019-12-01T20:44:49"/>
    <s v="19-2688"/>
    <s v="P067"/>
    <x v="17"/>
    <n v="144"/>
    <n v="36"/>
    <n v="144"/>
    <n v="36"/>
    <n v="108"/>
    <x v="200"/>
    <s v="Community &amp; Government"/>
    <n v="12.460490918487697"/>
    <s v="Neither"/>
    <n v="5"/>
  </r>
  <r>
    <d v="2022-03-04T10:08:44"/>
    <s v="22-2735"/>
    <s v="P072"/>
    <x v="3"/>
    <n v="132"/>
    <n v="44"/>
    <n v="528"/>
    <n v="176"/>
    <n v="352"/>
    <x v="244"/>
    <s v="Creative &amp; Technology"/>
    <n v="11.78346750250795"/>
    <s v="Neither"/>
    <n v="5"/>
  </r>
  <r>
    <d v="2019-01-21T08:28:33"/>
    <s v="19-3514"/>
    <s v="P006"/>
    <x v="4"/>
    <n v="38"/>
    <n v="19"/>
    <n v="76"/>
    <n v="38"/>
    <n v="38"/>
    <x v="73"/>
    <s v="Creative &amp; Technology"/>
    <n v="15.234329552872023"/>
    <s v="Dissatisfied"/>
    <n v="1"/>
  </r>
  <r>
    <d v="2019-12-02T08:43:18"/>
    <s v="19-2326"/>
    <s v="P076"/>
    <x v="1"/>
    <n v="94"/>
    <n v="47"/>
    <n v="752"/>
    <n v="376"/>
    <n v="376"/>
    <x v="102"/>
    <s v="Facilities &amp; Services"/>
    <n v="9.8928038181361391"/>
    <s v="Dissatisfied"/>
    <n v="1"/>
  </r>
  <r>
    <d v="2018-06-08T02:13:01"/>
    <s v="18-3436"/>
    <s v="P090"/>
    <x v="14"/>
    <n v="57"/>
    <n v="19"/>
    <n v="684"/>
    <n v="228"/>
    <n v="456"/>
    <x v="98"/>
    <s v="Creative &amp; Technology"/>
    <n v="15.18789248529443"/>
    <s v="Neither"/>
    <n v="5"/>
  </r>
  <r>
    <d v="2019-07-15T08:25:17"/>
    <s v="19-4090"/>
    <s v="P048"/>
    <x v="12"/>
    <n v="252"/>
    <n v="63"/>
    <n v="1764"/>
    <n v="441"/>
    <n v="1323"/>
    <x v="231"/>
    <s v="Facilities &amp; Services"/>
    <n v="14.060995290679429"/>
    <s v="Dissatisfied"/>
    <n v="1"/>
  </r>
  <r>
    <d v="2022-02-16T04:56:00"/>
    <s v="22-4988"/>
    <s v="P071"/>
    <x v="3"/>
    <n v="210"/>
    <n v="70"/>
    <n v="840"/>
    <n v="280"/>
    <n v="560"/>
    <x v="56"/>
    <s v="Corporate &amp; Professional"/>
    <n v="12.007834550770397"/>
    <s v="Neither"/>
    <n v="5"/>
  </r>
  <r>
    <d v="2020-09-19T12:37:47"/>
    <s v="20-1983"/>
    <s v="P087"/>
    <x v="9"/>
    <n v="176"/>
    <n v="88"/>
    <n v="3520"/>
    <n v="1760"/>
    <n v="1760"/>
    <x v="232"/>
    <s v="Corporate &amp; Professional"/>
    <n v="11.816654396440285"/>
    <s v="Dissatisfied"/>
    <n v="1"/>
  </r>
  <r>
    <d v="2021-09-15T12:13:00"/>
    <s v="21-3678"/>
    <s v="P030"/>
    <x v="18"/>
    <n v="81"/>
    <n v="27"/>
    <n v="1458"/>
    <n v="486"/>
    <n v="972"/>
    <x v="270"/>
    <s v="Education"/>
    <n v="14.129095302641241"/>
    <s v="Satisfied"/>
    <n v="10"/>
  </r>
  <r>
    <d v="2021-12-25T10:46:01"/>
    <s v="21-3128"/>
    <s v="P063"/>
    <x v="1"/>
    <n v="261"/>
    <n v="87"/>
    <n v="2088"/>
    <n v="696"/>
    <n v="1392"/>
    <x v="272"/>
    <s v="Facilities &amp; Services"/>
    <n v="10.517826055804084"/>
    <s v="Neither"/>
    <n v="5"/>
  </r>
  <r>
    <d v="2022-10-12T19:49:22"/>
    <s v="22-1083"/>
    <s v="P089"/>
    <x v="13"/>
    <n v="102"/>
    <n v="51"/>
    <n v="1020"/>
    <n v="510"/>
    <n v="510"/>
    <x v="77"/>
    <s v="Facilities &amp; Services"/>
    <n v="12.514998090845811"/>
    <s v="Neither"/>
    <n v="5"/>
  </r>
  <r>
    <d v="2020-06-27T00:16:30"/>
    <s v="20-4376"/>
    <s v="P008"/>
    <x v="6"/>
    <n v="225"/>
    <n v="75"/>
    <n v="1350"/>
    <n v="450"/>
    <n v="900"/>
    <x v="193"/>
    <s v="Corporate &amp; Professional"/>
    <n v="12.275875773922367"/>
    <s v="Satisfied"/>
    <n v="10"/>
  </r>
  <r>
    <d v="2021-11-21T13:48:57"/>
    <s v="21-2283"/>
    <s v="P051"/>
    <x v="14"/>
    <n v="135"/>
    <n v="45"/>
    <n v="1620"/>
    <n v="540"/>
    <n v="1080"/>
    <x v="263"/>
    <s v="Facilities &amp; Services"/>
    <n v="8.1352386075080023"/>
    <s v="Neither"/>
    <n v="5"/>
  </r>
  <r>
    <d v="2017-08-20T17:48:39"/>
    <s v="17-3050"/>
    <s v="P094"/>
    <x v="5"/>
    <n v="80"/>
    <n v="20"/>
    <n v="240"/>
    <n v="60"/>
    <n v="180"/>
    <x v="235"/>
    <s v="Facilities &amp; Services"/>
    <n v="11.226611755437654"/>
    <s v="Neither"/>
    <n v="5"/>
  </r>
  <r>
    <d v="2019-04-23T13:40:20"/>
    <s v="19-1170"/>
    <s v="P062"/>
    <x v="14"/>
    <n v="348"/>
    <n v="87"/>
    <n v="4176"/>
    <n v="1044"/>
    <n v="3132"/>
    <x v="142"/>
    <s v="Healthcare &amp; Safety"/>
    <n v="13.574227261506472"/>
    <s v="Satisfied"/>
    <n v="10"/>
  </r>
  <r>
    <d v="2018-01-26T15:17:29"/>
    <s v="18-2690"/>
    <s v="P037"/>
    <x v="6"/>
    <n v="160"/>
    <n v="80"/>
    <n v="960"/>
    <n v="480"/>
    <n v="480"/>
    <x v="31"/>
    <s v="Corporate &amp; Professional"/>
    <n v="9.4200113153305907"/>
    <s v="Neither"/>
    <n v="5"/>
  </r>
  <r>
    <d v="2022-04-24T09:08:33"/>
    <s v="22-4189"/>
    <s v="P040"/>
    <x v="15"/>
    <n v="160"/>
    <n v="80"/>
    <n v="2720"/>
    <n v="1360"/>
    <n v="1360"/>
    <x v="291"/>
    <s v="Facilities &amp; Services"/>
    <n v="11.375127981841125"/>
    <s v="Satisfied"/>
    <n v="10"/>
  </r>
  <r>
    <d v="2021-03-03T22:49:36"/>
    <s v="21-2219"/>
    <s v="P065"/>
    <x v="17"/>
    <n v="50"/>
    <n v="25"/>
    <n v="50"/>
    <n v="25"/>
    <n v="25"/>
    <x v="195"/>
    <s v="Community &amp; Government"/>
    <n v="12.679725647708608"/>
    <s v="Neither"/>
    <n v="5"/>
  </r>
  <r>
    <d v="2018-07-06T07:27:34"/>
    <s v="18-4382"/>
    <s v="P045"/>
    <x v="6"/>
    <n v="100"/>
    <n v="25"/>
    <n v="600"/>
    <n v="150"/>
    <n v="450"/>
    <x v="235"/>
    <s v="Facilities &amp; Services"/>
    <n v="11.226611755437654"/>
    <s v="Satisfied"/>
    <n v="10"/>
  </r>
  <r>
    <d v="2021-05-20T15:30:58"/>
    <s v="21-4191"/>
    <s v="P085"/>
    <x v="15"/>
    <n v="320"/>
    <n v="80"/>
    <n v="5440"/>
    <n v="1360"/>
    <n v="4080"/>
    <x v="200"/>
    <s v="Community &amp; Government"/>
    <n v="12.460490918487697"/>
    <s v="Neither"/>
    <n v="5"/>
  </r>
  <r>
    <d v="2020-06-07T04:29:42"/>
    <s v="20-2170"/>
    <s v="P059"/>
    <x v="3"/>
    <n v="267"/>
    <n v="89"/>
    <n v="1068"/>
    <n v="356"/>
    <n v="712"/>
    <x v="36"/>
    <s v="Creative &amp; Technology"/>
    <n v="8.1085102757869372"/>
    <s v="Satisfied"/>
    <n v="10"/>
  </r>
  <r>
    <d v="2022-10-27T08:31:37"/>
    <s v="22-2963"/>
    <s v="P022"/>
    <x v="19"/>
    <n v="153"/>
    <n v="51"/>
    <n v="2907"/>
    <n v="969"/>
    <n v="1938"/>
    <x v="170"/>
    <s v="Sports &amp; Recreation"/>
    <n v="10.037135914792184"/>
    <s v="Satisfied"/>
    <n v="10"/>
  </r>
  <r>
    <d v="2018-01-15T02:43:31"/>
    <s v="18-1467"/>
    <s v="P024"/>
    <x v="5"/>
    <n v="66"/>
    <n v="33"/>
    <n v="198"/>
    <n v="99"/>
    <n v="99"/>
    <x v="105"/>
    <s v="Corporate &amp; Professional"/>
    <n v="11.070908141213383"/>
    <s v="Neither"/>
    <n v="5"/>
  </r>
  <r>
    <d v="2019-08-19T20:20:12"/>
    <s v="19-2267"/>
    <s v="P097"/>
    <x v="7"/>
    <n v="92"/>
    <n v="46"/>
    <n v="1012"/>
    <n v="506"/>
    <n v="506"/>
    <x v="142"/>
    <s v="Healthcare &amp; Safety"/>
    <n v="13.574227261506472"/>
    <s v="Neither"/>
    <n v="5"/>
  </r>
  <r>
    <d v="2020-10-17T02:12:54"/>
    <s v="20-1409"/>
    <s v="P098"/>
    <x v="1"/>
    <n v="201"/>
    <n v="67"/>
    <n v="1608"/>
    <n v="536"/>
    <n v="1072"/>
    <x v="153"/>
    <s v="Corporate &amp; Professional"/>
    <n v="11.799431383856128"/>
    <s v="Satisfied"/>
    <n v="10"/>
  </r>
  <r>
    <d v="2022-04-30T21:13:16"/>
    <s v="22-1843"/>
    <s v="P033"/>
    <x v="16"/>
    <n v="57"/>
    <n v="19"/>
    <n v="513"/>
    <n v="171"/>
    <n v="342"/>
    <x v="112"/>
    <s v="Creative &amp; Technology"/>
    <n v="12.004541523616258"/>
    <s v="Neither"/>
    <n v="5"/>
  </r>
  <r>
    <d v="2022-09-08T13:27:56"/>
    <s v="22-2140"/>
    <s v="P016"/>
    <x v="4"/>
    <n v="110"/>
    <n v="55"/>
    <n v="220"/>
    <n v="110"/>
    <n v="110"/>
    <x v="182"/>
    <s v="Sports &amp; Recreation"/>
    <n v="12.564315242820944"/>
    <s v="Neither"/>
    <n v="5"/>
  </r>
  <r>
    <d v="2020-06-28T03:34:10"/>
    <s v="20-3339"/>
    <s v="P026"/>
    <x v="11"/>
    <n v="280"/>
    <n v="70"/>
    <n v="4480"/>
    <n v="1120"/>
    <n v="3360"/>
    <x v="254"/>
    <s v="Corporate &amp; Professional"/>
    <n v="8.1743378387804331"/>
    <s v="Dissatisfied"/>
    <n v="1"/>
  </r>
  <r>
    <d v="2021-05-03T04:16:29"/>
    <s v="21-4577"/>
    <s v="P068"/>
    <x v="10"/>
    <n v="300"/>
    <n v="75"/>
    <n v="1500"/>
    <n v="375"/>
    <n v="1125"/>
    <x v="54"/>
    <s v="Community &amp; Government"/>
    <n v="13.890275354050972"/>
    <s v="Neither"/>
    <n v="5"/>
  </r>
  <r>
    <d v="2019-01-24T13:27:19"/>
    <s v="19-1588"/>
    <s v="P070"/>
    <x v="18"/>
    <n v="84"/>
    <n v="21"/>
    <n v="1512"/>
    <n v="378"/>
    <n v="1134"/>
    <x v="56"/>
    <s v="Corporate &amp; Professional"/>
    <n v="12.007834550770397"/>
    <s v="Neither"/>
    <n v="5"/>
  </r>
  <r>
    <d v="2018-11-05T12:05:10"/>
    <s v="18-3168"/>
    <s v="P035"/>
    <x v="7"/>
    <n v="144"/>
    <n v="48"/>
    <n v="1584"/>
    <n v="528"/>
    <n v="1056"/>
    <x v="118"/>
    <s v="Community &amp; Government"/>
    <n v="15.60430546146185"/>
    <s v="Neither"/>
    <n v="5"/>
  </r>
  <r>
    <d v="2020-01-30T01:13:11"/>
    <s v="20-2222"/>
    <s v="P095"/>
    <x v="4"/>
    <n v="116"/>
    <n v="29"/>
    <n v="232"/>
    <n v="58"/>
    <n v="174"/>
    <x v="191"/>
    <s v="Corporate &amp; Professional"/>
    <n v="12.131375018945562"/>
    <s v="Neither"/>
    <n v="5"/>
  </r>
  <r>
    <d v="2020-06-11T15:52:08"/>
    <s v="20-3726"/>
    <s v="P080"/>
    <x v="8"/>
    <n v="57"/>
    <n v="19"/>
    <n v="798"/>
    <n v="266"/>
    <n v="532"/>
    <x v="136"/>
    <s v="Creative &amp; Technology"/>
    <n v="16.429355109701351"/>
    <s v="Satisfied"/>
    <n v="10"/>
  </r>
  <r>
    <d v="2019-10-13T15:53:16"/>
    <s v="19-2042"/>
    <s v="P028"/>
    <x v="17"/>
    <n v="156"/>
    <n v="78"/>
    <n v="156"/>
    <n v="78"/>
    <n v="78"/>
    <x v="138"/>
    <s v="Healthcare &amp; Safety"/>
    <n v="12.85215703546821"/>
    <s v="Neither"/>
    <n v="5"/>
  </r>
  <r>
    <d v="2020-04-19T22:49:42"/>
    <s v="20-4835"/>
    <s v="P069"/>
    <x v="16"/>
    <n v="150"/>
    <n v="75"/>
    <n v="1350"/>
    <n v="675"/>
    <n v="675"/>
    <x v="173"/>
    <s v="Education"/>
    <n v="12.147202500273634"/>
    <s v="Neither"/>
    <n v="5"/>
  </r>
  <r>
    <d v="2018-02-15T06:12:25"/>
    <s v="18-1424"/>
    <s v="P039"/>
    <x v="9"/>
    <n v="270"/>
    <n v="90"/>
    <n v="5400"/>
    <n v="1800"/>
    <n v="3600"/>
    <x v="61"/>
    <s v="Education"/>
    <n v="13.697485557052493"/>
    <s v="Neither"/>
    <n v="5"/>
  </r>
  <r>
    <d v="2019-07-03T07:28:54"/>
    <s v="19-3876"/>
    <s v="P053"/>
    <x v="0"/>
    <n v="50"/>
    <n v="25"/>
    <n v="750"/>
    <n v="375"/>
    <n v="375"/>
    <x v="280"/>
    <s v="Education"/>
    <n v="9.1264071155960682"/>
    <s v="Neither"/>
    <n v="5"/>
  </r>
  <r>
    <d v="2020-04-05T03:13:13"/>
    <s v="20-2742"/>
    <s v="P093"/>
    <x v="13"/>
    <n v="384"/>
    <n v="96"/>
    <n v="3840"/>
    <n v="960"/>
    <n v="2880"/>
    <x v="119"/>
    <s v="Education"/>
    <n v="12.456740895640767"/>
    <s v="Neither"/>
    <n v="5"/>
  </r>
  <r>
    <d v="2020-11-08T11:43:23"/>
    <s v="20-1917"/>
    <s v="P058"/>
    <x v="9"/>
    <n v="356"/>
    <n v="89"/>
    <n v="7120"/>
    <n v="1780"/>
    <n v="5340"/>
    <x v="272"/>
    <s v="Facilities &amp; Services"/>
    <n v="10.517826055804084"/>
    <s v="Neither"/>
    <n v="5"/>
  </r>
  <r>
    <d v="2017-08-10T01:10:17"/>
    <s v="17-3228"/>
    <s v="P096"/>
    <x v="9"/>
    <n v="144"/>
    <n v="48"/>
    <n v="2880"/>
    <n v="960"/>
    <n v="1920"/>
    <x v="49"/>
    <s v="Creative &amp; Technology"/>
    <n v="11.31221475547909"/>
    <s v="Neither"/>
    <n v="5"/>
  </r>
  <r>
    <d v="2017-06-25T20:05:26"/>
    <s v="17-1345"/>
    <s v="P011"/>
    <x v="14"/>
    <n v="264"/>
    <n v="88"/>
    <n v="3168"/>
    <n v="1056"/>
    <n v="2112"/>
    <x v="155"/>
    <s v="Creative &amp; Technology"/>
    <n v="8.0758315802191021"/>
    <s v="Satisfied"/>
    <n v="10"/>
  </r>
  <r>
    <d v="2020-12-13T14:52:32"/>
    <s v="20-4428"/>
    <s v="P003"/>
    <x v="17"/>
    <n v="189"/>
    <n v="63"/>
    <n v="189"/>
    <n v="63"/>
    <n v="126"/>
    <x v="137"/>
    <s v="Facilities &amp; Services"/>
    <n v="15.861056998489449"/>
    <s v="Satisfied"/>
    <n v="10"/>
  </r>
  <r>
    <d v="2020-10-30T06:15:31"/>
    <s v="20-1727"/>
    <s v="P056"/>
    <x v="2"/>
    <n v="72"/>
    <n v="36"/>
    <n v="936"/>
    <n v="468"/>
    <n v="468"/>
    <x v="147"/>
    <s v="Corporate &amp; Professional"/>
    <n v="9.629298039722805"/>
    <s v="Neither"/>
    <n v="5"/>
  </r>
  <r>
    <d v="2022-03-25T20:54:40"/>
    <s v="22-2692"/>
    <s v="P014"/>
    <x v="1"/>
    <n v="166"/>
    <n v="83"/>
    <n v="1328"/>
    <n v="664"/>
    <n v="664"/>
    <x v="177"/>
    <s v="Creative &amp; Technology"/>
    <n v="14.66147716237918"/>
    <s v="Neither"/>
    <n v="5"/>
  </r>
  <r>
    <d v="2021-10-20T14:58:25"/>
    <s v="21-1508"/>
    <s v="P087"/>
    <x v="12"/>
    <n v="176"/>
    <n v="88"/>
    <n v="1232"/>
    <n v="616"/>
    <n v="616"/>
    <x v="31"/>
    <s v="Corporate &amp; Professional"/>
    <n v="9.4200113153305907"/>
    <s v="Dissatisfied"/>
    <n v="1"/>
  </r>
  <r>
    <d v="2020-06-28T09:06:39"/>
    <s v="20-3587"/>
    <s v="P055"/>
    <x v="0"/>
    <n v="360"/>
    <n v="90"/>
    <n v="5400"/>
    <n v="1350"/>
    <n v="4050"/>
    <x v="292"/>
    <s v="Creative &amp; Technology"/>
    <n v="13.537350739681813"/>
    <s v="Dissatisfied"/>
    <n v="1"/>
  </r>
  <r>
    <d v="2020-08-25T03:00:01"/>
    <s v="20-3735"/>
    <s v="P091"/>
    <x v="7"/>
    <n v="204"/>
    <n v="51"/>
    <n v="2244"/>
    <n v="561"/>
    <n v="1683"/>
    <x v="169"/>
    <s v="Healthcare &amp; Safety"/>
    <n v="14.341195386574373"/>
    <s v="Satisfied"/>
    <n v="10"/>
  </r>
  <r>
    <d v="2018-08-12T00:28:45"/>
    <s v="18-1001"/>
    <s v="P071"/>
    <x v="8"/>
    <n v="210"/>
    <n v="70"/>
    <n v="2940"/>
    <n v="980"/>
    <n v="1960"/>
    <x v="65"/>
    <s v="Healthcare &amp; Safety"/>
    <n v="14.377134310720955"/>
    <s v="Dissatisfied"/>
    <n v="1"/>
  </r>
  <r>
    <d v="2019-10-26T05:41:43"/>
    <s v="19-3651"/>
    <s v="P076"/>
    <x v="10"/>
    <n v="94"/>
    <n v="47"/>
    <n v="470"/>
    <n v="235"/>
    <n v="235"/>
    <x v="225"/>
    <s v="Healthcare &amp; Safety"/>
    <n v="9.4608554813364627"/>
    <s v="Dissatisfied"/>
    <n v="1"/>
  </r>
  <r>
    <d v="2021-02-03T10:27:15"/>
    <s v="21-1527"/>
    <s v="P092"/>
    <x v="13"/>
    <n v="124"/>
    <n v="62"/>
    <n v="1240"/>
    <n v="620"/>
    <n v="620"/>
    <x v="210"/>
    <s v="Corporate &amp; Professional"/>
    <n v="10.411813357023924"/>
    <s v="Neither"/>
    <n v="5"/>
  </r>
  <r>
    <d v="2022-03-10T19:18:18"/>
    <s v="22-4901"/>
    <s v="P033"/>
    <x v="19"/>
    <n v="57"/>
    <n v="19"/>
    <n v="1083"/>
    <n v="361"/>
    <n v="722"/>
    <x v="56"/>
    <s v="Corporate &amp; Professional"/>
    <n v="12.007834550770397"/>
    <s v="Neither"/>
    <n v="5"/>
  </r>
  <r>
    <d v="2020-05-01T07:13:46"/>
    <s v="20-4829"/>
    <s v="P002"/>
    <x v="6"/>
    <n v="144"/>
    <n v="36"/>
    <n v="864"/>
    <n v="216"/>
    <n v="648"/>
    <x v="40"/>
    <s v="Corporate &amp; Professional"/>
    <n v="14.370283356317486"/>
    <s v="Neither"/>
    <n v="5"/>
  </r>
  <r>
    <d v="2022-04-05T13:01:18"/>
    <s v="22-4864"/>
    <s v="P095"/>
    <x v="18"/>
    <n v="116"/>
    <n v="29"/>
    <n v="2088"/>
    <n v="522"/>
    <n v="1566"/>
    <x v="226"/>
    <s v="Community &amp; Government"/>
    <n v="11.927799225928501"/>
    <s v="Satisfied"/>
    <n v="10"/>
  </r>
  <r>
    <d v="2019-10-19T01:16:29"/>
    <s v="19-2523"/>
    <s v="P100"/>
    <x v="15"/>
    <n v="46"/>
    <n v="23"/>
    <n v="782"/>
    <n v="391"/>
    <n v="391"/>
    <x v="155"/>
    <s v="Creative &amp; Technology"/>
    <n v="8.0758315802191021"/>
    <s v="Neither"/>
    <n v="5"/>
  </r>
  <r>
    <d v="2020-10-02T21:30:03"/>
    <s v="20-2422"/>
    <s v="P060"/>
    <x v="8"/>
    <n v="300"/>
    <n v="75"/>
    <n v="4200"/>
    <n v="1050"/>
    <n v="3150"/>
    <x v="7"/>
    <s v="Healthcare &amp; Safety"/>
    <n v="11.048444680405545"/>
    <s v="Neither"/>
    <n v="5"/>
  </r>
  <r>
    <d v="2020-07-01T04:59:36"/>
    <s v="20-1201"/>
    <s v="P006"/>
    <x v="12"/>
    <n v="38"/>
    <n v="19"/>
    <n v="266"/>
    <n v="133"/>
    <n v="133"/>
    <x v="32"/>
    <s v="Facilities &amp; Services"/>
    <n v="11.410471033945758"/>
    <s v="Neither"/>
    <n v="5"/>
  </r>
  <r>
    <d v="2019-08-27T08:59:10"/>
    <s v="19-3883"/>
    <s v="P033"/>
    <x v="16"/>
    <n v="57"/>
    <n v="19"/>
    <n v="513"/>
    <n v="171"/>
    <n v="342"/>
    <x v="201"/>
    <s v="Community &amp; Government"/>
    <n v="8.1628930629234038"/>
    <s v="Neither"/>
    <n v="5"/>
  </r>
  <r>
    <d v="2020-07-11T01:25:36"/>
    <s v="20-1022"/>
    <s v="P025"/>
    <x v="18"/>
    <n v="210"/>
    <n v="70"/>
    <n v="3780"/>
    <n v="1260"/>
    <n v="2520"/>
    <x v="174"/>
    <s v="Corporate &amp; Professional"/>
    <n v="12.921682080641304"/>
    <s v="Neither"/>
    <n v="5"/>
  </r>
  <r>
    <d v="2018-11-19T02:55:55"/>
    <s v="18-1983"/>
    <s v="P062"/>
    <x v="6"/>
    <n v="348"/>
    <n v="87"/>
    <n v="2088"/>
    <n v="522"/>
    <n v="1566"/>
    <x v="130"/>
    <s v="Healthcare &amp; Safety"/>
    <n v="13.923194761258239"/>
    <s v="Satisfied"/>
    <n v="10"/>
  </r>
  <r>
    <d v="2022-03-22T11:22:46"/>
    <s v="22-4742"/>
    <s v="P071"/>
    <x v="4"/>
    <n v="210"/>
    <n v="70"/>
    <n v="420"/>
    <n v="140"/>
    <n v="280"/>
    <x v="86"/>
    <s v="Community &amp; Government"/>
    <n v="12.758430621858414"/>
    <s v="Satisfied"/>
    <n v="10"/>
  </r>
  <r>
    <d v="2022-02-16T20:44:21"/>
    <s v="22-1971"/>
    <s v="P001"/>
    <x v="16"/>
    <n v="108"/>
    <n v="36"/>
    <n v="972"/>
    <n v="324"/>
    <n v="648"/>
    <x v="273"/>
    <s v="Corporate &amp; Professional"/>
    <n v="11.971065679104063"/>
    <s v="Neither"/>
    <n v="5"/>
  </r>
  <r>
    <d v="2019-03-29T04:51:05"/>
    <s v="19-3177"/>
    <s v="P084"/>
    <x v="2"/>
    <n v="154"/>
    <n v="77"/>
    <n v="2002"/>
    <n v="1001"/>
    <n v="1001"/>
    <x v="276"/>
    <s v="Education"/>
    <n v="10.518436853046438"/>
    <s v="Neither"/>
    <n v="5"/>
  </r>
  <r>
    <d v="2019-09-27T14:22:55"/>
    <s v="19-2500"/>
    <s v="P049"/>
    <x v="4"/>
    <n v="356"/>
    <n v="89"/>
    <n v="712"/>
    <n v="178"/>
    <n v="534"/>
    <x v="187"/>
    <s v="Creative &amp; Technology"/>
    <n v="13.259563298324382"/>
    <s v="Dissatisfied"/>
    <n v="1"/>
  </r>
  <r>
    <d v="2017-08-27T00:26:45"/>
    <s v="17-3997"/>
    <s v="P024"/>
    <x v="1"/>
    <n v="66"/>
    <n v="33"/>
    <n v="528"/>
    <n v="264"/>
    <n v="264"/>
    <x v="51"/>
    <s v="Facilities &amp; Services"/>
    <n v="10.523527521613014"/>
    <s v="Neither"/>
    <n v="5"/>
  </r>
  <r>
    <d v="2020-09-14T00:50:47"/>
    <s v="20-4518"/>
    <s v="P099"/>
    <x v="9"/>
    <n v="132"/>
    <n v="33"/>
    <n v="2640"/>
    <n v="660"/>
    <n v="1980"/>
    <x v="70"/>
    <s v="Community &amp; Government"/>
    <n v="14.593670394271927"/>
    <s v="Dissatisfied"/>
    <n v="1"/>
  </r>
  <r>
    <d v="2019-11-07T01:47:18"/>
    <s v="19-4544"/>
    <s v="P001"/>
    <x v="18"/>
    <n v="108"/>
    <n v="36"/>
    <n v="1944"/>
    <n v="648"/>
    <n v="1296"/>
    <x v="121"/>
    <s v="Creative &amp; Technology"/>
    <n v="11.394777319422785"/>
    <s v="Neither"/>
    <n v="5"/>
  </r>
  <r>
    <d v="2019-08-03T23:53:45"/>
    <s v="19-1747"/>
    <s v="P061"/>
    <x v="2"/>
    <n v="264"/>
    <n v="88"/>
    <n v="3432"/>
    <n v="1144"/>
    <n v="2288"/>
    <x v="264"/>
    <s v="Education"/>
    <n v="10.818241047231139"/>
    <s v="Neither"/>
    <n v="5"/>
  </r>
  <r>
    <d v="2021-04-21T00:16:59"/>
    <s v="21-3363"/>
    <s v="P099"/>
    <x v="19"/>
    <n v="132"/>
    <n v="33"/>
    <n v="2508"/>
    <n v="627"/>
    <n v="1881"/>
    <x v="73"/>
    <s v="Creative &amp; Technology"/>
    <n v="15.234329552872023"/>
    <s v="Satisfied"/>
    <n v="10"/>
  </r>
  <r>
    <d v="2018-11-24T15:24:36"/>
    <s v="18-4119"/>
    <s v="P074"/>
    <x v="6"/>
    <n v="352"/>
    <n v="88"/>
    <n v="2112"/>
    <n v="528"/>
    <n v="1584"/>
    <x v="292"/>
    <s v="Creative &amp; Technology"/>
    <n v="13.537350739681813"/>
    <s v="Dissatisfied"/>
    <n v="1"/>
  </r>
  <r>
    <d v="2020-03-05T22:01:30"/>
    <s v="20-1736"/>
    <s v="P079"/>
    <x v="18"/>
    <n v="188"/>
    <n v="94"/>
    <n v="3384"/>
    <n v="1692"/>
    <n v="1692"/>
    <x v="273"/>
    <s v="Corporate &amp; Professional"/>
    <n v="11.971065679104063"/>
    <s v="Satisfied"/>
    <n v="10"/>
  </r>
  <r>
    <d v="2020-02-15T19:20:35"/>
    <s v="20-2358"/>
    <s v="P026"/>
    <x v="17"/>
    <n v="280"/>
    <n v="70"/>
    <n v="280"/>
    <n v="70"/>
    <n v="210"/>
    <x v="282"/>
    <s v="Community &amp; Government"/>
    <n v="14.157909724393564"/>
    <s v="Neither"/>
    <n v="5"/>
  </r>
  <r>
    <d v="2023-04-25T00:41:20"/>
    <s v="23-1834"/>
    <s v="P060"/>
    <x v="10"/>
    <n v="300"/>
    <n v="75"/>
    <n v="1500"/>
    <n v="375"/>
    <n v="1125"/>
    <x v="55"/>
    <s v="Creative &amp; Technology"/>
    <n v="13.765798454641494"/>
    <s v="Dissatisfied"/>
    <n v="1"/>
  </r>
  <r>
    <d v="2020-09-08T20:18:16"/>
    <s v="20-1548"/>
    <s v="P093"/>
    <x v="13"/>
    <n v="384"/>
    <n v="96"/>
    <n v="3840"/>
    <n v="960"/>
    <n v="2880"/>
    <x v="8"/>
    <s v="Sports &amp; Recreation"/>
    <n v="10.988762477277161"/>
    <s v="Dissatisfied"/>
    <n v="1"/>
  </r>
  <r>
    <d v="2019-12-11T21:01:55"/>
    <s v="19-2071"/>
    <s v="P077"/>
    <x v="12"/>
    <n v="162"/>
    <n v="54"/>
    <n v="1134"/>
    <n v="378"/>
    <n v="756"/>
    <x v="71"/>
    <s v="Corporate &amp; Professional"/>
    <n v="11.274864741138284"/>
    <s v="Neither"/>
    <n v="5"/>
  </r>
  <r>
    <d v="2020-05-19T06:18:15"/>
    <s v="20-3128"/>
    <s v="P058"/>
    <x v="17"/>
    <n v="356"/>
    <n v="89"/>
    <n v="356"/>
    <n v="89"/>
    <n v="267"/>
    <x v="196"/>
    <s v="Community &amp; Government"/>
    <n v="12.869841591513939"/>
    <s v="Satisfied"/>
    <n v="10"/>
  </r>
  <r>
    <d v="2021-06-13T16:12:28"/>
    <s v="21-2596"/>
    <s v="P062"/>
    <x v="2"/>
    <n v="348"/>
    <n v="87"/>
    <n v="4524"/>
    <n v="1131"/>
    <n v="3393"/>
    <x v="33"/>
    <s v="Healthcare &amp; Safety"/>
    <n v="7.1104128275166252"/>
    <s v="Dissatisfied"/>
    <n v="1"/>
  </r>
  <r>
    <d v="2020-01-19T17:35:28"/>
    <s v="20-1482"/>
    <s v="P001"/>
    <x v="6"/>
    <n v="108"/>
    <n v="36"/>
    <n v="648"/>
    <n v="216"/>
    <n v="432"/>
    <x v="151"/>
    <s v="Sports &amp; Recreation"/>
    <n v="9.458617986208397"/>
    <s v="Satisfied"/>
    <n v="10"/>
  </r>
  <r>
    <d v="2020-04-17T18:00:40"/>
    <s v="20-3742"/>
    <s v="P063"/>
    <x v="18"/>
    <n v="261"/>
    <n v="87"/>
    <n v="4698"/>
    <n v="1566"/>
    <n v="3132"/>
    <x v="54"/>
    <s v="Community &amp; Government"/>
    <n v="13.890275354050972"/>
    <s v="Neither"/>
    <n v="5"/>
  </r>
  <r>
    <d v="2022-03-19T02:50:20"/>
    <s v="22-3413"/>
    <s v="P053"/>
    <x v="0"/>
    <n v="50"/>
    <n v="25"/>
    <n v="750"/>
    <n v="375"/>
    <n v="375"/>
    <x v="86"/>
    <s v="Community &amp; Government"/>
    <n v="12.758430621858414"/>
    <s v="Dissatisfied"/>
    <n v="1"/>
  </r>
  <r>
    <d v="2019-12-02T16:13:02"/>
    <s v="19-1978"/>
    <s v="P036"/>
    <x v="8"/>
    <n v="280"/>
    <n v="70"/>
    <n v="3920"/>
    <n v="980"/>
    <n v="2940"/>
    <x v="48"/>
    <s v="Creative &amp; Technology"/>
    <n v="11.939773463335372"/>
    <s v="Satisfied"/>
    <n v="10"/>
  </r>
  <r>
    <d v="2020-11-21T21:29:31"/>
    <s v="20-4579"/>
    <s v="P063"/>
    <x v="17"/>
    <n v="261"/>
    <n v="87"/>
    <n v="261"/>
    <n v="87"/>
    <n v="174"/>
    <x v="271"/>
    <s v="Sports &amp; Recreation"/>
    <n v="13.601235361661526"/>
    <s v="Neither"/>
    <n v="5"/>
  </r>
  <r>
    <d v="2020-12-26T08:55:36"/>
    <s v="20-1060"/>
    <s v="P067"/>
    <x v="9"/>
    <n v="144"/>
    <n v="36"/>
    <n v="2880"/>
    <n v="720"/>
    <n v="2160"/>
    <x v="289"/>
    <s v="Community &amp; Government"/>
    <n v="11.238524301148807"/>
    <s v="Satisfied"/>
    <n v="10"/>
  </r>
  <r>
    <d v="2021-09-02T04:52:10"/>
    <s v="21-4479"/>
    <s v="P009"/>
    <x v="14"/>
    <n v="255"/>
    <n v="85"/>
    <n v="3060"/>
    <n v="1020"/>
    <n v="2040"/>
    <x v="220"/>
    <s v="Education"/>
    <n v="13.392447352247808"/>
    <s v="Neither"/>
    <n v="5"/>
  </r>
  <r>
    <d v="2020-11-19T20:52:36"/>
    <s v="20-1462"/>
    <s v="P005"/>
    <x v="16"/>
    <n v="76"/>
    <n v="19"/>
    <n v="684"/>
    <n v="171"/>
    <n v="513"/>
    <x v="43"/>
    <s v="Corporate &amp; Professional"/>
    <n v="15.121383064708469"/>
    <s v="Neither"/>
    <n v="5"/>
  </r>
  <r>
    <d v="2018-11-10T15:55:47"/>
    <s v="18-3867"/>
    <s v="P052"/>
    <x v="3"/>
    <n v="352"/>
    <n v="88"/>
    <n v="1408"/>
    <n v="352"/>
    <n v="1056"/>
    <x v="190"/>
    <s v="Corporate &amp; Professional"/>
    <n v="15.478388039566896"/>
    <s v="Neither"/>
    <n v="5"/>
  </r>
  <r>
    <d v="2019-07-28T06:21:55"/>
    <s v="19-1194"/>
    <s v="P018"/>
    <x v="11"/>
    <n v="108"/>
    <n v="54"/>
    <n v="1728"/>
    <n v="864"/>
    <n v="864"/>
    <x v="227"/>
    <s v="Creative &amp; Technology"/>
    <n v="14.308257477047373"/>
    <s v="Satisfied"/>
    <n v="10"/>
  </r>
  <r>
    <d v="2022-06-20T23:38:31"/>
    <s v="22-2795"/>
    <s v="P082"/>
    <x v="16"/>
    <n v="312"/>
    <n v="78"/>
    <n v="2808"/>
    <n v="702"/>
    <n v="2106"/>
    <x v="136"/>
    <s v="Creative &amp; Technology"/>
    <n v="16.429355109701351"/>
    <s v="Dissatisfied"/>
    <n v="1"/>
  </r>
  <r>
    <d v="2021-04-23T17:06:40"/>
    <s v="21-1875"/>
    <s v="P017"/>
    <x v="16"/>
    <n v="120"/>
    <n v="30"/>
    <n v="1080"/>
    <n v="270"/>
    <n v="810"/>
    <x v="73"/>
    <s v="Creative &amp; Technology"/>
    <n v="15.234329552872023"/>
    <s v="Neither"/>
    <n v="5"/>
  </r>
  <r>
    <d v="2021-01-05T14:12:42"/>
    <s v="21-1458"/>
    <s v="P019"/>
    <x v="2"/>
    <n v="308"/>
    <n v="77"/>
    <n v="4004"/>
    <n v="1001"/>
    <n v="3003"/>
    <x v="225"/>
    <s v="Healthcare &amp; Safety"/>
    <n v="9.4608554813364627"/>
    <s v="Neither"/>
    <n v="5"/>
  </r>
  <r>
    <d v="2019-08-26T18:46:56"/>
    <s v="19-3425"/>
    <s v="P051"/>
    <x v="9"/>
    <n v="135"/>
    <n v="45"/>
    <n v="2700"/>
    <n v="900"/>
    <n v="1800"/>
    <x v="72"/>
    <s v="Community &amp; Government"/>
    <n v="15.458859683514467"/>
    <s v="Neither"/>
    <n v="5"/>
  </r>
  <r>
    <d v="2021-07-17T15:35:50"/>
    <s v="21-4546"/>
    <s v="P026"/>
    <x v="17"/>
    <n v="280"/>
    <n v="70"/>
    <n v="280"/>
    <n v="70"/>
    <n v="210"/>
    <x v="170"/>
    <s v="Sports &amp; Recreation"/>
    <n v="10.037135914792184"/>
    <s v="Neither"/>
    <n v="5"/>
  </r>
  <r>
    <d v="2019-03-30T20:45:45"/>
    <s v="19-1194"/>
    <s v="P010"/>
    <x v="16"/>
    <n v="144"/>
    <n v="36"/>
    <n v="1296"/>
    <n v="324"/>
    <n v="972"/>
    <x v="21"/>
    <s v="Facilities &amp; Services"/>
    <n v="13.717776078041958"/>
    <s v="Neither"/>
    <n v="5"/>
  </r>
  <r>
    <d v="2020-03-14T10:51:42"/>
    <s v="20-4806"/>
    <s v="P002"/>
    <x v="0"/>
    <n v="144"/>
    <n v="36"/>
    <n v="2160"/>
    <n v="540"/>
    <n v="1620"/>
    <x v="205"/>
    <s v="Facilities &amp; Services"/>
    <n v="10.434860153112215"/>
    <s v="Neither"/>
    <n v="5"/>
  </r>
  <r>
    <d v="2021-09-23T23:42:29"/>
    <s v="21-1358"/>
    <s v="P004"/>
    <x v="8"/>
    <n v="189"/>
    <n v="63"/>
    <n v="2646"/>
    <n v="882"/>
    <n v="1764"/>
    <x v="217"/>
    <s v="Education"/>
    <n v="11.862005526237752"/>
    <s v="Neither"/>
    <n v="5"/>
  </r>
  <r>
    <d v="2019-03-07T18:48:51"/>
    <s v="19-1111"/>
    <s v="P021"/>
    <x v="8"/>
    <n v="207"/>
    <n v="69"/>
    <n v="2898"/>
    <n v="966"/>
    <n v="1932"/>
    <x v="95"/>
    <s v="Facilities &amp; Services"/>
    <n v="7.7337149713827413"/>
    <s v="Neither"/>
    <n v="5"/>
  </r>
  <r>
    <d v="2020-03-17T03:51:20"/>
    <s v="20-4693"/>
    <s v="P032"/>
    <x v="9"/>
    <n v="92"/>
    <n v="46"/>
    <n v="1840"/>
    <n v="920"/>
    <n v="920"/>
    <x v="232"/>
    <s v="Corporate &amp; Professional"/>
    <n v="11.816654396440285"/>
    <s v="Neither"/>
    <n v="5"/>
  </r>
  <r>
    <d v="2020-07-14T02:22:01"/>
    <s v="20-4905"/>
    <s v="P023"/>
    <x v="0"/>
    <n v="126"/>
    <n v="42"/>
    <n v="1890"/>
    <n v="630"/>
    <n v="1260"/>
    <x v="70"/>
    <s v="Community &amp; Government"/>
    <n v="14.593670394271927"/>
    <s v="Neither"/>
    <n v="5"/>
  </r>
  <r>
    <d v="2019-07-29T00:11:12"/>
    <s v="19-4813"/>
    <s v="P016"/>
    <x v="13"/>
    <n v="110"/>
    <n v="55"/>
    <n v="1100"/>
    <n v="550"/>
    <n v="550"/>
    <x v="93"/>
    <s v="Facilities &amp; Services"/>
    <n v="10.966283117837653"/>
    <s v="Dissatisfied"/>
    <n v="1"/>
  </r>
  <r>
    <d v="2019-03-10T10:52:16"/>
    <s v="19-4594"/>
    <s v="P049"/>
    <x v="10"/>
    <n v="356"/>
    <n v="89"/>
    <n v="1780"/>
    <n v="445"/>
    <n v="1335"/>
    <x v="114"/>
    <s v="Healthcare &amp; Safety"/>
    <n v="14.423322704129969"/>
    <s v="Neither"/>
    <n v="5"/>
  </r>
  <r>
    <d v="2021-01-16T22:16:17"/>
    <s v="21-1495"/>
    <s v="P099"/>
    <x v="13"/>
    <n v="132"/>
    <n v="33"/>
    <n v="1320"/>
    <n v="330"/>
    <n v="990"/>
    <x v="144"/>
    <s v="Education"/>
    <n v="16.368863536738775"/>
    <s v="Neither"/>
    <n v="5"/>
  </r>
  <r>
    <d v="2020-10-25T00:35:04"/>
    <s v="20-4060"/>
    <s v="P005"/>
    <x v="10"/>
    <n v="76"/>
    <n v="19"/>
    <n v="380"/>
    <n v="95"/>
    <n v="285"/>
    <x v="141"/>
    <s v="Facilities &amp; Services"/>
    <n v="13.104576594826185"/>
    <s v="Neither"/>
    <n v="5"/>
  </r>
  <r>
    <d v="2019-09-18T08:38:31"/>
    <s v="19-1981"/>
    <s v="P095"/>
    <x v="7"/>
    <n v="116"/>
    <n v="29"/>
    <n v="1276"/>
    <n v="319"/>
    <n v="957"/>
    <x v="6"/>
    <s v="Creative &amp; Technology"/>
    <n v="11.749993886708426"/>
    <s v="Dissatisfied"/>
    <n v="1"/>
  </r>
  <r>
    <d v="2018-07-22T06:25:47"/>
    <s v="18-4533"/>
    <s v="P049"/>
    <x v="2"/>
    <n v="356"/>
    <n v="89"/>
    <n v="4628"/>
    <n v="1157"/>
    <n v="3471"/>
    <x v="291"/>
    <s v="Facilities &amp; Services"/>
    <n v="11.375127981841125"/>
    <s v="Neither"/>
    <n v="5"/>
  </r>
  <r>
    <d v="2017-11-30T14:37:47"/>
    <s v="17-3345"/>
    <s v="P064"/>
    <x v="5"/>
    <n v="231"/>
    <n v="77"/>
    <n v="693"/>
    <n v="231"/>
    <n v="462"/>
    <x v="287"/>
    <s v="Community &amp; Government"/>
    <n v="14.412865837260112"/>
    <s v="Dissatisfied"/>
    <n v="1"/>
  </r>
  <r>
    <d v="2019-06-10T17:34:35"/>
    <s v="19-1119"/>
    <s v="P067"/>
    <x v="14"/>
    <n v="144"/>
    <n v="36"/>
    <n v="1728"/>
    <n v="432"/>
    <n v="1296"/>
    <x v="13"/>
    <s v="Sports &amp; Recreation"/>
    <n v="12.163730387337393"/>
    <s v="Satisfied"/>
    <n v="10"/>
  </r>
  <r>
    <d v="2019-08-07T00:25:19"/>
    <s v="19-1333"/>
    <s v="P039"/>
    <x v="3"/>
    <n v="270"/>
    <n v="90"/>
    <n v="1080"/>
    <n v="360"/>
    <n v="720"/>
    <x v="45"/>
    <s v="Sports &amp; Recreation"/>
    <n v="12.1334991293512"/>
    <s v="Satisfied"/>
    <n v="10"/>
  </r>
  <r>
    <d v="2018-05-18T19:01:33"/>
    <s v="18-1987"/>
    <s v="P037"/>
    <x v="2"/>
    <n v="160"/>
    <n v="80"/>
    <n v="2080"/>
    <n v="1040"/>
    <n v="1040"/>
    <x v="59"/>
    <s v="Creative &amp; Technology"/>
    <n v="10.980884286450312"/>
    <s v="Satisfied"/>
    <n v="10"/>
  </r>
  <r>
    <d v="2019-03-06T22:04:21"/>
    <s v="19-3355"/>
    <s v="P074"/>
    <x v="12"/>
    <n v="352"/>
    <n v="88"/>
    <n v="2464"/>
    <n v="616"/>
    <n v="1848"/>
    <x v="254"/>
    <s v="Corporate &amp; Professional"/>
    <n v="8.1743378387804331"/>
    <s v="Neither"/>
    <n v="5"/>
  </r>
  <r>
    <d v="2020-10-22T14:32:10"/>
    <s v="20-4892"/>
    <s v="P082"/>
    <x v="8"/>
    <n v="312"/>
    <n v="78"/>
    <n v="4368"/>
    <n v="1092"/>
    <n v="3276"/>
    <x v="242"/>
    <s v="Corporate &amp; Professional"/>
    <n v="13.062292798511226"/>
    <s v="Neither"/>
    <n v="5"/>
  </r>
  <r>
    <d v="2018-04-07T02:06:41"/>
    <s v="18-4100"/>
    <s v="P033"/>
    <x v="4"/>
    <n v="57"/>
    <n v="19"/>
    <n v="114"/>
    <n v="38"/>
    <n v="76"/>
    <x v="149"/>
    <s v="Facilities &amp; Services"/>
    <n v="11.311040680082275"/>
    <s v="Neither"/>
    <n v="5"/>
  </r>
  <r>
    <d v="2021-07-31T08:30:32"/>
    <s v="21-4157"/>
    <s v="P028"/>
    <x v="3"/>
    <n v="156"/>
    <n v="78"/>
    <n v="624"/>
    <n v="312"/>
    <n v="312"/>
    <x v="246"/>
    <s v="Facilities &amp; Services"/>
    <n v="13.853438793083487"/>
    <s v="Satisfied"/>
    <n v="10"/>
  </r>
  <r>
    <d v="2020-01-12T05:19:21"/>
    <s v="20-1241"/>
    <s v="P043"/>
    <x v="0"/>
    <n v="184"/>
    <n v="92"/>
    <n v="2760"/>
    <n v="1380"/>
    <n v="1380"/>
    <x v="158"/>
    <s v="Creative &amp; Technology"/>
    <n v="15.207985888346794"/>
    <s v="Dissatisfied"/>
    <n v="1"/>
  </r>
  <r>
    <d v="2021-07-02T00:08:44"/>
    <s v="21-3004"/>
    <s v="P016"/>
    <x v="10"/>
    <n v="110"/>
    <n v="55"/>
    <n v="550"/>
    <n v="275"/>
    <n v="275"/>
    <x v="40"/>
    <s v="Corporate &amp; Professional"/>
    <n v="14.370283356317486"/>
    <s v="Dissatisfied"/>
    <n v="1"/>
  </r>
  <r>
    <d v="2020-03-21T08:46:35"/>
    <s v="20-4020"/>
    <s v="P041"/>
    <x v="13"/>
    <n v="144"/>
    <n v="36"/>
    <n v="1440"/>
    <n v="360"/>
    <n v="1080"/>
    <x v="100"/>
    <s v="Sports &amp; Recreation"/>
    <n v="10.132922049221957"/>
    <s v="Neither"/>
    <n v="5"/>
  </r>
  <r>
    <d v="2020-11-06T20:13:19"/>
    <s v="20-4054"/>
    <s v="P066"/>
    <x v="10"/>
    <n v="34"/>
    <n v="17"/>
    <n v="170"/>
    <n v="85"/>
    <n v="85"/>
    <x v="136"/>
    <s v="Creative &amp; Technology"/>
    <n v="16.429355109701351"/>
    <s v="Dissatisfied"/>
    <n v="1"/>
  </r>
  <r>
    <d v="2019-01-28T08:54:02"/>
    <s v="19-1225"/>
    <s v="P088"/>
    <x v="16"/>
    <n v="192"/>
    <n v="96"/>
    <n v="1728"/>
    <n v="864"/>
    <n v="864"/>
    <x v="248"/>
    <s v="Creative &amp; Technology"/>
    <n v="11.130819205617987"/>
    <s v="Neither"/>
    <n v="5"/>
  </r>
  <r>
    <d v="2020-01-05T09:30:47"/>
    <s v="20-4696"/>
    <s v="P056"/>
    <x v="17"/>
    <n v="72"/>
    <n v="36"/>
    <n v="72"/>
    <n v="36"/>
    <n v="36"/>
    <x v="131"/>
    <s v="Corporate &amp; Professional"/>
    <n v="11.701919153133453"/>
    <s v="Neither"/>
    <n v="5"/>
  </r>
  <r>
    <d v="2019-03-19T04:52:03"/>
    <s v="19-2917"/>
    <s v="P033"/>
    <x v="7"/>
    <n v="57"/>
    <n v="19"/>
    <n v="627"/>
    <n v="209"/>
    <n v="418"/>
    <x v="252"/>
    <s v="Community &amp; Government"/>
    <n v="10.968401424454578"/>
    <s v="Neither"/>
    <n v="5"/>
  </r>
  <r>
    <d v="2020-05-11T22:09:13"/>
    <s v="20-2746"/>
    <s v="P099"/>
    <x v="14"/>
    <n v="132"/>
    <n v="33"/>
    <n v="1584"/>
    <n v="396"/>
    <n v="1188"/>
    <x v="102"/>
    <s v="Facilities &amp; Services"/>
    <n v="9.8928038181361391"/>
    <s v="Neither"/>
    <n v="5"/>
  </r>
  <r>
    <d v="2019-04-15T11:29:50"/>
    <s v="19-4958"/>
    <s v="P073"/>
    <x v="4"/>
    <n v="48"/>
    <n v="24"/>
    <n v="96"/>
    <n v="48"/>
    <n v="48"/>
    <x v="215"/>
    <s v="Facilities &amp; Services"/>
    <n v="14.817898176328208"/>
    <s v="Dissatisfied"/>
    <n v="1"/>
  </r>
  <r>
    <d v="2020-10-06T23:48:59"/>
    <s v="20-4079"/>
    <s v="P036"/>
    <x v="0"/>
    <n v="280"/>
    <n v="70"/>
    <n v="4200"/>
    <n v="1050"/>
    <n v="3150"/>
    <x v="114"/>
    <s v="Healthcare &amp; Safety"/>
    <n v="14.423322704129969"/>
    <s v="Neither"/>
    <n v="5"/>
  </r>
  <r>
    <d v="2021-01-01T23:57:34"/>
    <s v="21-4935"/>
    <s v="P038"/>
    <x v="12"/>
    <n v="240"/>
    <n v="80"/>
    <n v="1680"/>
    <n v="560"/>
    <n v="1120"/>
    <x v="259"/>
    <s v="Education"/>
    <n v="15.268550004010105"/>
    <s v="Dissatisfied"/>
    <n v="1"/>
  </r>
  <r>
    <d v="2020-10-21T08:10:46"/>
    <s v="20-1247"/>
    <s v="P006"/>
    <x v="14"/>
    <n v="38"/>
    <n v="19"/>
    <n v="456"/>
    <n v="228"/>
    <n v="228"/>
    <x v="212"/>
    <s v="Sports &amp; Recreation"/>
    <n v="11.443503623244197"/>
    <s v="Neither"/>
    <n v="5"/>
  </r>
  <r>
    <d v="2021-01-31T16:01:27"/>
    <s v="21-3202"/>
    <s v="P077"/>
    <x v="4"/>
    <n v="162"/>
    <n v="54"/>
    <n v="324"/>
    <n v="108"/>
    <n v="216"/>
    <x v="102"/>
    <s v="Facilities &amp; Services"/>
    <n v="9.8928038181361391"/>
    <s v="Neither"/>
    <n v="5"/>
  </r>
  <r>
    <d v="2015-10-20T09:19:30"/>
    <s v="15-3098"/>
    <s v="P031"/>
    <x v="2"/>
    <n v="146"/>
    <n v="73"/>
    <n v="1898"/>
    <n v="949"/>
    <n v="949"/>
    <x v="99"/>
    <s v="Healthcare &amp; Safety"/>
    <n v="12.148236977735172"/>
    <s v="Neither"/>
    <n v="5"/>
  </r>
  <r>
    <d v="2021-03-26T20:52:47"/>
    <s v="21-3350"/>
    <s v="P055"/>
    <x v="3"/>
    <n v="360"/>
    <n v="90"/>
    <n v="1440"/>
    <n v="360"/>
    <n v="1080"/>
    <x v="215"/>
    <s v="Facilities &amp; Services"/>
    <n v="14.817898176328208"/>
    <s v="Satisfied"/>
    <n v="10"/>
  </r>
  <r>
    <d v="2019-05-24T22:15:28"/>
    <s v="19-4309"/>
    <s v="P083"/>
    <x v="15"/>
    <n v="90"/>
    <n v="45"/>
    <n v="1530"/>
    <n v="765"/>
    <n v="765"/>
    <x v="191"/>
    <s v="Corporate &amp; Professional"/>
    <n v="12.131375018945562"/>
    <s v="Neither"/>
    <n v="5"/>
  </r>
  <r>
    <d v="2017-11-27T23:50:44"/>
    <s v="17-2601"/>
    <s v="P048"/>
    <x v="4"/>
    <n v="252"/>
    <n v="63"/>
    <n v="504"/>
    <n v="126"/>
    <n v="378"/>
    <x v="220"/>
    <s v="Education"/>
    <n v="13.392447352247808"/>
    <s v="Satisfied"/>
    <n v="10"/>
  </r>
  <r>
    <d v="2018-02-22T18:30:18"/>
    <s v="18-2113"/>
    <s v="P095"/>
    <x v="19"/>
    <n v="116"/>
    <n v="29"/>
    <n v="2204"/>
    <n v="551"/>
    <n v="1653"/>
    <x v="31"/>
    <s v="Corporate &amp; Professional"/>
    <n v="9.4200113153305907"/>
    <s v="Neither"/>
    <n v="5"/>
  </r>
  <r>
    <d v="2019-12-27T22:50:33"/>
    <s v="19-1562"/>
    <s v="P039"/>
    <x v="3"/>
    <n v="270"/>
    <n v="90"/>
    <n v="1080"/>
    <n v="360"/>
    <n v="720"/>
    <x v="179"/>
    <s v="Creative &amp; Technology"/>
    <n v="12.207242573430314"/>
    <s v="Neither"/>
    <n v="5"/>
  </r>
  <r>
    <d v="2021-06-15T08:56:52"/>
    <s v="21-4120"/>
    <s v="P083"/>
    <x v="16"/>
    <n v="90"/>
    <n v="45"/>
    <n v="810"/>
    <n v="405"/>
    <n v="405"/>
    <x v="285"/>
    <s v="Healthcare &amp; Safety"/>
    <n v="13.2671922973198"/>
    <s v="Neither"/>
    <n v="5"/>
  </r>
  <r>
    <d v="2020-08-28T18:07:48"/>
    <s v="20-1116"/>
    <s v="P087"/>
    <x v="2"/>
    <n v="176"/>
    <n v="88"/>
    <n v="2288"/>
    <n v="1144"/>
    <n v="1144"/>
    <x v="64"/>
    <s v="Corporate &amp; Professional"/>
    <n v="11.083482342133532"/>
    <s v="Neither"/>
    <n v="5"/>
  </r>
  <r>
    <d v="2022-09-11T19:47:50"/>
    <s v="22-2603"/>
    <s v="P087"/>
    <x v="1"/>
    <n v="176"/>
    <n v="88"/>
    <n v="1408"/>
    <n v="704"/>
    <n v="704"/>
    <x v="138"/>
    <s v="Healthcare &amp; Safety"/>
    <n v="12.85215703546821"/>
    <s v="Satisfied"/>
    <n v="10"/>
  </r>
  <r>
    <d v="2018-03-09T14:09:37"/>
    <s v="18-2167"/>
    <s v="P096"/>
    <x v="3"/>
    <n v="144"/>
    <n v="48"/>
    <n v="576"/>
    <n v="192"/>
    <n v="384"/>
    <x v="42"/>
    <s v="Community &amp; Government"/>
    <n v="10.216282609482219"/>
    <s v="Dissatisfied"/>
    <n v="1"/>
  </r>
  <r>
    <d v="2020-02-03T16:29:29"/>
    <s v="20-3036"/>
    <s v="P028"/>
    <x v="3"/>
    <n v="156"/>
    <n v="78"/>
    <n v="624"/>
    <n v="312"/>
    <n v="312"/>
    <x v="284"/>
    <s v="Facilities &amp; Services"/>
    <n v="8.6625575824723242"/>
    <s v="Neither"/>
    <n v="5"/>
  </r>
  <r>
    <d v="2020-04-22T18:07:40"/>
    <s v="20-1821"/>
    <s v="P067"/>
    <x v="4"/>
    <n v="144"/>
    <n v="36"/>
    <n v="288"/>
    <n v="72"/>
    <n v="216"/>
    <x v="165"/>
    <s v="Creative &amp; Technology"/>
    <n v="13.929237493388955"/>
    <s v="Satisfied"/>
    <n v="10"/>
  </r>
  <r>
    <d v="2021-09-21T22:23:51"/>
    <s v="21-2074"/>
    <s v="P006"/>
    <x v="16"/>
    <n v="38"/>
    <n v="19"/>
    <n v="342"/>
    <n v="171"/>
    <n v="171"/>
    <x v="69"/>
    <s v="Healthcare &amp; Safety"/>
    <n v="9.3014286057233697"/>
    <s v="Satisfied"/>
    <n v="10"/>
  </r>
  <r>
    <d v="2021-07-03T12:11:58"/>
    <s v="21-1535"/>
    <s v="P026"/>
    <x v="18"/>
    <n v="280"/>
    <n v="70"/>
    <n v="5040"/>
    <n v="1260"/>
    <n v="3780"/>
    <x v="136"/>
    <s v="Creative &amp; Technology"/>
    <n v="16.429355109701351"/>
    <s v="Neither"/>
    <n v="5"/>
  </r>
  <r>
    <d v="2019-05-16T13:43:43"/>
    <s v="19-2924"/>
    <s v="P086"/>
    <x v="3"/>
    <n v="352"/>
    <n v="88"/>
    <n v="1408"/>
    <n v="352"/>
    <n v="1056"/>
    <x v="168"/>
    <s v="Healthcare &amp; Safety"/>
    <n v="9.74650548941427"/>
    <s v="Neither"/>
    <n v="5"/>
  </r>
  <r>
    <d v="2020-12-25T20:19:15"/>
    <s v="20-3230"/>
    <s v="P049"/>
    <x v="12"/>
    <n v="356"/>
    <n v="89"/>
    <n v="2492"/>
    <n v="623"/>
    <n v="1869"/>
    <x v="265"/>
    <s v="Corporate &amp; Professional"/>
    <n v="12.55774399806273"/>
    <s v="Dissatisfied"/>
    <n v="1"/>
  </r>
  <r>
    <d v="2020-04-29T01:18:52"/>
    <s v="20-2208"/>
    <s v="P053"/>
    <x v="12"/>
    <n v="50"/>
    <n v="25"/>
    <n v="350"/>
    <n v="175"/>
    <n v="175"/>
    <x v="265"/>
    <s v="Corporate &amp; Professional"/>
    <n v="12.55774399806273"/>
    <s v="Neither"/>
    <n v="5"/>
  </r>
  <r>
    <d v="2020-09-16T17:44:25"/>
    <s v="20-1186"/>
    <s v="P044"/>
    <x v="7"/>
    <n v="368"/>
    <n v="92"/>
    <n v="4048"/>
    <n v="1012"/>
    <n v="3036"/>
    <x v="57"/>
    <s v="Facilities &amp; Services"/>
    <n v="12.177709716438097"/>
    <s v="Neither"/>
    <n v="5"/>
  </r>
  <r>
    <d v="2019-02-05T18:18:36"/>
    <s v="19-1847"/>
    <s v="P087"/>
    <x v="16"/>
    <n v="176"/>
    <n v="88"/>
    <n v="1584"/>
    <n v="792"/>
    <n v="792"/>
    <x v="191"/>
    <s v="Corporate &amp; Professional"/>
    <n v="12.131375018945562"/>
    <s v="Neither"/>
    <n v="5"/>
  </r>
  <r>
    <d v="2022-06-23T11:50:06"/>
    <s v="22-3441"/>
    <s v="P080"/>
    <x v="15"/>
    <n v="57"/>
    <n v="19"/>
    <n v="969"/>
    <n v="323"/>
    <n v="646"/>
    <x v="139"/>
    <s v="Creative &amp; Technology"/>
    <n v="15.770846827234339"/>
    <s v="Dissatisfied"/>
    <n v="1"/>
  </r>
  <r>
    <d v="2019-11-06T22:04:00"/>
    <s v="19-1966"/>
    <s v="P018"/>
    <x v="12"/>
    <n v="108"/>
    <n v="54"/>
    <n v="756"/>
    <n v="378"/>
    <n v="378"/>
    <x v="75"/>
    <s v="Healthcare &amp; Safety"/>
    <n v="13.918153610259502"/>
    <s v="Dissatisfied"/>
    <n v="1"/>
  </r>
  <r>
    <d v="2020-09-29T12:50:45"/>
    <s v="20-1002"/>
    <s v="P003"/>
    <x v="1"/>
    <n v="189"/>
    <n v="63"/>
    <n v="1512"/>
    <n v="504"/>
    <n v="1008"/>
    <x v="114"/>
    <s v="Healthcare &amp; Safety"/>
    <n v="14.423322704129969"/>
    <s v="Neither"/>
    <n v="5"/>
  </r>
  <r>
    <d v="2020-10-25T05:17:29"/>
    <s v="20-4213"/>
    <s v="P020"/>
    <x v="7"/>
    <n v="180"/>
    <n v="45"/>
    <n v="1980"/>
    <n v="495"/>
    <n v="1485"/>
    <x v="5"/>
    <s v="Healthcare &amp; Safety"/>
    <n v="12.169266722245851"/>
    <s v="Neither"/>
    <n v="5"/>
  </r>
  <r>
    <d v="2019-11-15T16:44:03"/>
    <s v="19-1063"/>
    <s v="P053"/>
    <x v="11"/>
    <n v="50"/>
    <n v="25"/>
    <n v="800"/>
    <n v="400"/>
    <n v="400"/>
    <x v="79"/>
    <s v="Facilities &amp; Services"/>
    <n v="12.661538237835474"/>
    <s v="Neither"/>
    <n v="5"/>
  </r>
  <r>
    <d v="2020-05-21T06:56:36"/>
    <s v="20-4115"/>
    <s v="P060"/>
    <x v="18"/>
    <n v="300"/>
    <n v="75"/>
    <n v="5400"/>
    <n v="1350"/>
    <n v="4050"/>
    <x v="10"/>
    <s v="Education"/>
    <n v="12.957303170959879"/>
    <s v="Neither"/>
    <n v="5"/>
  </r>
  <r>
    <d v="2021-03-11T05:33:57"/>
    <s v="21-2576"/>
    <s v="P082"/>
    <x v="4"/>
    <n v="312"/>
    <n v="78"/>
    <n v="624"/>
    <n v="156"/>
    <n v="468"/>
    <x v="94"/>
    <s v="Corporate &amp; Professional"/>
    <n v="9.0350666811770921"/>
    <s v="Neither"/>
    <n v="5"/>
  </r>
  <r>
    <d v="2020-02-11T18:19:49"/>
    <s v="20-4404"/>
    <s v="P045"/>
    <x v="8"/>
    <n v="100"/>
    <n v="25"/>
    <n v="1400"/>
    <n v="350"/>
    <n v="1050"/>
    <x v="234"/>
    <s v="Creative &amp; Technology"/>
    <n v="12.990345718839325"/>
    <s v="Neither"/>
    <n v="5"/>
  </r>
  <r>
    <d v="2018-03-19T03:48:25"/>
    <s v="18-4547"/>
    <s v="P087"/>
    <x v="7"/>
    <n v="176"/>
    <n v="88"/>
    <n v="1936"/>
    <n v="968"/>
    <n v="968"/>
    <x v="235"/>
    <s v="Facilities &amp; Services"/>
    <n v="11.226611755437654"/>
    <s v="Satisfied"/>
    <n v="10"/>
  </r>
  <r>
    <d v="2018-11-25T19:57:15"/>
    <s v="18-1967"/>
    <s v="P037"/>
    <x v="14"/>
    <n v="160"/>
    <n v="80"/>
    <n v="1920"/>
    <n v="960"/>
    <n v="960"/>
    <x v="201"/>
    <s v="Community &amp; Government"/>
    <n v="8.1628930629234038"/>
    <s v="Neither"/>
    <n v="5"/>
  </r>
  <r>
    <d v="2015-06-23T17:03:17"/>
    <s v="15-2073"/>
    <s v="P055"/>
    <x v="1"/>
    <n v="360"/>
    <n v="90"/>
    <n v="2880"/>
    <n v="720"/>
    <n v="2160"/>
    <x v="242"/>
    <s v="Corporate &amp; Professional"/>
    <n v="13.062292798511226"/>
    <s v="Neither"/>
    <n v="5"/>
  </r>
  <r>
    <d v="2022-03-21T23:28:25"/>
    <s v="22-2573"/>
    <s v="P051"/>
    <x v="13"/>
    <n v="135"/>
    <n v="45"/>
    <n v="1350"/>
    <n v="450"/>
    <n v="900"/>
    <x v="75"/>
    <s v="Healthcare &amp; Safety"/>
    <n v="13.918153610259502"/>
    <s v="Satisfied"/>
    <n v="10"/>
  </r>
  <r>
    <d v="2022-05-18T20:01:46"/>
    <s v="22-2939"/>
    <s v="P090"/>
    <x v="15"/>
    <n v="57"/>
    <n v="19"/>
    <n v="969"/>
    <n v="323"/>
    <n v="646"/>
    <x v="83"/>
    <s v="Sports &amp; Recreation"/>
    <n v="11.504886852416154"/>
    <s v="Neither"/>
    <n v="5"/>
  </r>
  <r>
    <d v="2017-10-30T03:27:48"/>
    <s v="17-1307"/>
    <s v="P088"/>
    <x v="4"/>
    <n v="192"/>
    <n v="96"/>
    <n v="384"/>
    <n v="192"/>
    <n v="192"/>
    <x v="158"/>
    <s v="Creative &amp; Technology"/>
    <n v="15.207985888346794"/>
    <s v="Neither"/>
    <n v="5"/>
  </r>
  <r>
    <d v="2020-02-11T16:10:02"/>
    <s v="20-1459"/>
    <s v="P022"/>
    <x v="5"/>
    <n v="153"/>
    <n v="51"/>
    <n v="459"/>
    <n v="153"/>
    <n v="306"/>
    <x v="9"/>
    <s v="Sports &amp; Recreation"/>
    <n v="15.602184182549776"/>
    <s v="Satisfied"/>
    <n v="10"/>
  </r>
  <r>
    <d v="2023-06-30T20:53:21"/>
    <s v="23-1872"/>
    <s v="P088"/>
    <x v="3"/>
    <n v="192"/>
    <n v="96"/>
    <n v="768"/>
    <n v="384"/>
    <n v="384"/>
    <x v="0"/>
    <s v="Corporate &amp; Professional"/>
    <n v="10.278063859084313"/>
    <s v="Satisfied"/>
    <n v="10"/>
  </r>
  <r>
    <d v="2022-09-08T22:20:53"/>
    <s v="22-4332"/>
    <s v="P046"/>
    <x v="5"/>
    <n v="38"/>
    <n v="19"/>
    <n v="114"/>
    <n v="57"/>
    <n v="57"/>
    <x v="23"/>
    <s v="Healthcare &amp; Safety"/>
    <n v="13.407340878370247"/>
    <s v="Dissatisfied"/>
    <n v="1"/>
  </r>
  <r>
    <d v="2020-11-28T15:17:09"/>
    <s v="20-2402"/>
    <s v="P049"/>
    <x v="14"/>
    <n v="356"/>
    <n v="89"/>
    <n v="4272"/>
    <n v="1068"/>
    <n v="3204"/>
    <x v="9"/>
    <s v="Sports &amp; Recreation"/>
    <n v="15.602184182549776"/>
    <s v="Neither"/>
    <n v="5"/>
  </r>
  <r>
    <d v="2021-02-19T15:00:20"/>
    <s v="21-2502"/>
    <s v="P016"/>
    <x v="11"/>
    <n v="110"/>
    <n v="55"/>
    <n v="1760"/>
    <n v="880"/>
    <n v="880"/>
    <x v="77"/>
    <s v="Facilities &amp; Services"/>
    <n v="12.514998090845811"/>
    <s v="Neither"/>
    <n v="5"/>
  </r>
  <r>
    <d v="2020-11-21T13:17:40"/>
    <s v="20-2370"/>
    <s v="P020"/>
    <x v="0"/>
    <n v="180"/>
    <n v="45"/>
    <n v="2700"/>
    <n v="675"/>
    <n v="2025"/>
    <x v="156"/>
    <s v="Healthcare &amp; Safety"/>
    <n v="12.801144805697081"/>
    <s v="Satisfied"/>
    <n v="10"/>
  </r>
  <r>
    <d v="2017-04-26T00:32:06"/>
    <s v="17-1467"/>
    <s v="P099"/>
    <x v="5"/>
    <n v="132"/>
    <n v="33"/>
    <n v="396"/>
    <n v="99"/>
    <n v="297"/>
    <x v="219"/>
    <s v="Facilities &amp; Services"/>
    <n v="11.289144410898391"/>
    <s v="Neither"/>
    <n v="5"/>
  </r>
  <r>
    <d v="2022-05-17T02:53:37"/>
    <s v="22-2320"/>
    <s v="P061"/>
    <x v="8"/>
    <n v="264"/>
    <n v="88"/>
    <n v="3696"/>
    <n v="1232"/>
    <n v="2464"/>
    <x v="169"/>
    <s v="Healthcare &amp; Safety"/>
    <n v="14.341195386574373"/>
    <s v="Neither"/>
    <n v="5"/>
  </r>
  <r>
    <d v="2020-02-27T22:37:09"/>
    <s v="20-2667"/>
    <s v="P002"/>
    <x v="10"/>
    <n v="144"/>
    <n v="36"/>
    <n v="720"/>
    <n v="180"/>
    <n v="540"/>
    <x v="284"/>
    <s v="Facilities &amp; Services"/>
    <n v="8.6625575824723242"/>
    <s v="Satisfied"/>
    <n v="10"/>
  </r>
  <r>
    <d v="2022-07-21T09:18:10"/>
    <s v="22-2734"/>
    <s v="P055"/>
    <x v="7"/>
    <n v="360"/>
    <n v="90"/>
    <n v="3960"/>
    <n v="990"/>
    <n v="2970"/>
    <x v="234"/>
    <s v="Creative &amp; Technology"/>
    <n v="12.990345718839325"/>
    <s v="Neither"/>
    <n v="5"/>
  </r>
  <r>
    <d v="2020-03-18T01:06:34"/>
    <s v="20-4562"/>
    <s v="P078"/>
    <x v="0"/>
    <n v="225"/>
    <n v="75"/>
    <n v="3375"/>
    <n v="1125"/>
    <n v="2250"/>
    <x v="91"/>
    <s v="Creative &amp; Technology"/>
    <n v="11.03324198943719"/>
    <s v="Dissatisfied"/>
    <n v="1"/>
  </r>
  <r>
    <d v="2020-03-14T07:54:53"/>
    <s v="20-2894"/>
    <s v="P059"/>
    <x v="12"/>
    <n v="267"/>
    <n v="89"/>
    <n v="1869"/>
    <n v="623"/>
    <n v="1246"/>
    <x v="221"/>
    <s v="Community &amp; Government"/>
    <n v="13.611804647345796"/>
    <s v="Neither"/>
    <n v="5"/>
  </r>
  <r>
    <d v="2021-12-19T10:26:20"/>
    <s v="21-3363"/>
    <s v="P078"/>
    <x v="15"/>
    <n v="225"/>
    <n v="75"/>
    <n v="3825"/>
    <n v="1275"/>
    <n v="2550"/>
    <x v="37"/>
    <s v="Corporate &amp; Professional"/>
    <n v="11.749038185128619"/>
    <s v="Neither"/>
    <n v="5"/>
  </r>
  <r>
    <d v="2020-01-04T06:53:57"/>
    <s v="20-3476"/>
    <s v="P063"/>
    <x v="2"/>
    <n v="261"/>
    <n v="87"/>
    <n v="3393"/>
    <n v="1131"/>
    <n v="2262"/>
    <x v="102"/>
    <s v="Facilities &amp; Services"/>
    <n v="9.8928038181361391"/>
    <s v="Satisfied"/>
    <n v="10"/>
  </r>
  <r>
    <d v="2020-12-06T07:03:21"/>
    <s v="20-1439"/>
    <s v="P074"/>
    <x v="4"/>
    <n v="352"/>
    <n v="88"/>
    <n v="704"/>
    <n v="176"/>
    <n v="528"/>
    <x v="258"/>
    <s v="Corporate &amp; Professional"/>
    <n v="14.538471643780088"/>
    <s v="Neither"/>
    <n v="5"/>
  </r>
  <r>
    <d v="2018-04-29T05:46:50"/>
    <s v="18-3151"/>
    <s v="P080"/>
    <x v="15"/>
    <n v="57"/>
    <n v="19"/>
    <n v="969"/>
    <n v="323"/>
    <n v="646"/>
    <x v="71"/>
    <s v="Corporate &amp; Professional"/>
    <n v="11.274864741138284"/>
    <s v="Dissatisfied"/>
    <n v="1"/>
  </r>
  <r>
    <d v="2019-02-20T16:39:45"/>
    <s v="19-1342"/>
    <s v="P096"/>
    <x v="7"/>
    <n v="144"/>
    <n v="48"/>
    <n v="1584"/>
    <n v="528"/>
    <n v="1056"/>
    <x v="112"/>
    <s v="Creative &amp; Technology"/>
    <n v="12.004541523616258"/>
    <s v="Neither"/>
    <n v="5"/>
  </r>
  <r>
    <d v="2016-04-12T20:26:19"/>
    <s v="16-2269"/>
    <s v="P088"/>
    <x v="1"/>
    <n v="192"/>
    <n v="96"/>
    <n v="1536"/>
    <n v="768"/>
    <n v="768"/>
    <x v="156"/>
    <s v="Healthcare &amp; Safety"/>
    <n v="12.801144805697081"/>
    <s v="Satisfied"/>
    <n v="10"/>
  </r>
  <r>
    <d v="2019-10-29T16:44:09"/>
    <s v="19-1907"/>
    <s v="P051"/>
    <x v="18"/>
    <n v="135"/>
    <n v="45"/>
    <n v="2430"/>
    <n v="810"/>
    <n v="1620"/>
    <x v="35"/>
    <s v="Sports &amp; Recreation"/>
    <n v="12.487915239531313"/>
    <s v="Satisfied"/>
    <n v="10"/>
  </r>
  <r>
    <d v="2019-12-10T02:31:52"/>
    <s v="19-1419"/>
    <s v="P068"/>
    <x v="1"/>
    <n v="300"/>
    <n v="75"/>
    <n v="2400"/>
    <n v="600"/>
    <n v="1800"/>
    <x v="259"/>
    <s v="Education"/>
    <n v="15.268550004010105"/>
    <s v="Neither"/>
    <n v="5"/>
  </r>
  <r>
    <d v="2020-01-20T20:48:33"/>
    <s v="20-4215"/>
    <s v="P032"/>
    <x v="0"/>
    <n v="92"/>
    <n v="46"/>
    <n v="1380"/>
    <n v="690"/>
    <n v="690"/>
    <x v="117"/>
    <s v="Corporate &amp; Professional"/>
    <n v="11.687634894637348"/>
    <s v="Satisfied"/>
    <n v="10"/>
  </r>
  <r>
    <d v="2019-07-29T07:25:48"/>
    <s v="19-4919"/>
    <s v="P043"/>
    <x v="13"/>
    <n v="184"/>
    <n v="92"/>
    <n v="1840"/>
    <n v="920"/>
    <n v="920"/>
    <x v="248"/>
    <s v="Creative &amp; Technology"/>
    <n v="11.130819205617987"/>
    <s v="Dissatisfied"/>
    <n v="1"/>
  </r>
  <r>
    <d v="2020-03-20T15:44:02"/>
    <s v="20-3396"/>
    <s v="P049"/>
    <x v="9"/>
    <n v="356"/>
    <n v="89"/>
    <n v="7120"/>
    <n v="1780"/>
    <n v="5340"/>
    <x v="226"/>
    <s v="Community &amp; Government"/>
    <n v="11.927799225928501"/>
    <s v="Dissatisfied"/>
    <n v="1"/>
  </r>
  <r>
    <d v="2017-11-22T23:03:19"/>
    <s v="17-2765"/>
    <s v="P004"/>
    <x v="6"/>
    <n v="189"/>
    <n v="63"/>
    <n v="1134"/>
    <n v="378"/>
    <n v="756"/>
    <x v="180"/>
    <s v="Community &amp; Government"/>
    <n v="12.045339240427111"/>
    <s v="Satisfied"/>
    <n v="10"/>
  </r>
  <r>
    <d v="2021-05-03T05:36:31"/>
    <s v="21-3046"/>
    <s v="P016"/>
    <x v="11"/>
    <n v="110"/>
    <n v="55"/>
    <n v="1760"/>
    <n v="880"/>
    <n v="880"/>
    <x v="217"/>
    <s v="Education"/>
    <n v="11.862005526237752"/>
    <s v="Neither"/>
    <n v="5"/>
  </r>
  <r>
    <d v="2020-05-09T17:19:12"/>
    <s v="20-2255"/>
    <s v="P023"/>
    <x v="12"/>
    <n v="126"/>
    <n v="42"/>
    <n v="882"/>
    <n v="294"/>
    <n v="588"/>
    <x v="104"/>
    <s v="Facilities &amp; Services"/>
    <n v="11.769293993029555"/>
    <s v="Neither"/>
    <n v="5"/>
  </r>
  <r>
    <d v="2019-01-29T17:15:54"/>
    <s v="19-4036"/>
    <s v="P094"/>
    <x v="7"/>
    <n v="80"/>
    <n v="20"/>
    <n v="880"/>
    <n v="220"/>
    <n v="660"/>
    <x v="206"/>
    <s v="Community &amp; Government"/>
    <n v="12.699042739101285"/>
    <s v="Neither"/>
    <n v="5"/>
  </r>
  <r>
    <d v="2020-11-09T23:26:41"/>
    <s v="20-4094"/>
    <s v="P026"/>
    <x v="15"/>
    <n v="280"/>
    <n v="70"/>
    <n v="4760"/>
    <n v="1190"/>
    <n v="3570"/>
    <x v="108"/>
    <s v="Sports &amp; Recreation"/>
    <n v="11.970975110943924"/>
    <s v="Neither"/>
    <n v="5"/>
  </r>
  <r>
    <d v="2019-01-28T21:42:11"/>
    <s v="19-2993"/>
    <s v="P018"/>
    <x v="12"/>
    <n v="108"/>
    <n v="54"/>
    <n v="756"/>
    <n v="378"/>
    <n v="378"/>
    <x v="27"/>
    <s v="Healthcare &amp; Safety"/>
    <n v="10.42743035829395"/>
    <s v="Neither"/>
    <n v="5"/>
  </r>
  <r>
    <d v="2022-02-11T04:01:08"/>
    <s v="22-3550"/>
    <s v="P072"/>
    <x v="5"/>
    <n v="132"/>
    <n v="44"/>
    <n v="396"/>
    <n v="132"/>
    <n v="264"/>
    <x v="252"/>
    <s v="Community &amp; Government"/>
    <n v="10.968401424454578"/>
    <s v="Neither"/>
    <n v="5"/>
  </r>
  <r>
    <d v="2021-08-22T08:34:41"/>
    <s v="21-1699"/>
    <s v="P069"/>
    <x v="17"/>
    <n v="150"/>
    <n v="75"/>
    <n v="150"/>
    <n v="75"/>
    <n v="75"/>
    <x v="79"/>
    <s v="Facilities &amp; Services"/>
    <n v="12.661538237835474"/>
    <s v="Neither"/>
    <n v="5"/>
  </r>
  <r>
    <d v="2020-07-13T21:58:39"/>
    <s v="20-2438"/>
    <s v="P030"/>
    <x v="12"/>
    <n v="81"/>
    <n v="27"/>
    <n v="567"/>
    <n v="189"/>
    <n v="378"/>
    <x v="257"/>
    <s v="Creative &amp; Technology"/>
    <n v="9.9471686551317795"/>
    <s v="Dissatisfied"/>
    <n v="1"/>
  </r>
  <r>
    <d v="2022-09-25T06:33:18"/>
    <s v="22-2791"/>
    <s v="P033"/>
    <x v="1"/>
    <n v="57"/>
    <n v="19"/>
    <n v="456"/>
    <n v="152"/>
    <n v="304"/>
    <x v="52"/>
    <s v="Facilities &amp; Services"/>
    <n v="14.573178107544177"/>
    <s v="Dissatisfied"/>
    <n v="1"/>
  </r>
  <r>
    <d v="2021-02-13T08:07:32"/>
    <s v="21-3993"/>
    <s v="P004"/>
    <x v="5"/>
    <n v="189"/>
    <n v="63"/>
    <n v="567"/>
    <n v="189"/>
    <n v="378"/>
    <x v="219"/>
    <s v="Facilities &amp; Services"/>
    <n v="11.289144410898391"/>
    <s v="Satisfied"/>
    <n v="10"/>
  </r>
  <r>
    <d v="2020-06-06T13:57:44"/>
    <s v="20-4188"/>
    <s v="P034"/>
    <x v="13"/>
    <n v="114"/>
    <n v="57"/>
    <n v="1140"/>
    <n v="570"/>
    <n v="570"/>
    <x v="171"/>
    <s v="Education"/>
    <n v="11.808681852148307"/>
    <s v="Neither"/>
    <n v="5"/>
  </r>
  <r>
    <d v="2020-01-22T11:01:17"/>
    <s v="20-4071"/>
    <s v="P093"/>
    <x v="8"/>
    <n v="384"/>
    <n v="96"/>
    <n v="5376"/>
    <n v="1344"/>
    <n v="4032"/>
    <x v="7"/>
    <s v="Healthcare &amp; Safety"/>
    <n v="11.048444680405545"/>
    <s v="Neither"/>
    <n v="5"/>
  </r>
  <r>
    <d v="2019-01-03T23:20:44"/>
    <s v="19-4154"/>
    <s v="P064"/>
    <x v="1"/>
    <n v="231"/>
    <n v="77"/>
    <n v="1848"/>
    <n v="616"/>
    <n v="1232"/>
    <x v="18"/>
    <s v="Sports &amp; Recreation"/>
    <n v="12.072414596936037"/>
    <s v="Satisfied"/>
    <n v="10"/>
  </r>
  <r>
    <d v="2019-06-01T12:18:21"/>
    <s v="19-1841"/>
    <s v="P068"/>
    <x v="13"/>
    <n v="300"/>
    <n v="75"/>
    <n v="3000"/>
    <n v="750"/>
    <n v="2250"/>
    <x v="123"/>
    <s v="Facilities &amp; Services"/>
    <n v="9.1877733607656964"/>
    <s v="Neither"/>
    <n v="5"/>
  </r>
  <r>
    <d v="2020-12-31T12:36:19"/>
    <s v="20-1670"/>
    <s v="P004"/>
    <x v="1"/>
    <n v="189"/>
    <n v="63"/>
    <n v="1512"/>
    <n v="504"/>
    <n v="1008"/>
    <x v="32"/>
    <s v="Facilities &amp; Services"/>
    <n v="11.410471033945758"/>
    <s v="Satisfied"/>
    <n v="10"/>
  </r>
  <r>
    <d v="2022-10-31T04:53:22"/>
    <s v="22-1404"/>
    <s v="P032"/>
    <x v="0"/>
    <n v="92"/>
    <n v="46"/>
    <n v="1380"/>
    <n v="690"/>
    <n v="690"/>
    <x v="48"/>
    <s v="Creative &amp; Technology"/>
    <n v="11.939773463335372"/>
    <s v="Neither"/>
    <n v="5"/>
  </r>
  <r>
    <d v="2017-12-12T08:12:11"/>
    <s v="17-2222"/>
    <s v="P063"/>
    <x v="6"/>
    <n v="261"/>
    <n v="87"/>
    <n v="1566"/>
    <n v="522"/>
    <n v="1044"/>
    <x v="244"/>
    <s v="Creative &amp; Technology"/>
    <n v="11.78346750250795"/>
    <s v="Dissatisfied"/>
    <n v="1"/>
  </r>
  <r>
    <d v="2020-01-12T12:13:52"/>
    <s v="20-2377"/>
    <s v="P077"/>
    <x v="15"/>
    <n v="162"/>
    <n v="54"/>
    <n v="2754"/>
    <n v="918"/>
    <n v="1836"/>
    <x v="152"/>
    <s v="Sports &amp; Recreation"/>
    <n v="11.249825090458803"/>
    <s v="Satisfied"/>
    <n v="10"/>
  </r>
  <r>
    <d v="2020-10-01T13:48:20"/>
    <s v="20-1144"/>
    <s v="P015"/>
    <x v="15"/>
    <n v="176"/>
    <n v="88"/>
    <n v="2992"/>
    <n v="1496"/>
    <n v="1496"/>
    <x v="46"/>
    <s v="Healthcare &amp; Safety"/>
    <n v="11.36085047138285"/>
    <s v="Neither"/>
    <n v="5"/>
  </r>
  <r>
    <d v="2019-05-02T20:03:01"/>
    <s v="19-3501"/>
    <s v="P046"/>
    <x v="13"/>
    <n v="38"/>
    <n v="19"/>
    <n v="380"/>
    <n v="190"/>
    <n v="190"/>
    <x v="234"/>
    <s v="Creative &amp; Technology"/>
    <n v="12.990345718839325"/>
    <s v="Neither"/>
    <n v="5"/>
  </r>
  <r>
    <d v="2018-07-10T10:41:06"/>
    <s v="18-2304"/>
    <s v="P071"/>
    <x v="5"/>
    <n v="210"/>
    <n v="70"/>
    <n v="630"/>
    <n v="210"/>
    <n v="420"/>
    <x v="201"/>
    <s v="Community &amp; Government"/>
    <n v="8.1628930629234038"/>
    <s v="Neither"/>
    <n v="5"/>
  </r>
  <r>
    <d v="2018-05-23T17:26:51"/>
    <s v="18-3580"/>
    <s v="P047"/>
    <x v="16"/>
    <n v="72"/>
    <n v="36"/>
    <n v="648"/>
    <n v="324"/>
    <n v="324"/>
    <x v="167"/>
    <s v="Healthcare &amp; Safety"/>
    <n v="16.695690968264284"/>
    <s v="Satisfied"/>
    <n v="10"/>
  </r>
  <r>
    <d v="2022-03-10T02:26:54"/>
    <s v="22-3983"/>
    <s v="P014"/>
    <x v="8"/>
    <n v="166"/>
    <n v="83"/>
    <n v="2324"/>
    <n v="1162"/>
    <n v="1162"/>
    <x v="160"/>
    <s v="Creative &amp; Technology"/>
    <n v="8.8514729234790472"/>
    <s v="Dissatisfied"/>
    <n v="1"/>
  </r>
  <r>
    <d v="2020-12-28T22:57:41"/>
    <s v="20-3959"/>
    <s v="P045"/>
    <x v="16"/>
    <n v="100"/>
    <n v="25"/>
    <n v="900"/>
    <n v="225"/>
    <n v="675"/>
    <x v="136"/>
    <s v="Creative &amp; Technology"/>
    <n v="16.429355109701351"/>
    <s v="Neither"/>
    <n v="5"/>
  </r>
  <r>
    <d v="2021-04-28T05:57:23"/>
    <s v="21-1559"/>
    <s v="P050"/>
    <x v="5"/>
    <n v="108"/>
    <n v="36"/>
    <n v="324"/>
    <n v="108"/>
    <n v="216"/>
    <x v="18"/>
    <s v="Sports &amp; Recreation"/>
    <n v="12.072414596936037"/>
    <s v="Neither"/>
    <n v="5"/>
  </r>
  <r>
    <d v="2022-10-11T19:50:03"/>
    <s v="22-3859"/>
    <s v="P007"/>
    <x v="8"/>
    <n v="225"/>
    <n v="75"/>
    <n v="3150"/>
    <n v="1050"/>
    <n v="2100"/>
    <x v="95"/>
    <s v="Facilities &amp; Services"/>
    <n v="7.7337149713827413"/>
    <s v="Satisfied"/>
    <n v="10"/>
  </r>
  <r>
    <d v="2015-12-30T13:10:02"/>
    <s v="15-3490"/>
    <s v="P057"/>
    <x v="16"/>
    <n v="252"/>
    <n v="63"/>
    <n v="2268"/>
    <n v="567"/>
    <n v="1701"/>
    <x v="256"/>
    <s v="Creative &amp; Technology"/>
    <n v="12.173451788225162"/>
    <s v="Satisfied"/>
    <n v="10"/>
  </r>
  <r>
    <d v="2019-09-10T06:58:23"/>
    <s v="19-2281"/>
    <s v="P073"/>
    <x v="4"/>
    <n v="48"/>
    <n v="24"/>
    <n v="96"/>
    <n v="48"/>
    <n v="48"/>
    <x v="6"/>
    <s v="Creative &amp; Technology"/>
    <n v="11.749993886708426"/>
    <s v="Satisfied"/>
    <n v="10"/>
  </r>
  <r>
    <d v="2019-05-29T00:50:13"/>
    <s v="19-4568"/>
    <s v="P093"/>
    <x v="4"/>
    <n v="384"/>
    <n v="96"/>
    <n v="768"/>
    <n v="192"/>
    <n v="576"/>
    <x v="16"/>
    <s v="Sports &amp; Recreation"/>
    <n v="12.865074657680612"/>
    <s v="Neither"/>
    <n v="5"/>
  </r>
  <r>
    <d v="2020-07-24T21:13:55"/>
    <s v="20-1642"/>
    <s v="P069"/>
    <x v="2"/>
    <n v="150"/>
    <n v="75"/>
    <n v="1950"/>
    <n v="975"/>
    <n v="975"/>
    <x v="58"/>
    <s v="Creative &amp; Technology"/>
    <n v="11.995406972581796"/>
    <s v="Satisfied"/>
    <n v="10"/>
  </r>
  <r>
    <d v="2018-06-13T22:32:51"/>
    <s v="18-3251"/>
    <s v="P005"/>
    <x v="1"/>
    <n v="76"/>
    <n v="19"/>
    <n v="608"/>
    <n v="152"/>
    <n v="456"/>
    <x v="202"/>
    <s v="Community &amp; Government"/>
    <n v="8.1595626482464514"/>
    <s v="Dissatisfied"/>
    <n v="1"/>
  </r>
  <r>
    <d v="2021-01-25T03:22:18"/>
    <s v="21-2501"/>
    <s v="P017"/>
    <x v="15"/>
    <n v="120"/>
    <n v="30"/>
    <n v="2040"/>
    <n v="510"/>
    <n v="1530"/>
    <x v="160"/>
    <s v="Creative &amp; Technology"/>
    <n v="8.8514729234790472"/>
    <s v="Neither"/>
    <n v="5"/>
  </r>
  <r>
    <d v="2021-03-24T11:34:10"/>
    <s v="21-4493"/>
    <s v="P054"/>
    <x v="4"/>
    <n v="144"/>
    <n v="48"/>
    <n v="288"/>
    <n v="96"/>
    <n v="192"/>
    <x v="141"/>
    <s v="Facilities &amp; Services"/>
    <n v="13.104576594826185"/>
    <s v="Satisfied"/>
    <n v="10"/>
  </r>
  <r>
    <d v="2019-09-02T00:01:34"/>
    <s v="19-2882"/>
    <s v="P055"/>
    <x v="1"/>
    <n v="360"/>
    <n v="90"/>
    <n v="2880"/>
    <n v="720"/>
    <n v="2160"/>
    <x v="161"/>
    <s v="Corporate &amp; Professional"/>
    <n v="11.003496633574638"/>
    <s v="Satisfied"/>
    <n v="10"/>
  </r>
  <r>
    <d v="2018-09-30T14:06:46"/>
    <s v="18-1755"/>
    <s v="P045"/>
    <x v="12"/>
    <n v="100"/>
    <n v="25"/>
    <n v="700"/>
    <n v="175"/>
    <n v="525"/>
    <x v="91"/>
    <s v="Creative &amp; Technology"/>
    <n v="11.03324198943719"/>
    <s v="Neither"/>
    <n v="5"/>
  </r>
  <r>
    <d v="2018-10-17T11:24:53"/>
    <s v="18-4959"/>
    <s v="P024"/>
    <x v="12"/>
    <n v="66"/>
    <n v="33"/>
    <n v="462"/>
    <n v="231"/>
    <n v="231"/>
    <x v="195"/>
    <s v="Community &amp; Government"/>
    <n v="12.679725647708608"/>
    <s v="Satisfied"/>
    <n v="10"/>
  </r>
  <r>
    <d v="2017-11-29T16:08:30"/>
    <s v="17-4764"/>
    <s v="P005"/>
    <x v="8"/>
    <n v="76"/>
    <n v="19"/>
    <n v="1064"/>
    <n v="266"/>
    <n v="798"/>
    <x v="228"/>
    <s v="Corporate &amp; Professional"/>
    <n v="16.254955391951082"/>
    <s v="Satisfied"/>
    <n v="10"/>
  </r>
  <r>
    <d v="2018-11-19T14:04:45"/>
    <s v="18-2852"/>
    <s v="P057"/>
    <x v="9"/>
    <n v="252"/>
    <n v="63"/>
    <n v="5040"/>
    <n v="1260"/>
    <n v="3780"/>
    <x v="170"/>
    <s v="Sports &amp; Recreation"/>
    <n v="10.037135914792184"/>
    <s v="Neither"/>
    <n v="5"/>
  </r>
  <r>
    <d v="2019-12-31T15:27:45"/>
    <s v="19-4583"/>
    <s v="P057"/>
    <x v="18"/>
    <n v="252"/>
    <n v="63"/>
    <n v="4536"/>
    <n v="1134"/>
    <n v="3402"/>
    <x v="145"/>
    <s v="Sports &amp; Recreation"/>
    <n v="7.9963422143733238"/>
    <s v="Satisfied"/>
    <n v="10"/>
  </r>
  <r>
    <d v="2020-01-26T14:48:49"/>
    <s v="20-4006"/>
    <s v="P036"/>
    <x v="19"/>
    <n v="280"/>
    <n v="70"/>
    <n v="5320"/>
    <n v="1330"/>
    <n v="3990"/>
    <x v="148"/>
    <s v="Healthcare &amp; Safety"/>
    <n v="14.845213075061906"/>
    <s v="Neither"/>
    <n v="5"/>
  </r>
  <r>
    <d v="2020-09-06T21:21:43"/>
    <s v="20-4405"/>
    <s v="P017"/>
    <x v="10"/>
    <n v="120"/>
    <n v="30"/>
    <n v="600"/>
    <n v="150"/>
    <n v="450"/>
    <x v="278"/>
    <s v="Facilities &amp; Services"/>
    <n v="12.427459362224146"/>
    <s v="Neither"/>
    <n v="5"/>
  </r>
  <r>
    <d v="2021-10-22T15:27:48"/>
    <s v="21-4143"/>
    <s v="P039"/>
    <x v="19"/>
    <n v="270"/>
    <n v="90"/>
    <n v="5130"/>
    <n v="1710"/>
    <n v="3420"/>
    <x v="237"/>
    <s v="Creative &amp; Technology"/>
    <n v="11.485823039755857"/>
    <s v="Neither"/>
    <n v="5"/>
  </r>
  <r>
    <d v="2023-12-07T18:06:58"/>
    <s v="23-3613"/>
    <s v="P002"/>
    <x v="18"/>
    <n v="144"/>
    <n v="36"/>
    <n v="2592"/>
    <n v="648"/>
    <n v="1944"/>
    <x v="118"/>
    <s v="Community &amp; Government"/>
    <n v="15.60430546146185"/>
    <s v="Neither"/>
    <n v="5"/>
  </r>
  <r>
    <d v="2020-07-13T05:16:31"/>
    <s v="20-3401"/>
    <s v="P076"/>
    <x v="7"/>
    <n v="94"/>
    <n v="47"/>
    <n v="1034"/>
    <n v="517"/>
    <n v="517"/>
    <x v="149"/>
    <s v="Facilities &amp; Services"/>
    <n v="11.311040680082275"/>
    <s v="Neither"/>
    <n v="5"/>
  </r>
  <r>
    <d v="2019-08-22T07:04:09"/>
    <s v="19-4714"/>
    <s v="P025"/>
    <x v="7"/>
    <n v="210"/>
    <n v="70"/>
    <n v="2310"/>
    <n v="770"/>
    <n v="1540"/>
    <x v="6"/>
    <s v="Creative &amp; Technology"/>
    <n v="11.749993886708426"/>
    <s v="Neither"/>
    <n v="5"/>
  </r>
  <r>
    <d v="2020-11-10T20:07:33"/>
    <s v="20-4050"/>
    <s v="P083"/>
    <x v="15"/>
    <n v="90"/>
    <n v="45"/>
    <n v="1530"/>
    <n v="765"/>
    <n v="765"/>
    <x v="133"/>
    <s v="Corporate &amp; Professional"/>
    <n v="5.9872353338051019"/>
    <s v="Satisfied"/>
    <n v="10"/>
  </r>
  <r>
    <d v="2018-06-24T14:31:59"/>
    <s v="18-2775"/>
    <s v="P062"/>
    <x v="2"/>
    <n v="348"/>
    <n v="87"/>
    <n v="4524"/>
    <n v="1131"/>
    <n v="3393"/>
    <x v="66"/>
    <s v="Facilities &amp; Services"/>
    <n v="12.172922939334034"/>
    <s v="Dissatisfied"/>
    <n v="1"/>
  </r>
  <r>
    <d v="2021-05-01T03:55:54"/>
    <s v="21-3781"/>
    <s v="P011"/>
    <x v="4"/>
    <n v="264"/>
    <n v="88"/>
    <n v="528"/>
    <n v="176"/>
    <n v="352"/>
    <x v="285"/>
    <s v="Healthcare &amp; Safety"/>
    <n v="13.2671922973198"/>
    <s v="Neither"/>
    <n v="5"/>
  </r>
  <r>
    <d v="2021-02-06T08:10:33"/>
    <s v="21-1392"/>
    <s v="P100"/>
    <x v="17"/>
    <n v="46"/>
    <n v="23"/>
    <n v="46"/>
    <n v="23"/>
    <n v="23"/>
    <x v="56"/>
    <s v="Corporate &amp; Professional"/>
    <n v="12.007834550770397"/>
    <s v="Neither"/>
    <n v="5"/>
  </r>
  <r>
    <d v="2023-02-10T20:31:15"/>
    <s v="23-1511"/>
    <s v="P091"/>
    <x v="0"/>
    <n v="204"/>
    <n v="51"/>
    <n v="3060"/>
    <n v="765"/>
    <n v="2295"/>
    <x v="142"/>
    <s v="Healthcare &amp; Safety"/>
    <n v="13.574227261506472"/>
    <s v="Satisfied"/>
    <n v="10"/>
  </r>
  <r>
    <d v="2019-05-20T14:07:05"/>
    <s v="19-3154"/>
    <s v="P032"/>
    <x v="1"/>
    <n v="92"/>
    <n v="46"/>
    <n v="736"/>
    <n v="368"/>
    <n v="368"/>
    <x v="270"/>
    <s v="Education"/>
    <n v="14.129095302641241"/>
    <s v="Satisfied"/>
    <n v="10"/>
  </r>
  <r>
    <d v="2021-02-16T19:12:12"/>
    <s v="21-3969"/>
    <s v="P055"/>
    <x v="19"/>
    <n v="360"/>
    <n v="90"/>
    <n v="6840"/>
    <n v="1710"/>
    <n v="5130"/>
    <x v="202"/>
    <s v="Community &amp; Government"/>
    <n v="8.1595626482464514"/>
    <s v="Dissatisfied"/>
    <n v="1"/>
  </r>
  <r>
    <d v="2019-07-05T13:44:33"/>
    <s v="19-4375"/>
    <s v="P082"/>
    <x v="12"/>
    <n v="312"/>
    <n v="78"/>
    <n v="2184"/>
    <n v="546"/>
    <n v="1638"/>
    <x v="181"/>
    <s v="Sports &amp; Recreation"/>
    <n v="11.072271050116964"/>
    <s v="Dissatisfied"/>
    <n v="1"/>
  </r>
  <r>
    <d v="2022-08-06T04:12:24"/>
    <s v="22-2397"/>
    <s v="P009"/>
    <x v="18"/>
    <n v="255"/>
    <n v="85"/>
    <n v="4590"/>
    <n v="1530"/>
    <n v="3060"/>
    <x v="193"/>
    <s v="Corporate &amp; Professional"/>
    <n v="12.275875773922367"/>
    <s v="Neither"/>
    <n v="5"/>
  </r>
  <r>
    <d v="2020-05-12T03:50:07"/>
    <s v="20-4859"/>
    <s v="P092"/>
    <x v="0"/>
    <n v="124"/>
    <n v="62"/>
    <n v="1860"/>
    <n v="930"/>
    <n v="930"/>
    <x v="146"/>
    <s v="Creative &amp; Technology"/>
    <n v="10.764293826791503"/>
    <s v="Neither"/>
    <n v="5"/>
  </r>
  <r>
    <d v="2022-05-07T17:02:55"/>
    <s v="22-4120"/>
    <s v="P073"/>
    <x v="19"/>
    <n v="48"/>
    <n v="24"/>
    <n v="912"/>
    <n v="456"/>
    <n v="456"/>
    <x v="70"/>
    <s v="Community &amp; Government"/>
    <n v="14.593670394271927"/>
    <s v="Neither"/>
    <n v="5"/>
  </r>
  <r>
    <d v="2020-04-24T22:24:32"/>
    <s v="20-2855"/>
    <s v="P061"/>
    <x v="14"/>
    <n v="264"/>
    <n v="88"/>
    <n v="3168"/>
    <n v="1056"/>
    <n v="2112"/>
    <x v="38"/>
    <s v="Facilities &amp; Services"/>
    <n v="13.378080355059918"/>
    <s v="Neither"/>
    <n v="5"/>
  </r>
  <r>
    <d v="2019-07-22T19:39:45"/>
    <s v="19-4792"/>
    <s v="P038"/>
    <x v="8"/>
    <n v="240"/>
    <n v="80"/>
    <n v="3360"/>
    <n v="1120"/>
    <n v="2240"/>
    <x v="142"/>
    <s v="Healthcare &amp; Safety"/>
    <n v="13.574227261506472"/>
    <s v="Neither"/>
    <n v="5"/>
  </r>
  <r>
    <d v="2021-09-12T16:27:15"/>
    <s v="21-1786"/>
    <s v="P011"/>
    <x v="4"/>
    <n v="264"/>
    <n v="88"/>
    <n v="528"/>
    <n v="176"/>
    <n v="352"/>
    <x v="230"/>
    <s v="Community &amp; Government"/>
    <n v="12.155895475340943"/>
    <s v="Satisfied"/>
    <n v="10"/>
  </r>
  <r>
    <d v="2020-05-12T09:30:55"/>
    <s v="20-1387"/>
    <s v="P080"/>
    <x v="3"/>
    <n v="57"/>
    <n v="19"/>
    <n v="228"/>
    <n v="76"/>
    <n v="152"/>
    <x v="46"/>
    <s v="Healthcare &amp; Safety"/>
    <n v="11.36085047138285"/>
    <s v="Neither"/>
    <n v="5"/>
  </r>
  <r>
    <d v="2020-03-26T06:23:45"/>
    <s v="20-3398"/>
    <s v="P027"/>
    <x v="13"/>
    <n v="140"/>
    <n v="70"/>
    <n v="1400"/>
    <n v="700"/>
    <n v="700"/>
    <x v="147"/>
    <s v="Corporate &amp; Professional"/>
    <n v="9.629298039722805"/>
    <s v="Satisfied"/>
    <n v="10"/>
  </r>
  <r>
    <d v="2019-09-29T02:21:00"/>
    <s v="19-2117"/>
    <s v="P082"/>
    <x v="9"/>
    <n v="312"/>
    <n v="78"/>
    <n v="6240"/>
    <n v="1560"/>
    <n v="4680"/>
    <x v="106"/>
    <s v="Facilities &amp; Services"/>
    <n v="13.518413464873573"/>
    <s v="Satisfied"/>
    <n v="10"/>
  </r>
  <r>
    <d v="2021-02-15T03:14:26"/>
    <s v="21-2370"/>
    <s v="P033"/>
    <x v="7"/>
    <n v="57"/>
    <n v="19"/>
    <n v="627"/>
    <n v="209"/>
    <n v="418"/>
    <x v="122"/>
    <s v="Creative &amp; Technology"/>
    <n v="11.082295381980092"/>
    <s v="Neither"/>
    <n v="5"/>
  </r>
  <r>
    <d v="2019-07-29T11:33:19"/>
    <s v="19-1418"/>
    <s v="P075"/>
    <x v="14"/>
    <n v="160"/>
    <n v="80"/>
    <n v="1920"/>
    <n v="960"/>
    <n v="960"/>
    <x v="92"/>
    <s v="Education"/>
    <n v="11.99399163482429"/>
    <s v="Neither"/>
    <n v="5"/>
  </r>
  <r>
    <d v="2020-01-14T02:21:35"/>
    <s v="20-4587"/>
    <s v="P034"/>
    <x v="2"/>
    <n v="114"/>
    <n v="57"/>
    <n v="1482"/>
    <n v="741"/>
    <n v="741"/>
    <x v="118"/>
    <s v="Community &amp; Government"/>
    <n v="15.60430546146185"/>
    <s v="Neither"/>
    <n v="5"/>
  </r>
  <r>
    <d v="2019-04-18T12:23:40"/>
    <s v="19-3030"/>
    <s v="P068"/>
    <x v="16"/>
    <n v="300"/>
    <n v="75"/>
    <n v="2700"/>
    <n v="675"/>
    <n v="2025"/>
    <x v="34"/>
    <s v="Sports &amp; Recreation"/>
    <n v="11.406233913305266"/>
    <s v="Dissatisfied"/>
    <n v="1"/>
  </r>
  <r>
    <d v="2020-01-06T22:58:28"/>
    <s v="20-3463"/>
    <s v="P058"/>
    <x v="17"/>
    <n v="356"/>
    <n v="89"/>
    <n v="356"/>
    <n v="89"/>
    <n v="267"/>
    <x v="22"/>
    <s v="Sports &amp; Recreation"/>
    <n v="9.7467096260695598"/>
    <s v="Dissatisfied"/>
    <n v="1"/>
  </r>
  <r>
    <d v="2020-06-24T06:15:11"/>
    <s v="20-1607"/>
    <s v="P080"/>
    <x v="9"/>
    <n v="57"/>
    <n v="19"/>
    <n v="1140"/>
    <n v="380"/>
    <n v="760"/>
    <x v="263"/>
    <s v="Facilities &amp; Services"/>
    <n v="8.1352386075080023"/>
    <s v="Dissatisfied"/>
    <n v="1"/>
  </r>
  <r>
    <d v="2017-10-02T14:07:22"/>
    <s v="17-4392"/>
    <s v="P026"/>
    <x v="1"/>
    <n v="280"/>
    <n v="70"/>
    <n v="2240"/>
    <n v="560"/>
    <n v="1680"/>
    <x v="38"/>
    <s v="Facilities &amp; Services"/>
    <n v="13.378080355059918"/>
    <s v="Dissatisfied"/>
    <n v="1"/>
  </r>
  <r>
    <d v="2020-03-26T12:51:44"/>
    <s v="20-3242"/>
    <s v="P047"/>
    <x v="16"/>
    <n v="72"/>
    <n v="36"/>
    <n v="648"/>
    <n v="324"/>
    <n v="324"/>
    <x v="14"/>
    <s v="Creative &amp; Technology"/>
    <n v="13.45980057156361"/>
    <s v="Neither"/>
    <n v="5"/>
  </r>
  <r>
    <d v="2021-03-30T00:48:44"/>
    <s v="21-3005"/>
    <s v="P029"/>
    <x v="12"/>
    <n v="300"/>
    <n v="75"/>
    <n v="2100"/>
    <n v="525"/>
    <n v="1575"/>
    <x v="243"/>
    <s v="Creative &amp; Technology"/>
    <n v="11.952554704438674"/>
    <s v="Neither"/>
    <n v="5"/>
  </r>
  <r>
    <d v="2018-11-08T14:30:17"/>
    <s v="18-3906"/>
    <s v="P055"/>
    <x v="9"/>
    <n v="360"/>
    <n v="90"/>
    <n v="7200"/>
    <n v="1800"/>
    <n v="5400"/>
    <x v="234"/>
    <s v="Creative &amp; Technology"/>
    <n v="12.990345718839325"/>
    <s v="Neither"/>
    <n v="5"/>
  </r>
  <r>
    <d v="2020-04-04T05:18:07"/>
    <s v="20-1104"/>
    <s v="P014"/>
    <x v="2"/>
    <n v="166"/>
    <n v="83"/>
    <n v="2158"/>
    <n v="1079"/>
    <n v="1079"/>
    <x v="251"/>
    <s v="Creative &amp; Technology"/>
    <n v="9.1591412531773226"/>
    <s v="Dissatisfied"/>
    <n v="1"/>
  </r>
  <r>
    <d v="2021-06-15T12:19:52"/>
    <s v="21-3740"/>
    <s v="P098"/>
    <x v="15"/>
    <n v="201"/>
    <n v="67"/>
    <n v="3417"/>
    <n v="1139"/>
    <n v="2278"/>
    <x v="92"/>
    <s v="Education"/>
    <n v="11.99399163482429"/>
    <s v="Neither"/>
    <n v="5"/>
  </r>
  <r>
    <d v="2019-04-01T05:38:24"/>
    <s v="19-3552"/>
    <s v="P050"/>
    <x v="12"/>
    <n v="108"/>
    <n v="36"/>
    <n v="756"/>
    <n v="252"/>
    <n v="504"/>
    <x v="71"/>
    <s v="Corporate &amp; Professional"/>
    <n v="11.274864741138284"/>
    <s v="Neither"/>
    <n v="5"/>
  </r>
  <r>
    <d v="2019-06-09T19:22:50"/>
    <s v="19-4143"/>
    <s v="P088"/>
    <x v="5"/>
    <n v="192"/>
    <n v="96"/>
    <n v="576"/>
    <n v="288"/>
    <n v="288"/>
    <x v="88"/>
    <s v="Facilities &amp; Services"/>
    <n v="14.906846445071711"/>
    <s v="Neither"/>
    <n v="5"/>
  </r>
  <r>
    <d v="2022-09-21T15:54:29"/>
    <s v="22-3767"/>
    <s v="P074"/>
    <x v="0"/>
    <n v="352"/>
    <n v="88"/>
    <n v="5280"/>
    <n v="1320"/>
    <n v="3960"/>
    <x v="205"/>
    <s v="Facilities &amp; Services"/>
    <n v="10.434860153112215"/>
    <s v="Satisfied"/>
    <n v="10"/>
  </r>
  <r>
    <d v="2021-10-04T02:28:49"/>
    <s v="21-1583"/>
    <s v="P020"/>
    <x v="0"/>
    <n v="180"/>
    <n v="45"/>
    <n v="2700"/>
    <n v="675"/>
    <n v="2025"/>
    <x v="123"/>
    <s v="Facilities &amp; Services"/>
    <n v="9.1877733607656964"/>
    <s v="Satisfied"/>
    <n v="10"/>
  </r>
  <r>
    <d v="2021-08-16T10:21:12"/>
    <s v="21-1197"/>
    <s v="P032"/>
    <x v="16"/>
    <n v="92"/>
    <n v="46"/>
    <n v="828"/>
    <n v="414"/>
    <n v="414"/>
    <x v="285"/>
    <s v="Healthcare &amp; Safety"/>
    <n v="13.2671922973198"/>
    <s v="Dissatisfied"/>
    <n v="1"/>
  </r>
  <r>
    <d v="2022-01-05T03:02:16"/>
    <s v="22-2345"/>
    <s v="P021"/>
    <x v="4"/>
    <n v="207"/>
    <n v="69"/>
    <n v="414"/>
    <n v="138"/>
    <n v="276"/>
    <x v="143"/>
    <s v="Community &amp; Government"/>
    <n v="12.732640267350657"/>
    <s v="Dissatisfied"/>
    <n v="1"/>
  </r>
  <r>
    <d v="2020-01-23T01:58:05"/>
    <s v="20-1175"/>
    <s v="P018"/>
    <x v="3"/>
    <n v="108"/>
    <n v="54"/>
    <n v="432"/>
    <n v="216"/>
    <n v="216"/>
    <x v="14"/>
    <s v="Creative &amp; Technology"/>
    <n v="13.45980057156361"/>
    <s v="Neither"/>
    <n v="5"/>
  </r>
  <r>
    <d v="2020-09-27T00:16:58"/>
    <s v="20-4234"/>
    <s v="P090"/>
    <x v="18"/>
    <n v="57"/>
    <n v="19"/>
    <n v="1026"/>
    <n v="342"/>
    <n v="684"/>
    <x v="253"/>
    <s v="Facilities &amp; Services"/>
    <n v="11.961761925704458"/>
    <s v="Neither"/>
    <n v="5"/>
  </r>
  <r>
    <d v="2019-02-26T01:51:45"/>
    <s v="19-3715"/>
    <s v="P054"/>
    <x v="11"/>
    <n v="144"/>
    <n v="48"/>
    <n v="2304"/>
    <n v="768"/>
    <n v="1536"/>
    <x v="123"/>
    <s v="Facilities &amp; Services"/>
    <n v="9.1877733607656964"/>
    <s v="Dissatisfied"/>
    <n v="1"/>
  </r>
  <r>
    <d v="2020-08-13T07:11:40"/>
    <s v="20-2416"/>
    <s v="P047"/>
    <x v="13"/>
    <n v="72"/>
    <n v="36"/>
    <n v="720"/>
    <n v="360"/>
    <n v="360"/>
    <x v="157"/>
    <s v="Corporate &amp; Professional"/>
    <n v="13.917704159139552"/>
    <s v="Neither"/>
    <n v="5"/>
  </r>
  <r>
    <d v="2020-11-26T18:14:25"/>
    <s v="20-4153"/>
    <s v="P051"/>
    <x v="19"/>
    <n v="135"/>
    <n v="45"/>
    <n v="2565"/>
    <n v="855"/>
    <n v="1710"/>
    <x v="204"/>
    <s v="Corporate &amp; Professional"/>
    <n v="10.248947386022252"/>
    <s v="Neither"/>
    <n v="5"/>
  </r>
  <r>
    <d v="2017-06-25T00:25:28"/>
    <s v="17-1860"/>
    <s v="P026"/>
    <x v="12"/>
    <n v="280"/>
    <n v="70"/>
    <n v="1960"/>
    <n v="490"/>
    <n v="1470"/>
    <x v="77"/>
    <s v="Facilities &amp; Services"/>
    <n v="12.514998090845811"/>
    <s v="Dissatisfied"/>
    <n v="1"/>
  </r>
  <r>
    <d v="2021-06-23T23:37:19"/>
    <s v="21-3183"/>
    <s v="P091"/>
    <x v="6"/>
    <n v="204"/>
    <n v="51"/>
    <n v="1224"/>
    <n v="306"/>
    <n v="918"/>
    <x v="119"/>
    <s v="Education"/>
    <n v="12.456740895640767"/>
    <s v="Neither"/>
    <n v="5"/>
  </r>
  <r>
    <d v="2018-06-12T13:33:09"/>
    <s v="18-3480"/>
    <s v="P002"/>
    <x v="8"/>
    <n v="144"/>
    <n v="36"/>
    <n v="2016"/>
    <n v="504"/>
    <n v="1512"/>
    <x v="132"/>
    <s v="Education"/>
    <n v="13.857835104514242"/>
    <s v="Neither"/>
    <n v="5"/>
  </r>
  <r>
    <d v="2019-12-21T12:05:14"/>
    <s v="19-3734"/>
    <s v="P071"/>
    <x v="3"/>
    <n v="210"/>
    <n v="70"/>
    <n v="840"/>
    <n v="280"/>
    <n v="560"/>
    <x v="61"/>
    <s v="Education"/>
    <n v="13.697485557052493"/>
    <s v="Satisfied"/>
    <n v="10"/>
  </r>
  <r>
    <d v="2022-08-19T11:24:10"/>
    <s v="22-1919"/>
    <s v="P022"/>
    <x v="1"/>
    <n v="153"/>
    <n v="51"/>
    <n v="1224"/>
    <n v="408"/>
    <n v="816"/>
    <x v="254"/>
    <s v="Corporate &amp; Professional"/>
    <n v="8.1743378387804331"/>
    <s v="Neither"/>
    <n v="5"/>
  </r>
  <r>
    <d v="2021-05-24T06:19:11"/>
    <s v="21-1085"/>
    <s v="P069"/>
    <x v="7"/>
    <n v="150"/>
    <n v="75"/>
    <n v="1650"/>
    <n v="825"/>
    <n v="825"/>
    <x v="175"/>
    <s v="Creative &amp; Technology"/>
    <n v="13.150536103258979"/>
    <s v="Dissatisfied"/>
    <n v="1"/>
  </r>
  <r>
    <d v="2020-08-31T09:53:50"/>
    <s v="20-2121"/>
    <s v="P035"/>
    <x v="12"/>
    <n v="144"/>
    <n v="48"/>
    <n v="1008"/>
    <n v="336"/>
    <n v="672"/>
    <x v="292"/>
    <s v="Creative &amp; Technology"/>
    <n v="13.537350739681813"/>
    <s v="Satisfied"/>
    <n v="10"/>
  </r>
  <r>
    <d v="2020-07-29T10:13:06"/>
    <s v="20-4583"/>
    <s v="P018"/>
    <x v="8"/>
    <n v="108"/>
    <n v="54"/>
    <n v="1512"/>
    <n v="756"/>
    <n v="756"/>
    <x v="277"/>
    <s v="Sports &amp; Recreation"/>
    <n v="10.01033276255276"/>
    <s v="Neither"/>
    <n v="5"/>
  </r>
  <r>
    <d v="2018-03-30T20:12:11"/>
    <s v="18-2321"/>
    <s v="P033"/>
    <x v="12"/>
    <n v="57"/>
    <n v="19"/>
    <n v="399"/>
    <n v="133"/>
    <n v="266"/>
    <x v="172"/>
    <s v="Healthcare &amp; Safety"/>
    <n v="11.563724686003232"/>
    <s v="Neither"/>
    <n v="5"/>
  </r>
  <r>
    <d v="2020-11-25T02:56:07"/>
    <s v="20-1574"/>
    <s v="P050"/>
    <x v="18"/>
    <n v="108"/>
    <n v="36"/>
    <n v="1944"/>
    <n v="648"/>
    <n v="1296"/>
    <x v="94"/>
    <s v="Corporate &amp; Professional"/>
    <n v="9.0350666811770921"/>
    <s v="Satisfied"/>
    <n v="10"/>
  </r>
  <r>
    <d v="2021-02-06T03:12:07"/>
    <s v="21-4239"/>
    <s v="P084"/>
    <x v="3"/>
    <n v="154"/>
    <n v="77"/>
    <n v="616"/>
    <n v="308"/>
    <n v="308"/>
    <x v="39"/>
    <s v="Creative &amp; Technology"/>
    <n v="11.841063669683448"/>
    <s v="Neither"/>
    <n v="5"/>
  </r>
  <r>
    <d v="2020-04-25T02:47:19"/>
    <s v="20-3763"/>
    <s v="P027"/>
    <x v="6"/>
    <n v="140"/>
    <n v="70"/>
    <n v="840"/>
    <n v="420"/>
    <n v="420"/>
    <x v="76"/>
    <s v="Community &amp; Government"/>
    <n v="12.796588406005421"/>
    <s v="Neither"/>
    <n v="5"/>
  </r>
  <r>
    <d v="2021-05-22T01:10:05"/>
    <s v="21-2227"/>
    <s v="P027"/>
    <x v="7"/>
    <n v="140"/>
    <n v="70"/>
    <n v="1540"/>
    <n v="770"/>
    <n v="770"/>
    <x v="169"/>
    <s v="Healthcare &amp; Safety"/>
    <n v="14.341195386574373"/>
    <s v="Neither"/>
    <n v="5"/>
  </r>
  <r>
    <d v="2020-06-13T01:44:33"/>
    <s v="20-4442"/>
    <s v="P010"/>
    <x v="9"/>
    <n v="144"/>
    <n v="36"/>
    <n v="2880"/>
    <n v="720"/>
    <n v="2160"/>
    <x v="93"/>
    <s v="Facilities &amp; Services"/>
    <n v="10.966283117837653"/>
    <s v="Dissatisfied"/>
    <n v="1"/>
  </r>
  <r>
    <d v="2019-04-08T01:24:53"/>
    <s v="19-1010"/>
    <s v="P068"/>
    <x v="6"/>
    <n v="300"/>
    <n v="75"/>
    <n v="1800"/>
    <n v="450"/>
    <n v="1350"/>
    <x v="217"/>
    <s v="Education"/>
    <n v="11.862005526237752"/>
    <s v="Satisfied"/>
    <n v="10"/>
  </r>
  <r>
    <d v="2020-11-21T14:53:55"/>
    <s v="20-1602"/>
    <s v="P025"/>
    <x v="12"/>
    <n v="210"/>
    <n v="70"/>
    <n v="1470"/>
    <n v="490"/>
    <n v="980"/>
    <x v="257"/>
    <s v="Creative &amp; Technology"/>
    <n v="9.9471686551317795"/>
    <s v="Neither"/>
    <n v="5"/>
  </r>
  <r>
    <d v="2020-10-09T02:26:46"/>
    <s v="20-2896"/>
    <s v="P048"/>
    <x v="17"/>
    <n v="252"/>
    <n v="63"/>
    <n v="252"/>
    <n v="63"/>
    <n v="189"/>
    <x v="130"/>
    <s v="Healthcare &amp; Safety"/>
    <n v="13.923194761258239"/>
    <s v="Neither"/>
    <n v="5"/>
  </r>
  <r>
    <d v="2021-05-10T03:09:02"/>
    <s v="21-2556"/>
    <s v="P017"/>
    <x v="14"/>
    <n v="120"/>
    <n v="30"/>
    <n v="1440"/>
    <n v="360"/>
    <n v="1080"/>
    <x v="4"/>
    <s v="Education"/>
    <n v="15.24190997853951"/>
    <s v="Satisfied"/>
    <n v="10"/>
  </r>
  <r>
    <d v="2019-10-18T17:01:11"/>
    <s v="19-3513"/>
    <s v="P046"/>
    <x v="18"/>
    <n v="38"/>
    <n v="19"/>
    <n v="684"/>
    <n v="342"/>
    <n v="342"/>
    <x v="55"/>
    <s v="Creative &amp; Technology"/>
    <n v="13.765798454641494"/>
    <s v="Neither"/>
    <n v="5"/>
  </r>
  <r>
    <d v="2019-08-05T21:03:07"/>
    <s v="19-4058"/>
    <s v="P028"/>
    <x v="15"/>
    <n v="156"/>
    <n v="78"/>
    <n v="2652"/>
    <n v="1326"/>
    <n v="1326"/>
    <x v="34"/>
    <s v="Sports &amp; Recreation"/>
    <n v="11.406233913305266"/>
    <s v="Satisfied"/>
    <n v="10"/>
  </r>
  <r>
    <d v="2020-03-28T18:49:41"/>
    <s v="20-3574"/>
    <s v="P066"/>
    <x v="5"/>
    <n v="34"/>
    <n v="17"/>
    <n v="102"/>
    <n v="51"/>
    <n v="51"/>
    <x v="85"/>
    <s v="Creative &amp; Technology"/>
    <n v="10.570474361325047"/>
    <s v="Dissatisfied"/>
    <n v="1"/>
  </r>
  <r>
    <d v="2019-07-22T18:21:51"/>
    <s v="19-3237"/>
    <s v="P067"/>
    <x v="11"/>
    <n v="144"/>
    <n v="36"/>
    <n v="2304"/>
    <n v="576"/>
    <n v="1728"/>
    <x v="228"/>
    <s v="Corporate &amp; Professional"/>
    <n v="16.254955391951082"/>
    <s v="Neither"/>
    <n v="5"/>
  </r>
  <r>
    <d v="2022-01-28T23:53:50"/>
    <s v="22-4285"/>
    <s v="P003"/>
    <x v="9"/>
    <n v="189"/>
    <n v="63"/>
    <n v="3780"/>
    <n v="1260"/>
    <n v="2520"/>
    <x v="257"/>
    <s v="Creative &amp; Technology"/>
    <n v="9.9471686551317795"/>
    <s v="Satisfied"/>
    <n v="10"/>
  </r>
  <r>
    <d v="2020-05-25T12:58:31"/>
    <s v="20-3749"/>
    <s v="P090"/>
    <x v="4"/>
    <n v="57"/>
    <n v="19"/>
    <n v="114"/>
    <n v="38"/>
    <n v="76"/>
    <x v="16"/>
    <s v="Sports &amp; Recreation"/>
    <n v="12.865074657680612"/>
    <s v="Satisfied"/>
    <n v="10"/>
  </r>
  <r>
    <d v="2022-07-04T06:20:16"/>
    <s v="22-1343"/>
    <s v="P017"/>
    <x v="13"/>
    <n v="120"/>
    <n v="30"/>
    <n v="1200"/>
    <n v="300"/>
    <n v="900"/>
    <x v="282"/>
    <s v="Community &amp; Government"/>
    <n v="14.157909724393564"/>
    <s v="Satisfied"/>
    <n v="10"/>
  </r>
  <r>
    <d v="2019-10-31T17:03:58"/>
    <s v="19-2451"/>
    <s v="P010"/>
    <x v="4"/>
    <n v="144"/>
    <n v="36"/>
    <n v="288"/>
    <n v="72"/>
    <n v="216"/>
    <x v="272"/>
    <s v="Facilities &amp; Services"/>
    <n v="10.517826055804084"/>
    <s v="Neither"/>
    <n v="5"/>
  </r>
  <r>
    <d v="2022-11-14T22:55:11"/>
    <s v="22-1705"/>
    <s v="P006"/>
    <x v="3"/>
    <n v="38"/>
    <n v="19"/>
    <n v="152"/>
    <n v="76"/>
    <n v="76"/>
    <x v="248"/>
    <s v="Creative &amp; Technology"/>
    <n v="11.130819205617987"/>
    <s v="Satisfied"/>
    <n v="10"/>
  </r>
  <r>
    <d v="2021-01-07T15:55:21"/>
    <s v="21-1369"/>
    <s v="P052"/>
    <x v="8"/>
    <n v="352"/>
    <n v="88"/>
    <n v="4928"/>
    <n v="1232"/>
    <n v="3696"/>
    <x v="171"/>
    <s v="Education"/>
    <n v="11.808681852148307"/>
    <s v="Dissatisfied"/>
    <n v="1"/>
  </r>
  <r>
    <d v="2019-09-15T22:46:34"/>
    <s v="19-1834"/>
    <s v="P064"/>
    <x v="7"/>
    <n v="231"/>
    <n v="77"/>
    <n v="2541"/>
    <n v="847"/>
    <n v="1694"/>
    <x v="139"/>
    <s v="Creative &amp; Technology"/>
    <n v="15.770846827234339"/>
    <s v="Neither"/>
    <n v="5"/>
  </r>
  <r>
    <d v="2021-02-05T10:32:18"/>
    <s v="21-4014"/>
    <s v="P069"/>
    <x v="7"/>
    <n v="150"/>
    <n v="75"/>
    <n v="1650"/>
    <n v="825"/>
    <n v="825"/>
    <x v="170"/>
    <s v="Sports &amp; Recreation"/>
    <n v="10.037135914792184"/>
    <s v="Satisfied"/>
    <n v="10"/>
  </r>
  <r>
    <d v="2022-09-26T12:40:55"/>
    <s v="22-2667"/>
    <s v="P053"/>
    <x v="18"/>
    <n v="50"/>
    <n v="25"/>
    <n v="900"/>
    <n v="450"/>
    <n v="450"/>
    <x v="40"/>
    <s v="Corporate &amp; Professional"/>
    <n v="14.370283356317486"/>
    <s v="Neither"/>
    <n v="5"/>
  </r>
  <r>
    <d v="2021-01-23T12:08:47"/>
    <s v="21-3714"/>
    <s v="P097"/>
    <x v="18"/>
    <n v="92"/>
    <n v="46"/>
    <n v="1656"/>
    <n v="828"/>
    <n v="828"/>
    <x v="273"/>
    <s v="Corporate &amp; Professional"/>
    <n v="11.971065679104063"/>
    <s v="Neither"/>
    <n v="5"/>
  </r>
  <r>
    <d v="2021-05-06T01:07:08"/>
    <s v="21-4077"/>
    <s v="P061"/>
    <x v="3"/>
    <n v="264"/>
    <n v="88"/>
    <n v="1056"/>
    <n v="352"/>
    <n v="704"/>
    <x v="237"/>
    <s v="Creative &amp; Technology"/>
    <n v="11.485823039755857"/>
    <s v="Neither"/>
    <n v="5"/>
  </r>
  <r>
    <d v="2021-08-07T13:18:00"/>
    <s v="21-2254"/>
    <s v="P056"/>
    <x v="1"/>
    <n v="72"/>
    <n v="36"/>
    <n v="576"/>
    <n v="288"/>
    <n v="288"/>
    <x v="94"/>
    <s v="Corporate &amp; Professional"/>
    <n v="9.0350666811770921"/>
    <s v="Satisfied"/>
    <n v="10"/>
  </r>
  <r>
    <d v="2020-04-23T07:49:40"/>
    <s v="20-2174"/>
    <s v="P043"/>
    <x v="14"/>
    <n v="184"/>
    <n v="92"/>
    <n v="2208"/>
    <n v="1104"/>
    <n v="1104"/>
    <x v="267"/>
    <s v="Healthcare &amp; Safety"/>
    <n v="10.28240320324797"/>
    <s v="Satisfied"/>
    <n v="10"/>
  </r>
  <r>
    <d v="2019-11-28T10:20:47"/>
    <s v="19-3393"/>
    <s v="P082"/>
    <x v="10"/>
    <n v="312"/>
    <n v="78"/>
    <n v="1560"/>
    <n v="390"/>
    <n v="1170"/>
    <x v="273"/>
    <s v="Corporate &amp; Professional"/>
    <n v="11.971065679104063"/>
    <s v="Dissatisfied"/>
    <n v="1"/>
  </r>
  <r>
    <d v="2020-04-25T01:08:44"/>
    <s v="20-2493"/>
    <s v="P083"/>
    <x v="1"/>
    <n v="90"/>
    <n v="45"/>
    <n v="720"/>
    <n v="360"/>
    <n v="360"/>
    <x v="110"/>
    <s v="Sports &amp; Recreation"/>
    <n v="14.690198582365463"/>
    <s v="Neither"/>
    <n v="5"/>
  </r>
  <r>
    <d v="2018-05-07T01:54:17"/>
    <s v="18-4905"/>
    <s v="P063"/>
    <x v="11"/>
    <n v="261"/>
    <n v="87"/>
    <n v="4176"/>
    <n v="1392"/>
    <n v="2784"/>
    <x v="76"/>
    <s v="Community &amp; Government"/>
    <n v="12.796588406005421"/>
    <s v="Neither"/>
    <n v="5"/>
  </r>
  <r>
    <d v="2022-01-02T00:17:33"/>
    <s v="22-1593"/>
    <s v="P008"/>
    <x v="12"/>
    <n v="225"/>
    <n v="75"/>
    <n v="1575"/>
    <n v="525"/>
    <n v="1050"/>
    <x v="182"/>
    <s v="Sports &amp; Recreation"/>
    <n v="12.564315242820944"/>
    <s v="Neither"/>
    <n v="5"/>
  </r>
  <r>
    <d v="2019-01-30T15:27:33"/>
    <s v="19-3260"/>
    <s v="P065"/>
    <x v="5"/>
    <n v="50"/>
    <n v="25"/>
    <n v="150"/>
    <n v="75"/>
    <n v="75"/>
    <x v="222"/>
    <s v="Community &amp; Government"/>
    <n v="13.095446915421235"/>
    <s v="Neither"/>
    <n v="5"/>
  </r>
  <r>
    <d v="2019-05-06T21:01:46"/>
    <s v="19-1388"/>
    <s v="P089"/>
    <x v="11"/>
    <n v="102"/>
    <n v="51"/>
    <n v="1632"/>
    <n v="816"/>
    <n v="816"/>
    <x v="172"/>
    <s v="Healthcare &amp; Safety"/>
    <n v="11.563724686003232"/>
    <s v="Satisfied"/>
    <n v="10"/>
  </r>
  <r>
    <d v="2019-01-20T10:10:41"/>
    <s v="19-1297"/>
    <s v="P091"/>
    <x v="13"/>
    <n v="204"/>
    <n v="51"/>
    <n v="2040"/>
    <n v="510"/>
    <n v="1530"/>
    <x v="105"/>
    <s v="Corporate &amp; Professional"/>
    <n v="11.070908141213383"/>
    <s v="Neither"/>
    <n v="5"/>
  </r>
  <r>
    <d v="2021-03-10T11:18:13"/>
    <s v="21-1481"/>
    <s v="P074"/>
    <x v="12"/>
    <n v="352"/>
    <n v="88"/>
    <n v="2464"/>
    <n v="616"/>
    <n v="1848"/>
    <x v="290"/>
    <s v="Community &amp; Government"/>
    <n v="15.239568994601312"/>
    <s v="Neither"/>
    <n v="5"/>
  </r>
  <r>
    <d v="2020-12-31T12:15:59"/>
    <s v="20-4293"/>
    <s v="P054"/>
    <x v="17"/>
    <n v="144"/>
    <n v="48"/>
    <n v="144"/>
    <n v="48"/>
    <n v="96"/>
    <x v="42"/>
    <s v="Community &amp; Government"/>
    <n v="10.216282609482219"/>
    <s v="Satisfied"/>
    <n v="10"/>
  </r>
  <r>
    <d v="2019-01-06T01:53:30"/>
    <s v="19-2634"/>
    <s v="P004"/>
    <x v="0"/>
    <n v="189"/>
    <n v="63"/>
    <n v="2835"/>
    <n v="945"/>
    <n v="1890"/>
    <x v="30"/>
    <s v="Corporate &amp; Professional"/>
    <n v="12.844063202784817"/>
    <s v="Neither"/>
    <n v="5"/>
  </r>
  <r>
    <d v="2020-12-09T18:43:30"/>
    <s v="20-4868"/>
    <s v="P026"/>
    <x v="11"/>
    <n v="280"/>
    <n v="70"/>
    <n v="4480"/>
    <n v="1120"/>
    <n v="3360"/>
    <x v="165"/>
    <s v="Creative &amp; Technology"/>
    <n v="13.929237493388955"/>
    <s v="Neither"/>
    <n v="5"/>
  </r>
  <r>
    <d v="2020-04-10T10:26:00"/>
    <s v="20-3921"/>
    <s v="P074"/>
    <x v="18"/>
    <n v="352"/>
    <n v="88"/>
    <n v="6336"/>
    <n v="1584"/>
    <n v="4752"/>
    <x v="2"/>
    <s v="Facilities &amp; Services"/>
    <n v="9.3226775515721787"/>
    <s v="Neither"/>
    <n v="5"/>
  </r>
  <r>
    <d v="2021-09-08T20:22:20"/>
    <s v="21-3383"/>
    <s v="P005"/>
    <x v="18"/>
    <n v="76"/>
    <n v="19"/>
    <n v="1368"/>
    <n v="342"/>
    <n v="1026"/>
    <x v="188"/>
    <s v="Healthcare &amp; Safety"/>
    <n v="9.8892508156549788"/>
    <s v="Neither"/>
    <n v="5"/>
  </r>
  <r>
    <d v="2019-09-12T20:18:16"/>
    <s v="19-2221"/>
    <s v="P056"/>
    <x v="17"/>
    <n v="72"/>
    <n v="36"/>
    <n v="72"/>
    <n v="36"/>
    <n v="36"/>
    <x v="220"/>
    <s v="Education"/>
    <n v="13.392447352247808"/>
    <s v="Neither"/>
    <n v="5"/>
  </r>
  <r>
    <d v="2019-12-18T23:58:12"/>
    <s v="19-4516"/>
    <s v="P026"/>
    <x v="1"/>
    <n v="280"/>
    <n v="70"/>
    <n v="2240"/>
    <n v="560"/>
    <n v="1680"/>
    <x v="185"/>
    <s v="Education"/>
    <n v="13.466362789017223"/>
    <s v="Satisfied"/>
    <n v="10"/>
  </r>
  <r>
    <d v="2019-09-08T18:46:53"/>
    <s v="19-4182"/>
    <s v="P063"/>
    <x v="19"/>
    <n v="261"/>
    <n v="87"/>
    <n v="4959"/>
    <n v="1653"/>
    <n v="3306"/>
    <x v="121"/>
    <s v="Creative &amp; Technology"/>
    <n v="11.394777319422785"/>
    <s v="Neither"/>
    <n v="5"/>
  </r>
  <r>
    <d v="2019-09-01T08:38:13"/>
    <s v="19-2095"/>
    <s v="P091"/>
    <x v="12"/>
    <n v="204"/>
    <n v="51"/>
    <n v="1428"/>
    <n v="357"/>
    <n v="1071"/>
    <x v="13"/>
    <s v="Sports &amp; Recreation"/>
    <n v="12.163730387337393"/>
    <s v="Satisfied"/>
    <n v="10"/>
  </r>
  <r>
    <d v="2020-07-19T03:56:51"/>
    <s v="20-4602"/>
    <s v="P011"/>
    <x v="14"/>
    <n v="264"/>
    <n v="88"/>
    <n v="3168"/>
    <n v="1056"/>
    <n v="2112"/>
    <x v="276"/>
    <s v="Education"/>
    <n v="10.518436853046438"/>
    <s v="Dissatisfied"/>
    <n v="1"/>
  </r>
  <r>
    <d v="2018-02-12T10:59:04"/>
    <s v="18-3240"/>
    <s v="P034"/>
    <x v="19"/>
    <n v="114"/>
    <n v="57"/>
    <n v="2166"/>
    <n v="1083"/>
    <n v="1083"/>
    <x v="260"/>
    <s v="Creative &amp; Technology"/>
    <n v="10.588336269016523"/>
    <s v="Neither"/>
    <n v="5"/>
  </r>
  <r>
    <d v="2019-12-13T18:17:08"/>
    <s v="19-2421"/>
    <s v="P039"/>
    <x v="9"/>
    <n v="270"/>
    <n v="90"/>
    <n v="5400"/>
    <n v="1800"/>
    <n v="3600"/>
    <x v="175"/>
    <s v="Creative &amp; Technology"/>
    <n v="13.150536103258979"/>
    <s v="Neither"/>
    <n v="5"/>
  </r>
  <r>
    <d v="2017-12-11T17:44:46"/>
    <s v="17-2199"/>
    <s v="P009"/>
    <x v="17"/>
    <n v="255"/>
    <n v="85"/>
    <n v="255"/>
    <n v="85"/>
    <n v="170"/>
    <x v="149"/>
    <s v="Facilities &amp; Services"/>
    <n v="11.311040680082275"/>
    <s v="Neither"/>
    <n v="5"/>
  </r>
  <r>
    <d v="2018-03-27T21:21:45"/>
    <s v="18-4521"/>
    <s v="P089"/>
    <x v="15"/>
    <n v="102"/>
    <n v="51"/>
    <n v="1734"/>
    <n v="867"/>
    <n v="867"/>
    <x v="71"/>
    <s v="Corporate &amp; Professional"/>
    <n v="11.274864741138284"/>
    <s v="Satisfied"/>
    <n v="10"/>
  </r>
  <r>
    <d v="2020-03-24T21:07:57"/>
    <s v="20-3433"/>
    <s v="P096"/>
    <x v="9"/>
    <n v="144"/>
    <n v="48"/>
    <n v="2880"/>
    <n v="960"/>
    <n v="1920"/>
    <x v="61"/>
    <s v="Education"/>
    <n v="13.697485557052493"/>
    <s v="Neither"/>
    <n v="5"/>
  </r>
  <r>
    <d v="2022-01-26T19:22:37"/>
    <s v="22-1829"/>
    <s v="P031"/>
    <x v="10"/>
    <n v="146"/>
    <n v="73"/>
    <n v="730"/>
    <n v="365"/>
    <n v="365"/>
    <x v="153"/>
    <s v="Corporate &amp; Professional"/>
    <n v="11.799431383856128"/>
    <s v="Dissatisfied"/>
    <n v="1"/>
  </r>
  <r>
    <d v="2020-01-10T09:35:57"/>
    <s v="20-3532"/>
    <s v="P002"/>
    <x v="9"/>
    <n v="144"/>
    <n v="36"/>
    <n v="2880"/>
    <n v="720"/>
    <n v="2160"/>
    <x v="64"/>
    <s v="Corporate &amp; Professional"/>
    <n v="11.083482342133532"/>
    <s v="Neither"/>
    <n v="5"/>
  </r>
  <r>
    <d v="2018-02-09T04:12:34"/>
    <s v="18-1134"/>
    <s v="P044"/>
    <x v="17"/>
    <n v="368"/>
    <n v="92"/>
    <n v="368"/>
    <n v="92"/>
    <n v="276"/>
    <x v="111"/>
    <s v="Sports &amp; Recreation"/>
    <n v="12.342715162719054"/>
    <s v="Satisfied"/>
    <n v="10"/>
  </r>
  <r>
    <d v="2017-06-03T02:59:37"/>
    <s v="17-4153"/>
    <s v="P027"/>
    <x v="4"/>
    <n v="140"/>
    <n v="70"/>
    <n v="280"/>
    <n v="140"/>
    <n v="140"/>
    <x v="177"/>
    <s v="Creative &amp; Technology"/>
    <n v="14.66147716237918"/>
    <s v="Dissatisfied"/>
    <n v="1"/>
  </r>
  <r>
    <d v="2022-04-19T02:01:06"/>
    <s v="22-2584"/>
    <s v="P011"/>
    <x v="1"/>
    <n v="264"/>
    <n v="88"/>
    <n v="2112"/>
    <n v="704"/>
    <n v="1408"/>
    <x v="147"/>
    <s v="Corporate &amp; Professional"/>
    <n v="9.629298039722805"/>
    <s v="Neither"/>
    <n v="5"/>
  </r>
  <r>
    <d v="2022-12-25T15:42:57"/>
    <s v="22-1890"/>
    <s v="P069"/>
    <x v="14"/>
    <n v="150"/>
    <n v="75"/>
    <n v="1800"/>
    <n v="900"/>
    <n v="900"/>
    <x v="98"/>
    <s v="Creative &amp; Technology"/>
    <n v="15.18789248529443"/>
    <s v="Satisfied"/>
    <n v="10"/>
  </r>
  <r>
    <d v="2018-12-20T22:07:28"/>
    <s v="18-4784"/>
    <s v="P061"/>
    <x v="2"/>
    <n v="264"/>
    <n v="88"/>
    <n v="3432"/>
    <n v="1144"/>
    <n v="2288"/>
    <x v="171"/>
    <s v="Education"/>
    <n v="11.808681852148307"/>
    <s v="Neither"/>
    <n v="5"/>
  </r>
  <r>
    <d v="2018-05-31T08:07:23"/>
    <s v="18-3267"/>
    <s v="P048"/>
    <x v="18"/>
    <n v="252"/>
    <n v="63"/>
    <n v="4536"/>
    <n v="1134"/>
    <n v="3402"/>
    <x v="34"/>
    <s v="Sports &amp; Recreation"/>
    <n v="11.406233913305266"/>
    <s v="Neither"/>
    <n v="5"/>
  </r>
  <r>
    <d v="2021-02-19T15:08:06"/>
    <s v="21-4374"/>
    <s v="P009"/>
    <x v="19"/>
    <n v="255"/>
    <n v="85"/>
    <n v="4845"/>
    <n v="1615"/>
    <n v="3230"/>
    <x v="52"/>
    <s v="Facilities &amp; Services"/>
    <n v="14.573178107544177"/>
    <s v="Neither"/>
    <n v="5"/>
  </r>
  <r>
    <d v="2019-08-25T17:10:54"/>
    <s v="19-4882"/>
    <s v="P063"/>
    <x v="1"/>
    <n v="261"/>
    <n v="87"/>
    <n v="2088"/>
    <n v="696"/>
    <n v="1392"/>
    <x v="109"/>
    <s v="Sports &amp; Recreation"/>
    <n v="13.092530646074781"/>
    <s v="Neither"/>
    <n v="5"/>
  </r>
  <r>
    <d v="2019-02-03T12:58:55"/>
    <s v="19-1623"/>
    <s v="P030"/>
    <x v="9"/>
    <n v="81"/>
    <n v="27"/>
    <n v="1620"/>
    <n v="540"/>
    <n v="1080"/>
    <x v="48"/>
    <s v="Creative &amp; Technology"/>
    <n v="11.939773463335372"/>
    <s v="Neither"/>
    <n v="5"/>
  </r>
  <r>
    <d v="2019-09-15T15:46:27"/>
    <s v="19-4145"/>
    <s v="P010"/>
    <x v="4"/>
    <n v="144"/>
    <n v="36"/>
    <n v="288"/>
    <n v="72"/>
    <n v="216"/>
    <x v="224"/>
    <s v="Creative &amp; Technology"/>
    <n v="11.943192562152261"/>
    <s v="Neither"/>
    <n v="5"/>
  </r>
  <r>
    <d v="2019-12-09T06:36:01"/>
    <s v="19-2972"/>
    <s v="P053"/>
    <x v="1"/>
    <n v="50"/>
    <n v="25"/>
    <n v="400"/>
    <n v="200"/>
    <n v="200"/>
    <x v="125"/>
    <s v="Sports &amp; Recreation"/>
    <n v="12.682358648534777"/>
    <s v="Dissatisfied"/>
    <n v="1"/>
  </r>
  <r>
    <d v="2018-07-09T23:02:25"/>
    <s v="18-4617"/>
    <s v="P043"/>
    <x v="14"/>
    <n v="184"/>
    <n v="92"/>
    <n v="2208"/>
    <n v="1104"/>
    <n v="1104"/>
    <x v="250"/>
    <s v="Community &amp; Government"/>
    <n v="9.2053706474810433"/>
    <s v="Satisfied"/>
    <n v="10"/>
  </r>
  <r>
    <d v="2018-04-26T10:58:33"/>
    <s v="18-3857"/>
    <s v="P092"/>
    <x v="6"/>
    <n v="124"/>
    <n v="62"/>
    <n v="744"/>
    <n v="372"/>
    <n v="372"/>
    <x v="124"/>
    <s v="Sports &amp; Recreation"/>
    <n v="13.115597690631557"/>
    <s v="Neither"/>
    <n v="5"/>
  </r>
  <r>
    <d v="2020-11-14T18:52:14"/>
    <s v="20-2907"/>
    <s v="P079"/>
    <x v="13"/>
    <n v="188"/>
    <n v="94"/>
    <n v="1880"/>
    <n v="940"/>
    <n v="940"/>
    <x v="72"/>
    <s v="Community &amp; Government"/>
    <n v="15.458859683514467"/>
    <s v="Satisfied"/>
    <n v="10"/>
  </r>
  <r>
    <d v="2020-10-10T05:37:03"/>
    <s v="20-2124"/>
    <s v="P044"/>
    <x v="13"/>
    <n v="368"/>
    <n v="92"/>
    <n v="3680"/>
    <n v="920"/>
    <n v="2760"/>
    <x v="173"/>
    <s v="Education"/>
    <n v="12.147202500273634"/>
    <s v="Satisfied"/>
    <n v="10"/>
  </r>
  <r>
    <d v="2020-04-26T00:27:11"/>
    <s v="20-2374"/>
    <s v="P057"/>
    <x v="0"/>
    <n v="252"/>
    <n v="63"/>
    <n v="3780"/>
    <n v="945"/>
    <n v="2835"/>
    <x v="51"/>
    <s v="Facilities &amp; Services"/>
    <n v="10.523527521613014"/>
    <s v="Neither"/>
    <n v="5"/>
  </r>
  <r>
    <d v="2018-12-29T02:18:15"/>
    <s v="18-1108"/>
    <s v="P062"/>
    <x v="9"/>
    <n v="348"/>
    <n v="87"/>
    <n v="6960"/>
    <n v="1740"/>
    <n v="5220"/>
    <x v="221"/>
    <s v="Community &amp; Government"/>
    <n v="13.611804647345796"/>
    <s v="Dissatisfied"/>
    <n v="1"/>
  </r>
  <r>
    <d v="2021-03-18T06:32:39"/>
    <s v="21-2313"/>
    <s v="P068"/>
    <x v="4"/>
    <n v="300"/>
    <n v="75"/>
    <n v="600"/>
    <n v="150"/>
    <n v="450"/>
    <x v="150"/>
    <s v="Education"/>
    <n v="12.889576147248359"/>
    <s v="Neither"/>
    <n v="5"/>
  </r>
  <r>
    <d v="2021-05-07T08:57:39"/>
    <s v="21-2412"/>
    <s v="P016"/>
    <x v="19"/>
    <n v="110"/>
    <n v="55"/>
    <n v="2090"/>
    <n v="1045"/>
    <n v="1045"/>
    <x v="149"/>
    <s v="Facilities &amp; Services"/>
    <n v="11.311040680082275"/>
    <s v="Satisfied"/>
    <n v="10"/>
  </r>
  <r>
    <d v="2022-02-15T06:23:19"/>
    <s v="22-4376"/>
    <s v="P046"/>
    <x v="16"/>
    <n v="38"/>
    <n v="19"/>
    <n v="342"/>
    <n v="171"/>
    <n v="171"/>
    <x v="32"/>
    <s v="Facilities &amp; Services"/>
    <n v="11.410471033945758"/>
    <s v="Dissatisfied"/>
    <n v="1"/>
  </r>
  <r>
    <d v="2024-08-30T03:51:41"/>
    <s v="24-1103"/>
    <s v="P096"/>
    <x v="12"/>
    <n v="144"/>
    <n v="48"/>
    <n v="1008"/>
    <n v="336"/>
    <n v="672"/>
    <x v="101"/>
    <s v="Sports &amp; Recreation"/>
    <n v="10.816866337473218"/>
    <s v="Neither"/>
    <n v="5"/>
  </r>
  <r>
    <d v="2019-05-19T20:54:11"/>
    <s v="19-2066"/>
    <s v="P001"/>
    <x v="13"/>
    <n v="108"/>
    <n v="36"/>
    <n v="1080"/>
    <n v="360"/>
    <n v="720"/>
    <x v="272"/>
    <s v="Facilities &amp; Services"/>
    <n v="10.517826055804084"/>
    <s v="Neither"/>
    <n v="5"/>
  </r>
  <r>
    <d v="2020-02-09T22:35:17"/>
    <s v="20-2890"/>
    <s v="P097"/>
    <x v="3"/>
    <n v="92"/>
    <n v="46"/>
    <n v="368"/>
    <n v="184"/>
    <n v="184"/>
    <x v="109"/>
    <s v="Sports &amp; Recreation"/>
    <n v="13.092530646074781"/>
    <s v="Satisfied"/>
    <n v="10"/>
  </r>
  <r>
    <d v="2019-06-09T19:22:56"/>
    <s v="19-2558"/>
    <s v="P025"/>
    <x v="9"/>
    <n v="210"/>
    <n v="70"/>
    <n v="4200"/>
    <n v="1400"/>
    <n v="2800"/>
    <x v="206"/>
    <s v="Community &amp; Government"/>
    <n v="12.699042739101285"/>
    <s v="Satisfied"/>
    <n v="10"/>
  </r>
  <r>
    <d v="2019-04-17T13:29:16"/>
    <s v="19-1397"/>
    <s v="P007"/>
    <x v="9"/>
    <n v="225"/>
    <n v="75"/>
    <n v="4500"/>
    <n v="1500"/>
    <n v="3000"/>
    <x v="162"/>
    <s v="Creative &amp; Technology"/>
    <n v="14.064516999204997"/>
    <s v="Neither"/>
    <n v="5"/>
  </r>
  <r>
    <d v="2023-01-30T03:11:49"/>
    <s v="23-1379"/>
    <s v="P043"/>
    <x v="12"/>
    <n v="184"/>
    <n v="92"/>
    <n v="1288"/>
    <n v="644"/>
    <n v="644"/>
    <x v="288"/>
    <s v="Sports &amp; Recreation"/>
    <n v="10.78374703625888"/>
    <s v="Dissatisfied"/>
    <n v="1"/>
  </r>
  <r>
    <d v="2022-01-15T12:16:19"/>
    <s v="22-2712"/>
    <s v="P030"/>
    <x v="2"/>
    <n v="81"/>
    <n v="27"/>
    <n v="1053"/>
    <n v="351"/>
    <n v="702"/>
    <x v="29"/>
    <s v="Facilities &amp; Services"/>
    <n v="15.487214309603928"/>
    <s v="Satisfied"/>
    <n v="10"/>
  </r>
  <r>
    <d v="2020-07-24T09:58:17"/>
    <s v="20-1621"/>
    <s v="P027"/>
    <x v="17"/>
    <n v="140"/>
    <n v="70"/>
    <n v="140"/>
    <n v="70"/>
    <n v="70"/>
    <x v="60"/>
    <s v="Creative &amp; Technology"/>
    <n v="15.556812309269255"/>
    <s v="Satisfied"/>
    <n v="10"/>
  </r>
  <r>
    <d v="2020-03-01T16:47:02"/>
    <s v="20-3731"/>
    <s v="P081"/>
    <x v="8"/>
    <n v="50"/>
    <n v="25"/>
    <n v="700"/>
    <n v="350"/>
    <n v="350"/>
    <x v="218"/>
    <s v="Facilities &amp; Services"/>
    <n v="14.376986923104601"/>
    <s v="Satisfied"/>
    <n v="10"/>
  </r>
  <r>
    <d v="2021-06-29T23:29:40"/>
    <s v="21-4683"/>
    <s v="P070"/>
    <x v="11"/>
    <n v="84"/>
    <n v="21"/>
    <n v="1344"/>
    <n v="336"/>
    <n v="1008"/>
    <x v="213"/>
    <s v="Healthcare &amp; Safety"/>
    <n v="16.148992525516267"/>
    <s v="Satisfied"/>
    <n v="10"/>
  </r>
  <r>
    <d v="2021-06-21T15:06:59"/>
    <s v="21-1378"/>
    <s v="P004"/>
    <x v="4"/>
    <n v="189"/>
    <n v="63"/>
    <n v="378"/>
    <n v="126"/>
    <n v="252"/>
    <x v="133"/>
    <s v="Corporate &amp; Professional"/>
    <n v="5.9872353338051019"/>
    <s v="Satisfied"/>
    <n v="10"/>
  </r>
  <r>
    <d v="2018-09-03T09:10:27"/>
    <s v="18-2219"/>
    <s v="P084"/>
    <x v="2"/>
    <n v="154"/>
    <n v="77"/>
    <n v="2002"/>
    <n v="1001"/>
    <n v="1001"/>
    <x v="142"/>
    <s v="Healthcare &amp; Safety"/>
    <n v="13.574227261506472"/>
    <s v="Dissatisfied"/>
    <n v="1"/>
  </r>
  <r>
    <d v="2019-12-01T16:55:31"/>
    <s v="19-4625"/>
    <s v="P010"/>
    <x v="11"/>
    <n v="144"/>
    <n v="36"/>
    <n v="2304"/>
    <n v="576"/>
    <n v="1728"/>
    <x v="252"/>
    <s v="Community &amp; Government"/>
    <n v="10.968401424454578"/>
    <s v="Satisfied"/>
    <n v="10"/>
  </r>
  <r>
    <d v="2016-09-01T16:24:31"/>
    <s v="16-1985"/>
    <s v="P074"/>
    <x v="2"/>
    <n v="352"/>
    <n v="88"/>
    <n v="4576"/>
    <n v="1144"/>
    <n v="3432"/>
    <x v="131"/>
    <s v="Corporate &amp; Professional"/>
    <n v="11.701919153133453"/>
    <s v="Satisfied"/>
    <n v="10"/>
  </r>
  <r>
    <d v="2020-07-16T01:05:35"/>
    <s v="20-4089"/>
    <s v="P083"/>
    <x v="7"/>
    <n v="90"/>
    <n v="45"/>
    <n v="990"/>
    <n v="495"/>
    <n v="495"/>
    <x v="25"/>
    <s v="Sports &amp; Recreation"/>
    <n v="11.128721898968678"/>
    <s v="Neither"/>
    <n v="5"/>
  </r>
  <r>
    <d v="2018-09-18T02:39:42"/>
    <s v="18-3434"/>
    <s v="P038"/>
    <x v="8"/>
    <n v="240"/>
    <n v="80"/>
    <n v="3360"/>
    <n v="1120"/>
    <n v="2240"/>
    <x v="143"/>
    <s v="Community &amp; Government"/>
    <n v="12.732640267350657"/>
    <s v="Neither"/>
    <n v="5"/>
  </r>
  <r>
    <d v="2021-05-13T13:44:17"/>
    <s v="21-3272"/>
    <s v="P006"/>
    <x v="10"/>
    <n v="38"/>
    <n v="19"/>
    <n v="190"/>
    <n v="95"/>
    <n v="95"/>
    <x v="26"/>
    <s v="Sports &amp; Recreation"/>
    <n v="14.16303548174143"/>
    <s v="Neither"/>
    <n v="5"/>
  </r>
  <r>
    <d v="2021-09-16T01:19:50"/>
    <s v="21-1264"/>
    <s v="P088"/>
    <x v="6"/>
    <n v="192"/>
    <n v="96"/>
    <n v="1152"/>
    <n v="576"/>
    <n v="576"/>
    <x v="60"/>
    <s v="Creative &amp; Technology"/>
    <n v="15.556812309269255"/>
    <s v="Satisfied"/>
    <n v="10"/>
  </r>
  <r>
    <d v="2020-01-02T22:14:37"/>
    <s v="20-4323"/>
    <s v="P046"/>
    <x v="18"/>
    <n v="38"/>
    <n v="19"/>
    <n v="684"/>
    <n v="342"/>
    <n v="342"/>
    <x v="90"/>
    <s v="Healthcare &amp; Safety"/>
    <n v="7.0114620475168028"/>
    <s v="Neither"/>
    <n v="5"/>
  </r>
  <r>
    <d v="2019-07-12T19:22:15"/>
    <s v="19-2619"/>
    <s v="P050"/>
    <x v="15"/>
    <n v="108"/>
    <n v="36"/>
    <n v="1836"/>
    <n v="612"/>
    <n v="1224"/>
    <x v="171"/>
    <s v="Education"/>
    <n v="11.808681852148307"/>
    <s v="Satisfied"/>
    <n v="10"/>
  </r>
  <r>
    <d v="2020-11-18T11:23:39"/>
    <s v="20-1787"/>
    <s v="P010"/>
    <x v="11"/>
    <n v="144"/>
    <n v="36"/>
    <n v="2304"/>
    <n v="576"/>
    <n v="1728"/>
    <x v="130"/>
    <s v="Healthcare &amp; Safety"/>
    <n v="13.923194761258239"/>
    <s v="Neither"/>
    <n v="5"/>
  </r>
  <r>
    <d v="2021-04-23T17:03:11"/>
    <s v="21-4923"/>
    <s v="P014"/>
    <x v="12"/>
    <n v="166"/>
    <n v="83"/>
    <n v="1162"/>
    <n v="581"/>
    <n v="581"/>
    <x v="45"/>
    <s v="Sports &amp; Recreation"/>
    <n v="12.1334991293512"/>
    <s v="Dissatisfied"/>
    <n v="1"/>
  </r>
  <r>
    <d v="2019-09-20T00:48:50"/>
    <s v="19-2269"/>
    <s v="P005"/>
    <x v="18"/>
    <n v="76"/>
    <n v="19"/>
    <n v="1368"/>
    <n v="342"/>
    <n v="1026"/>
    <x v="234"/>
    <s v="Creative &amp; Technology"/>
    <n v="12.990345718839325"/>
    <s v="Satisfied"/>
    <n v="10"/>
  </r>
  <r>
    <d v="2020-02-02T15:25:56"/>
    <s v="20-4778"/>
    <s v="P081"/>
    <x v="19"/>
    <n v="50"/>
    <n v="25"/>
    <n v="950"/>
    <n v="475"/>
    <n v="475"/>
    <x v="138"/>
    <s v="Healthcare &amp; Safety"/>
    <n v="12.85215703546821"/>
    <s v="Neither"/>
    <n v="5"/>
  </r>
  <r>
    <d v="2020-03-14T08:15:42"/>
    <s v="20-1645"/>
    <s v="P040"/>
    <x v="0"/>
    <n v="160"/>
    <n v="80"/>
    <n v="2400"/>
    <n v="1200"/>
    <n v="1200"/>
    <x v="175"/>
    <s v="Creative &amp; Technology"/>
    <n v="13.150536103258979"/>
    <s v="Satisfied"/>
    <n v="10"/>
  </r>
  <r>
    <d v="2021-01-29T00:38:32"/>
    <s v="21-4314"/>
    <s v="P042"/>
    <x v="15"/>
    <n v="50"/>
    <n v="25"/>
    <n v="850"/>
    <n v="425"/>
    <n v="425"/>
    <x v="115"/>
    <s v="Sports &amp; Recreation"/>
    <n v="11.416048240262977"/>
    <s v="Neither"/>
    <n v="5"/>
  </r>
  <r>
    <d v="2018-02-08T06:17:06"/>
    <s v="18-4048"/>
    <s v="P045"/>
    <x v="9"/>
    <n v="100"/>
    <n v="25"/>
    <n v="2000"/>
    <n v="500"/>
    <n v="1500"/>
    <x v="263"/>
    <s v="Facilities &amp; Services"/>
    <n v="8.1352386075080023"/>
    <s v="Neither"/>
    <n v="5"/>
  </r>
  <r>
    <d v="2020-10-14T19:12:59"/>
    <s v="20-4311"/>
    <s v="P012"/>
    <x v="14"/>
    <n v="30"/>
    <n v="15"/>
    <n v="360"/>
    <n v="180"/>
    <n v="180"/>
    <x v="109"/>
    <s v="Sports &amp; Recreation"/>
    <n v="13.092530646074781"/>
    <s v="Satisfied"/>
    <n v="10"/>
  </r>
  <r>
    <d v="2020-03-03T06:50:11"/>
    <s v="20-1281"/>
    <s v="P045"/>
    <x v="5"/>
    <n v="100"/>
    <n v="25"/>
    <n v="300"/>
    <n v="75"/>
    <n v="225"/>
    <x v="73"/>
    <s v="Creative &amp; Technology"/>
    <n v="15.234329552872023"/>
    <s v="Satisfied"/>
    <n v="10"/>
  </r>
  <r>
    <d v="2021-07-26T06:35:50"/>
    <s v="21-2267"/>
    <s v="P027"/>
    <x v="7"/>
    <n v="140"/>
    <n v="70"/>
    <n v="1540"/>
    <n v="770"/>
    <n v="770"/>
    <x v="99"/>
    <s v="Healthcare &amp; Safety"/>
    <n v="12.148236977735172"/>
    <s v="Satisfied"/>
    <n v="10"/>
  </r>
  <r>
    <d v="2019-07-23T04:51:18"/>
    <s v="19-1353"/>
    <s v="P093"/>
    <x v="5"/>
    <n v="384"/>
    <n v="96"/>
    <n v="1152"/>
    <n v="288"/>
    <n v="864"/>
    <x v="124"/>
    <s v="Sports &amp; Recreation"/>
    <n v="13.115597690631557"/>
    <s v="Satisfied"/>
    <n v="10"/>
  </r>
  <r>
    <d v="2021-10-21T08:44:50"/>
    <s v="21-4627"/>
    <s v="P079"/>
    <x v="12"/>
    <n v="188"/>
    <n v="94"/>
    <n v="1316"/>
    <n v="658"/>
    <n v="658"/>
    <x v="126"/>
    <s v="Creative &amp; Technology"/>
    <n v="12.399050786131125"/>
    <s v="Dissatisfied"/>
    <n v="1"/>
  </r>
  <r>
    <d v="2020-10-12T07:46:53"/>
    <s v="20-2388"/>
    <s v="P035"/>
    <x v="19"/>
    <n v="144"/>
    <n v="48"/>
    <n v="2736"/>
    <n v="912"/>
    <n v="1824"/>
    <x v="39"/>
    <s v="Creative &amp; Technology"/>
    <n v="11.841063669683448"/>
    <s v="Neither"/>
    <n v="5"/>
  </r>
  <r>
    <d v="2020-06-29T04:03:56"/>
    <s v="20-2645"/>
    <s v="P034"/>
    <x v="9"/>
    <n v="114"/>
    <n v="57"/>
    <n v="2280"/>
    <n v="1140"/>
    <n v="1140"/>
    <x v="269"/>
    <s v="Corporate &amp; Professional"/>
    <n v="10.585251392347548"/>
    <s v="Dissatisfied"/>
    <n v="1"/>
  </r>
  <r>
    <d v="2020-12-24T08:09:10"/>
    <s v="20-1658"/>
    <s v="P039"/>
    <x v="6"/>
    <n v="270"/>
    <n v="90"/>
    <n v="1620"/>
    <n v="540"/>
    <n v="1080"/>
    <x v="74"/>
    <s v="Education"/>
    <n v="12.699346182652626"/>
    <s v="Neither"/>
    <n v="5"/>
  </r>
  <r>
    <d v="2019-11-27T11:32:33"/>
    <s v="19-3439"/>
    <s v="P002"/>
    <x v="15"/>
    <n v="144"/>
    <n v="36"/>
    <n v="2448"/>
    <n v="612"/>
    <n v="1836"/>
    <x v="267"/>
    <s v="Healthcare &amp; Safety"/>
    <n v="10.28240320324797"/>
    <s v="Satisfied"/>
    <n v="10"/>
  </r>
  <r>
    <d v="2018-10-14T13:50:25"/>
    <s v="18-3035"/>
    <s v="P051"/>
    <x v="12"/>
    <n v="135"/>
    <n v="45"/>
    <n v="945"/>
    <n v="315"/>
    <n v="630"/>
    <x v="70"/>
    <s v="Community &amp; Government"/>
    <n v="14.593670394271927"/>
    <s v="Neither"/>
    <n v="5"/>
  </r>
  <r>
    <d v="2018-04-03T19:08:29"/>
    <s v="18-3984"/>
    <s v="P069"/>
    <x v="3"/>
    <n v="150"/>
    <n v="75"/>
    <n v="600"/>
    <n v="300"/>
    <n v="300"/>
    <x v="130"/>
    <s v="Healthcare &amp; Safety"/>
    <n v="13.923194761258239"/>
    <s v="Satisfied"/>
    <n v="10"/>
  </r>
  <r>
    <d v="2018-09-04T20:06:37"/>
    <s v="18-1462"/>
    <s v="P067"/>
    <x v="8"/>
    <n v="144"/>
    <n v="36"/>
    <n v="2016"/>
    <n v="504"/>
    <n v="1512"/>
    <x v="256"/>
    <s v="Creative &amp; Technology"/>
    <n v="12.173451788225162"/>
    <s v="Dissatisfied"/>
    <n v="1"/>
  </r>
  <r>
    <d v="2021-01-28T06:29:53"/>
    <s v="21-3027"/>
    <s v="P075"/>
    <x v="5"/>
    <n v="160"/>
    <n v="80"/>
    <n v="480"/>
    <n v="240"/>
    <n v="240"/>
    <x v="220"/>
    <s v="Education"/>
    <n v="13.392447352247808"/>
    <s v="Neither"/>
    <n v="5"/>
  </r>
  <r>
    <d v="2020-04-21T00:16:43"/>
    <s v="20-2276"/>
    <s v="P040"/>
    <x v="8"/>
    <n v="160"/>
    <n v="80"/>
    <n v="2240"/>
    <n v="1120"/>
    <n v="1120"/>
    <x v="134"/>
    <s v="Sports &amp; Recreation"/>
    <n v="12.532428411174646"/>
    <s v="Neither"/>
    <n v="5"/>
  </r>
  <r>
    <d v="2018-09-12T14:23:40"/>
    <s v="18-3730"/>
    <s v="P042"/>
    <x v="16"/>
    <n v="50"/>
    <n v="25"/>
    <n v="450"/>
    <n v="225"/>
    <n v="225"/>
    <x v="98"/>
    <s v="Creative &amp; Technology"/>
    <n v="15.18789248529443"/>
    <s v="Neither"/>
    <n v="5"/>
  </r>
  <r>
    <d v="2018-07-17T13:53:20"/>
    <s v="18-3229"/>
    <s v="P088"/>
    <x v="9"/>
    <n v="192"/>
    <n v="96"/>
    <n v="3840"/>
    <n v="1920"/>
    <n v="1920"/>
    <x v="232"/>
    <s v="Corporate &amp; Professional"/>
    <n v="11.816654396440285"/>
    <s v="Neither"/>
    <n v="5"/>
  </r>
  <r>
    <d v="2021-03-01T23:03:51"/>
    <s v="21-2171"/>
    <s v="P049"/>
    <x v="2"/>
    <n v="356"/>
    <n v="89"/>
    <n v="4628"/>
    <n v="1157"/>
    <n v="3471"/>
    <x v="6"/>
    <s v="Creative &amp; Technology"/>
    <n v="11.749993886708426"/>
    <s v="Dissatisfied"/>
    <n v="1"/>
  </r>
  <r>
    <d v="2020-01-12T15:24:25"/>
    <s v="20-4478"/>
    <s v="P032"/>
    <x v="2"/>
    <n v="92"/>
    <n v="46"/>
    <n v="1196"/>
    <n v="598"/>
    <n v="598"/>
    <x v="191"/>
    <s v="Corporate &amp; Professional"/>
    <n v="12.131375018945562"/>
    <s v="Neither"/>
    <n v="5"/>
  </r>
  <r>
    <d v="2017-05-13T09:19:35"/>
    <s v="17-1371"/>
    <s v="P009"/>
    <x v="0"/>
    <n v="255"/>
    <n v="85"/>
    <n v="3825"/>
    <n v="1275"/>
    <n v="2550"/>
    <x v="212"/>
    <s v="Sports &amp; Recreation"/>
    <n v="11.443503623244197"/>
    <s v="Satisfied"/>
    <n v="10"/>
  </r>
  <r>
    <d v="2019-03-09T06:25:40"/>
    <s v="19-2989"/>
    <s v="P053"/>
    <x v="11"/>
    <n v="50"/>
    <n v="25"/>
    <n v="800"/>
    <n v="400"/>
    <n v="400"/>
    <x v="206"/>
    <s v="Community &amp; Government"/>
    <n v="12.699042739101285"/>
    <s v="Neither"/>
    <n v="5"/>
  </r>
  <r>
    <d v="2019-05-31T03:10:11"/>
    <s v="19-4672"/>
    <s v="P071"/>
    <x v="18"/>
    <n v="210"/>
    <n v="70"/>
    <n v="3780"/>
    <n v="1260"/>
    <n v="2520"/>
    <x v="171"/>
    <s v="Education"/>
    <n v="11.808681852148307"/>
    <s v="Satisfied"/>
    <n v="10"/>
  </r>
  <r>
    <d v="2023-05-05T17:37:31"/>
    <s v="23-1546"/>
    <s v="P099"/>
    <x v="11"/>
    <n v="132"/>
    <n v="33"/>
    <n v="2112"/>
    <n v="528"/>
    <n v="1584"/>
    <x v="106"/>
    <s v="Facilities &amp; Services"/>
    <n v="13.518413464873573"/>
    <s v="Neither"/>
    <n v="5"/>
  </r>
  <r>
    <d v="2021-05-28T11:30:03"/>
    <s v="21-2558"/>
    <s v="P094"/>
    <x v="5"/>
    <n v="80"/>
    <n v="20"/>
    <n v="240"/>
    <n v="60"/>
    <n v="180"/>
    <x v="20"/>
    <s v="Education"/>
    <n v="15.12637675023732"/>
    <s v="Satisfied"/>
    <n v="10"/>
  </r>
  <r>
    <d v="2020-12-07T21:33:37"/>
    <s v="20-1022"/>
    <s v="P073"/>
    <x v="3"/>
    <n v="48"/>
    <n v="24"/>
    <n v="192"/>
    <n v="96"/>
    <n v="96"/>
    <x v="204"/>
    <s v="Corporate &amp; Professional"/>
    <n v="10.248947386022252"/>
    <s v="Satisfied"/>
    <n v="10"/>
  </r>
  <r>
    <d v="2019-05-06T04:21:20"/>
    <s v="19-3910"/>
    <s v="P096"/>
    <x v="13"/>
    <n v="144"/>
    <n v="48"/>
    <n v="1440"/>
    <n v="480"/>
    <n v="960"/>
    <x v="2"/>
    <s v="Facilities &amp; Services"/>
    <n v="9.3226775515721787"/>
    <s v="Satisfied"/>
    <n v="10"/>
  </r>
  <r>
    <d v="2021-01-30T07:31:01"/>
    <s v="21-1306"/>
    <s v="P002"/>
    <x v="18"/>
    <n v="144"/>
    <n v="36"/>
    <n v="2592"/>
    <n v="648"/>
    <n v="1944"/>
    <x v="23"/>
    <s v="Healthcare &amp; Safety"/>
    <n v="13.407340878370247"/>
    <s v="Dissatisfied"/>
    <n v="1"/>
  </r>
  <r>
    <d v="2021-07-04T06:59:04"/>
    <s v="21-3938"/>
    <s v="P060"/>
    <x v="2"/>
    <n v="300"/>
    <n v="75"/>
    <n v="3900"/>
    <n v="975"/>
    <n v="2925"/>
    <x v="264"/>
    <s v="Education"/>
    <n v="10.818241047231139"/>
    <s v="Neither"/>
    <n v="5"/>
  </r>
  <r>
    <d v="2020-06-23T23:21:27"/>
    <s v="20-2781"/>
    <s v="P048"/>
    <x v="14"/>
    <n v="252"/>
    <n v="63"/>
    <n v="3024"/>
    <n v="756"/>
    <n v="2268"/>
    <x v="121"/>
    <s v="Creative &amp; Technology"/>
    <n v="11.394777319422785"/>
    <s v="Neither"/>
    <n v="5"/>
  </r>
  <r>
    <d v="2020-01-30T05:00:38"/>
    <s v="20-2285"/>
    <s v="P095"/>
    <x v="13"/>
    <n v="116"/>
    <n v="29"/>
    <n v="1160"/>
    <n v="290"/>
    <n v="870"/>
    <x v="272"/>
    <s v="Facilities &amp; Services"/>
    <n v="10.517826055804084"/>
    <s v="Dissatisfied"/>
    <n v="1"/>
  </r>
  <r>
    <d v="2019-10-10T03:44:41"/>
    <s v="19-4530"/>
    <s v="P074"/>
    <x v="2"/>
    <n v="352"/>
    <n v="88"/>
    <n v="4576"/>
    <n v="1144"/>
    <n v="3432"/>
    <x v="112"/>
    <s v="Creative &amp; Technology"/>
    <n v="12.004541523616258"/>
    <s v="Satisfied"/>
    <n v="10"/>
  </r>
  <r>
    <d v="2020-09-18T09:28:50"/>
    <s v="20-4434"/>
    <s v="P031"/>
    <x v="14"/>
    <n v="146"/>
    <n v="73"/>
    <n v="1752"/>
    <n v="876"/>
    <n v="876"/>
    <x v="97"/>
    <s v="Corporate &amp; Professional"/>
    <n v="12.545140403858928"/>
    <s v="Satisfied"/>
    <n v="10"/>
  </r>
  <r>
    <d v="2019-07-17T00:44:09"/>
    <s v="19-3912"/>
    <s v="P043"/>
    <x v="1"/>
    <n v="184"/>
    <n v="92"/>
    <n v="1472"/>
    <n v="736"/>
    <n v="736"/>
    <x v="37"/>
    <s v="Corporate &amp; Professional"/>
    <n v="11.749038185128619"/>
    <s v="Neither"/>
    <n v="5"/>
  </r>
  <r>
    <d v="2022-01-22T19:37:31"/>
    <s v="22-3836"/>
    <s v="P082"/>
    <x v="3"/>
    <n v="312"/>
    <n v="78"/>
    <n v="1248"/>
    <n v="312"/>
    <n v="936"/>
    <x v="244"/>
    <s v="Creative &amp; Technology"/>
    <n v="11.78346750250795"/>
    <s v="Neither"/>
    <n v="5"/>
  </r>
  <r>
    <d v="2019-10-20T22:01:44"/>
    <s v="19-2340"/>
    <s v="P032"/>
    <x v="8"/>
    <n v="92"/>
    <n v="46"/>
    <n v="1288"/>
    <n v="644"/>
    <n v="644"/>
    <x v="219"/>
    <s v="Facilities &amp; Services"/>
    <n v="11.289144410898391"/>
    <s v="Neither"/>
    <n v="5"/>
  </r>
  <r>
    <d v="2020-06-16T08:50:25"/>
    <s v="20-4952"/>
    <s v="P061"/>
    <x v="3"/>
    <n v="264"/>
    <n v="88"/>
    <n v="1056"/>
    <n v="352"/>
    <n v="704"/>
    <x v="162"/>
    <s v="Creative &amp; Technology"/>
    <n v="14.064516999204997"/>
    <s v="Satisfied"/>
    <n v="10"/>
  </r>
  <r>
    <d v="2022-03-13T14:28:36"/>
    <s v="22-4438"/>
    <s v="P014"/>
    <x v="9"/>
    <n v="166"/>
    <n v="83"/>
    <n v="3320"/>
    <n v="1660"/>
    <n v="1660"/>
    <x v="208"/>
    <s v="Community &amp; Government"/>
    <n v="12.658317415198635"/>
    <s v="Neither"/>
    <n v="5"/>
  </r>
  <r>
    <d v="2018-10-01T21:38:56"/>
    <s v="18-3493"/>
    <s v="P004"/>
    <x v="12"/>
    <n v="189"/>
    <n v="63"/>
    <n v="1323"/>
    <n v="441"/>
    <n v="882"/>
    <x v="41"/>
    <s v="Community &amp; Government"/>
    <n v="12.452986387489583"/>
    <s v="Neither"/>
    <n v="5"/>
  </r>
  <r>
    <d v="2018-12-16T23:56:03"/>
    <s v="18-1913"/>
    <s v="P099"/>
    <x v="19"/>
    <n v="132"/>
    <n v="33"/>
    <n v="2508"/>
    <n v="627"/>
    <n v="1881"/>
    <x v="197"/>
    <s v="Community &amp; Government"/>
    <n v="10.163794912095831"/>
    <s v="Satisfied"/>
    <n v="10"/>
  </r>
  <r>
    <d v="2016-04-25T06:15:44"/>
    <s v="16-3871"/>
    <s v="P056"/>
    <x v="18"/>
    <n v="72"/>
    <n v="36"/>
    <n v="1296"/>
    <n v="648"/>
    <n v="648"/>
    <x v="14"/>
    <s v="Creative &amp; Technology"/>
    <n v="13.45980057156361"/>
    <s v="Dissatisfied"/>
    <n v="1"/>
  </r>
  <r>
    <d v="2018-10-29T00:45:23"/>
    <s v="18-2398"/>
    <s v="P033"/>
    <x v="9"/>
    <n v="57"/>
    <n v="19"/>
    <n v="1140"/>
    <n v="380"/>
    <n v="760"/>
    <x v="247"/>
    <s v="Facilities &amp; Services"/>
    <n v="12.502346728827876"/>
    <s v="Satisfied"/>
    <n v="10"/>
  </r>
  <r>
    <d v="2020-10-03T02:24:20"/>
    <s v="20-3743"/>
    <s v="P010"/>
    <x v="6"/>
    <n v="144"/>
    <n v="36"/>
    <n v="864"/>
    <n v="216"/>
    <n v="648"/>
    <x v="189"/>
    <s v="Community &amp; Government"/>
    <n v="12.954911944548844"/>
    <s v="Neither"/>
    <n v="5"/>
  </r>
  <r>
    <d v="2022-01-19T11:38:48"/>
    <s v="22-3977"/>
    <s v="P022"/>
    <x v="10"/>
    <n v="153"/>
    <n v="51"/>
    <n v="765"/>
    <n v="255"/>
    <n v="510"/>
    <x v="102"/>
    <s v="Facilities &amp; Services"/>
    <n v="9.8928038181361391"/>
    <s v="Dissatisfied"/>
    <n v="1"/>
  </r>
  <r>
    <d v="2019-12-31T15:28:00"/>
    <s v="19-2611"/>
    <s v="P071"/>
    <x v="0"/>
    <n v="210"/>
    <n v="70"/>
    <n v="3150"/>
    <n v="1050"/>
    <n v="2100"/>
    <x v="23"/>
    <s v="Healthcare &amp; Safety"/>
    <n v="13.407340878370247"/>
    <s v="Neither"/>
    <n v="5"/>
  </r>
  <r>
    <d v="2021-06-17T18:22:55"/>
    <s v="21-2528"/>
    <s v="P022"/>
    <x v="10"/>
    <n v="153"/>
    <n v="51"/>
    <n v="765"/>
    <n v="255"/>
    <n v="510"/>
    <x v="219"/>
    <s v="Facilities &amp; Services"/>
    <n v="11.289144410898391"/>
    <s v="Neither"/>
    <n v="5"/>
  </r>
  <r>
    <d v="2021-10-12T02:07:00"/>
    <s v="21-4486"/>
    <s v="P042"/>
    <x v="11"/>
    <n v="50"/>
    <n v="25"/>
    <n v="800"/>
    <n v="400"/>
    <n v="400"/>
    <x v="28"/>
    <s v="Sports &amp; Recreation"/>
    <n v="11.006397834696006"/>
    <s v="Satisfied"/>
    <n v="10"/>
  </r>
  <r>
    <d v="2022-09-09T18:04:50"/>
    <s v="22-3765"/>
    <s v="P044"/>
    <x v="17"/>
    <n v="368"/>
    <n v="92"/>
    <n v="368"/>
    <n v="92"/>
    <n v="276"/>
    <x v="65"/>
    <s v="Healthcare &amp; Safety"/>
    <n v="14.377134310720955"/>
    <s v="Satisfied"/>
    <n v="10"/>
  </r>
  <r>
    <d v="2017-09-09T01:20:47"/>
    <s v="17-4787"/>
    <s v="P040"/>
    <x v="10"/>
    <n v="160"/>
    <n v="80"/>
    <n v="800"/>
    <n v="400"/>
    <n v="400"/>
    <x v="184"/>
    <s v="Community &amp; Government"/>
    <n v="8.8169309002713945"/>
    <s v="Dissatisfied"/>
    <n v="1"/>
  </r>
  <r>
    <d v="2020-08-26T12:30:26"/>
    <s v="20-2683"/>
    <s v="P091"/>
    <x v="11"/>
    <n v="204"/>
    <n v="51"/>
    <n v="3264"/>
    <n v="816"/>
    <n v="2448"/>
    <x v="100"/>
    <s v="Sports &amp; Recreation"/>
    <n v="10.132922049221957"/>
    <s v="Neither"/>
    <n v="5"/>
  </r>
  <r>
    <d v="2020-04-10T21:22:51"/>
    <s v="20-1095"/>
    <s v="P090"/>
    <x v="5"/>
    <n v="57"/>
    <n v="19"/>
    <n v="171"/>
    <n v="57"/>
    <n v="114"/>
    <x v="149"/>
    <s v="Facilities &amp; Services"/>
    <n v="11.311040680082275"/>
    <s v="Satisfied"/>
    <n v="10"/>
  </r>
  <r>
    <d v="2020-03-31T14:42:22"/>
    <s v="20-3472"/>
    <s v="P065"/>
    <x v="11"/>
    <n v="50"/>
    <n v="25"/>
    <n v="800"/>
    <n v="400"/>
    <n v="400"/>
    <x v="261"/>
    <s v="Sports &amp; Recreation"/>
    <n v="12.852414455158604"/>
    <s v="Neither"/>
    <n v="5"/>
  </r>
  <r>
    <d v="2017-04-14T08:24:58"/>
    <s v="17-2101"/>
    <s v="P065"/>
    <x v="6"/>
    <n v="50"/>
    <n v="25"/>
    <n v="300"/>
    <n v="150"/>
    <n v="150"/>
    <x v="139"/>
    <s v="Creative &amp; Technology"/>
    <n v="15.770846827234339"/>
    <s v="Neither"/>
    <n v="5"/>
  </r>
  <r>
    <d v="2021-04-13T17:03:23"/>
    <s v="21-3266"/>
    <s v="P015"/>
    <x v="11"/>
    <n v="176"/>
    <n v="88"/>
    <n v="2816"/>
    <n v="1408"/>
    <n v="1408"/>
    <x v="75"/>
    <s v="Healthcare &amp; Safety"/>
    <n v="13.918153610259502"/>
    <s v="Satisfied"/>
    <n v="10"/>
  </r>
  <r>
    <d v="2019-10-23T21:12:46"/>
    <s v="19-3203"/>
    <s v="P079"/>
    <x v="7"/>
    <n v="188"/>
    <n v="94"/>
    <n v="2068"/>
    <n v="1034"/>
    <n v="1034"/>
    <x v="122"/>
    <s v="Creative &amp; Technology"/>
    <n v="11.082295381980092"/>
    <s v="Neither"/>
    <n v="5"/>
  </r>
  <r>
    <d v="2021-09-06T11:05:02"/>
    <s v="21-4928"/>
    <s v="P091"/>
    <x v="4"/>
    <n v="204"/>
    <n v="51"/>
    <n v="408"/>
    <n v="102"/>
    <n v="306"/>
    <x v="147"/>
    <s v="Corporate &amp; Professional"/>
    <n v="9.629298039722805"/>
    <s v="Neither"/>
    <n v="5"/>
  </r>
  <r>
    <d v="2022-05-13T18:09:14"/>
    <s v="22-1034"/>
    <s v="P059"/>
    <x v="8"/>
    <n v="267"/>
    <n v="89"/>
    <n v="3738"/>
    <n v="1246"/>
    <n v="2492"/>
    <x v="123"/>
    <s v="Facilities &amp; Services"/>
    <n v="9.1877733607656964"/>
    <s v="Neither"/>
    <n v="5"/>
  </r>
  <r>
    <d v="2018-07-12T10:40:17"/>
    <s v="18-1542"/>
    <s v="P005"/>
    <x v="15"/>
    <n v="76"/>
    <n v="19"/>
    <n v="1292"/>
    <n v="323"/>
    <n v="969"/>
    <x v="176"/>
    <s v="Corporate &amp; Professional"/>
    <n v="11.769937929618399"/>
    <s v="Satisfied"/>
    <n v="10"/>
  </r>
  <r>
    <d v="2022-03-16T08:54:39"/>
    <s v="22-2291"/>
    <s v="P100"/>
    <x v="4"/>
    <n v="46"/>
    <n v="23"/>
    <n v="92"/>
    <n v="46"/>
    <n v="46"/>
    <x v="24"/>
    <s v="Sports &amp; Recreation"/>
    <n v="14.697745043716761"/>
    <s v="Dissatisfied"/>
    <n v="1"/>
  </r>
  <r>
    <d v="2020-05-23T08:33:35"/>
    <s v="20-4207"/>
    <s v="P025"/>
    <x v="9"/>
    <n v="210"/>
    <n v="70"/>
    <n v="4200"/>
    <n v="1400"/>
    <n v="2800"/>
    <x v="288"/>
    <s v="Sports &amp; Recreation"/>
    <n v="10.78374703625888"/>
    <s v="Neither"/>
    <n v="5"/>
  </r>
  <r>
    <d v="2020-09-07T23:30:21"/>
    <s v="20-4579"/>
    <s v="P051"/>
    <x v="12"/>
    <n v="135"/>
    <n v="45"/>
    <n v="945"/>
    <n v="315"/>
    <n v="630"/>
    <x v="254"/>
    <s v="Corporate &amp; Professional"/>
    <n v="8.1743378387804331"/>
    <s v="Neither"/>
    <n v="5"/>
  </r>
  <r>
    <d v="2020-10-04T03:27:20"/>
    <s v="20-2433"/>
    <s v="P014"/>
    <x v="10"/>
    <n v="166"/>
    <n v="83"/>
    <n v="830"/>
    <n v="415"/>
    <n v="415"/>
    <x v="16"/>
    <s v="Sports &amp; Recreation"/>
    <n v="12.865074657680612"/>
    <s v="Satisfied"/>
    <n v="10"/>
  </r>
  <r>
    <d v="2021-11-16T00:11:25"/>
    <s v="21-4467"/>
    <s v="P068"/>
    <x v="13"/>
    <n v="300"/>
    <n v="75"/>
    <n v="3000"/>
    <n v="750"/>
    <n v="2250"/>
    <x v="168"/>
    <s v="Healthcare &amp; Safety"/>
    <n v="9.74650548941427"/>
    <s v="Satisfied"/>
    <n v="10"/>
  </r>
  <r>
    <d v="2022-06-13T05:54:02"/>
    <s v="22-2717"/>
    <s v="P005"/>
    <x v="18"/>
    <n v="76"/>
    <n v="19"/>
    <n v="1368"/>
    <n v="342"/>
    <n v="1026"/>
    <x v="37"/>
    <s v="Corporate &amp; Professional"/>
    <n v="11.749038185128619"/>
    <s v="Satisfied"/>
    <n v="10"/>
  </r>
  <r>
    <d v="2019-04-28T08:48:31"/>
    <s v="19-3818"/>
    <s v="P038"/>
    <x v="12"/>
    <n v="240"/>
    <n v="80"/>
    <n v="1680"/>
    <n v="560"/>
    <n v="1120"/>
    <x v="202"/>
    <s v="Community &amp; Government"/>
    <n v="8.1595626482464514"/>
    <s v="Neither"/>
    <n v="5"/>
  </r>
  <r>
    <d v="2020-09-01T11:09:24"/>
    <s v="20-1535"/>
    <s v="P084"/>
    <x v="1"/>
    <n v="154"/>
    <n v="77"/>
    <n v="1232"/>
    <n v="616"/>
    <n v="616"/>
    <x v="23"/>
    <s v="Healthcare &amp; Safety"/>
    <n v="13.407340878370247"/>
    <s v="Neither"/>
    <n v="5"/>
  </r>
  <r>
    <d v="2019-08-04T06:40:55"/>
    <s v="19-2614"/>
    <s v="P001"/>
    <x v="3"/>
    <n v="108"/>
    <n v="36"/>
    <n v="432"/>
    <n v="144"/>
    <n v="288"/>
    <x v="33"/>
    <s v="Healthcare &amp; Safety"/>
    <n v="7.1104128275166252"/>
    <s v="Satisfied"/>
    <n v="10"/>
  </r>
  <r>
    <d v="2020-10-06T21:51:52"/>
    <s v="20-1507"/>
    <s v="P023"/>
    <x v="4"/>
    <n v="126"/>
    <n v="42"/>
    <n v="252"/>
    <n v="84"/>
    <n v="168"/>
    <x v="219"/>
    <s v="Facilities &amp; Services"/>
    <n v="11.289144410898391"/>
    <s v="Dissatisfied"/>
    <n v="1"/>
  </r>
  <r>
    <d v="2019-09-27T07:51:06"/>
    <s v="19-1806"/>
    <s v="P028"/>
    <x v="16"/>
    <n v="156"/>
    <n v="78"/>
    <n v="1404"/>
    <n v="702"/>
    <n v="702"/>
    <x v="108"/>
    <s v="Sports &amp; Recreation"/>
    <n v="11.970975110943924"/>
    <s v="Neither"/>
    <n v="5"/>
  </r>
  <r>
    <d v="2020-04-25T14:53:41"/>
    <s v="20-3693"/>
    <s v="P059"/>
    <x v="12"/>
    <n v="267"/>
    <n v="89"/>
    <n v="1869"/>
    <n v="623"/>
    <n v="1246"/>
    <x v="116"/>
    <s v="Education"/>
    <n v="12.299779975023837"/>
    <s v="Neither"/>
    <n v="5"/>
  </r>
  <r>
    <d v="2018-12-31T15:18:22"/>
    <s v="18-2083"/>
    <s v="P086"/>
    <x v="16"/>
    <n v="352"/>
    <n v="88"/>
    <n v="3168"/>
    <n v="792"/>
    <n v="2376"/>
    <x v="279"/>
    <s v="Corporate &amp; Professional"/>
    <n v="6.221489120484736"/>
    <s v="Neither"/>
    <n v="5"/>
  </r>
  <r>
    <d v="2020-03-11T00:08:28"/>
    <s v="20-4710"/>
    <s v="P019"/>
    <x v="8"/>
    <n v="308"/>
    <n v="77"/>
    <n v="4312"/>
    <n v="1078"/>
    <n v="3234"/>
    <x v="233"/>
    <s v="Education"/>
    <n v="9.5176115401380308"/>
    <s v="Satisfied"/>
    <n v="10"/>
  </r>
  <r>
    <d v="2020-08-29T22:44:27"/>
    <s v="20-3429"/>
    <s v="P100"/>
    <x v="19"/>
    <n v="46"/>
    <n v="23"/>
    <n v="874"/>
    <n v="437"/>
    <n v="437"/>
    <x v="207"/>
    <s v="Education"/>
    <n v="11.779256317174871"/>
    <s v="Neither"/>
    <n v="5"/>
  </r>
  <r>
    <d v="2021-07-31T08:26:13"/>
    <s v="21-1363"/>
    <s v="P087"/>
    <x v="4"/>
    <n v="176"/>
    <n v="88"/>
    <n v="352"/>
    <n v="176"/>
    <n v="176"/>
    <x v="99"/>
    <s v="Healthcare &amp; Safety"/>
    <n v="12.148236977735172"/>
    <s v="Satisfied"/>
    <n v="10"/>
  </r>
  <r>
    <d v="2018-01-01T06:20:31"/>
    <s v="18-2417"/>
    <s v="P067"/>
    <x v="15"/>
    <n v="144"/>
    <n v="36"/>
    <n v="2448"/>
    <n v="612"/>
    <n v="1836"/>
    <x v="136"/>
    <s v="Creative &amp; Technology"/>
    <n v="16.429355109701351"/>
    <s v="Neither"/>
    <n v="5"/>
  </r>
  <r>
    <d v="2020-01-04T12:03:10"/>
    <s v="20-4068"/>
    <s v="P098"/>
    <x v="14"/>
    <n v="201"/>
    <n v="67"/>
    <n v="2412"/>
    <n v="804"/>
    <n v="1608"/>
    <x v="199"/>
    <s v="Healthcare &amp; Safety"/>
    <n v="14.460020532456038"/>
    <s v="Neither"/>
    <n v="5"/>
  </r>
  <r>
    <d v="2018-12-05T18:51:31"/>
    <s v="18-3746"/>
    <s v="P029"/>
    <x v="8"/>
    <n v="300"/>
    <n v="75"/>
    <n v="4200"/>
    <n v="1050"/>
    <n v="3150"/>
    <x v="107"/>
    <s v="Community &amp; Government"/>
    <n v="11.986565560885863"/>
    <s v="Dissatisfied"/>
    <n v="1"/>
  </r>
  <r>
    <d v="2022-04-21T21:09:35"/>
    <s v="22-1920"/>
    <s v="P035"/>
    <x v="4"/>
    <n v="144"/>
    <n v="48"/>
    <n v="288"/>
    <n v="96"/>
    <n v="192"/>
    <x v="168"/>
    <s v="Healthcare &amp; Safety"/>
    <n v="9.74650548941427"/>
    <s v="Dissatisfied"/>
    <n v="1"/>
  </r>
  <r>
    <d v="2018-10-29T06:05:26"/>
    <s v="18-2791"/>
    <s v="P085"/>
    <x v="11"/>
    <n v="320"/>
    <n v="80"/>
    <n v="5120"/>
    <n v="1280"/>
    <n v="3840"/>
    <x v="192"/>
    <s v="Healthcare &amp; Safety"/>
    <n v="8.7741864171993527"/>
    <s v="Neither"/>
    <n v="5"/>
  </r>
  <r>
    <d v="2022-02-23T16:34:59"/>
    <s v="22-2509"/>
    <s v="P018"/>
    <x v="8"/>
    <n v="108"/>
    <n v="54"/>
    <n v="1512"/>
    <n v="756"/>
    <n v="756"/>
    <x v="103"/>
    <s v="Education"/>
    <n v="14.687857652112591"/>
    <s v="Dissatisfied"/>
    <n v="1"/>
  </r>
  <r>
    <d v="2020-11-17T11:34:27"/>
    <s v="20-1807"/>
    <s v="P065"/>
    <x v="12"/>
    <n v="50"/>
    <n v="25"/>
    <n v="350"/>
    <n v="175"/>
    <n v="175"/>
    <x v="124"/>
    <s v="Sports &amp; Recreation"/>
    <n v="13.115597690631557"/>
    <s v="Satisfied"/>
    <n v="10"/>
  </r>
  <r>
    <d v="2020-08-24T04:27:50"/>
    <s v="20-1521"/>
    <s v="P035"/>
    <x v="0"/>
    <n v="144"/>
    <n v="48"/>
    <n v="2160"/>
    <n v="720"/>
    <n v="1440"/>
    <x v="93"/>
    <s v="Facilities &amp; Services"/>
    <n v="10.966283117837653"/>
    <s v="Neither"/>
    <n v="5"/>
  </r>
  <r>
    <d v="2019-11-13T09:35:02"/>
    <s v="19-1492"/>
    <s v="P052"/>
    <x v="12"/>
    <n v="352"/>
    <n v="88"/>
    <n v="2464"/>
    <n v="616"/>
    <n v="1848"/>
    <x v="275"/>
    <s v="Healthcare &amp; Safety"/>
    <n v="10.428287009858728"/>
    <s v="Neither"/>
    <n v="5"/>
  </r>
  <r>
    <d v="2019-04-17T16:28:40"/>
    <s v="19-2183"/>
    <s v="P061"/>
    <x v="10"/>
    <n v="264"/>
    <n v="88"/>
    <n v="1320"/>
    <n v="440"/>
    <n v="880"/>
    <x v="17"/>
    <s v="Education"/>
    <n v="9.8238489437106278"/>
    <s v="Dissatisfied"/>
    <n v="1"/>
  </r>
  <r>
    <d v="2020-08-03T00:26:36"/>
    <s v="20-4525"/>
    <s v="P100"/>
    <x v="12"/>
    <n v="46"/>
    <n v="23"/>
    <n v="322"/>
    <n v="161"/>
    <n v="161"/>
    <x v="92"/>
    <s v="Education"/>
    <n v="11.99399163482429"/>
    <s v="Neither"/>
    <n v="5"/>
  </r>
  <r>
    <d v="2021-04-15T02:54:47"/>
    <s v="21-1736"/>
    <s v="P074"/>
    <x v="13"/>
    <n v="352"/>
    <n v="88"/>
    <n v="3520"/>
    <n v="880"/>
    <n v="2640"/>
    <x v="45"/>
    <s v="Sports &amp; Recreation"/>
    <n v="12.1334991293512"/>
    <s v="Dissatisfied"/>
    <n v="1"/>
  </r>
  <r>
    <d v="2022-02-16T16:17:14"/>
    <s v="22-2817"/>
    <s v="P031"/>
    <x v="3"/>
    <n v="146"/>
    <n v="73"/>
    <n v="584"/>
    <n v="292"/>
    <n v="292"/>
    <x v="131"/>
    <s v="Corporate &amp; Professional"/>
    <n v="11.701919153133453"/>
    <s v="Satisfied"/>
    <n v="10"/>
  </r>
  <r>
    <d v="2018-05-21T06:43:32"/>
    <s v="18-2768"/>
    <s v="P073"/>
    <x v="5"/>
    <n v="48"/>
    <n v="24"/>
    <n v="144"/>
    <n v="72"/>
    <n v="72"/>
    <x v="192"/>
    <s v="Healthcare &amp; Safety"/>
    <n v="8.7741864171993527"/>
    <s v="Dissatisfied"/>
    <n v="1"/>
  </r>
  <r>
    <d v="2021-05-25T05:03:36"/>
    <s v="21-4902"/>
    <s v="P063"/>
    <x v="15"/>
    <n v="261"/>
    <n v="87"/>
    <n v="4437"/>
    <n v="1479"/>
    <n v="2958"/>
    <x v="242"/>
    <s v="Corporate &amp; Professional"/>
    <n v="13.062292798511226"/>
    <s v="Satisfied"/>
    <n v="10"/>
  </r>
  <r>
    <d v="2018-12-30T16:57:46"/>
    <s v="18-2780"/>
    <s v="P037"/>
    <x v="17"/>
    <n v="160"/>
    <n v="80"/>
    <n v="160"/>
    <n v="80"/>
    <n v="80"/>
    <x v="129"/>
    <s v="Community &amp; Government"/>
    <n v="10.813269600021069"/>
    <s v="Neither"/>
    <n v="5"/>
  </r>
  <r>
    <d v="2019-09-20T08:42:26"/>
    <s v="19-3443"/>
    <s v="P038"/>
    <x v="16"/>
    <n v="240"/>
    <n v="80"/>
    <n v="2160"/>
    <n v="720"/>
    <n v="1440"/>
    <x v="105"/>
    <s v="Corporate &amp; Professional"/>
    <n v="11.070908141213383"/>
    <s v="Neither"/>
    <n v="5"/>
  </r>
  <r>
    <d v="2021-01-03T16:33:19"/>
    <s v="21-4012"/>
    <s v="P033"/>
    <x v="19"/>
    <n v="57"/>
    <n v="19"/>
    <n v="1083"/>
    <n v="361"/>
    <n v="722"/>
    <x v="94"/>
    <s v="Corporate &amp; Professional"/>
    <n v="9.0350666811770921"/>
    <s v="Neither"/>
    <n v="5"/>
  </r>
  <r>
    <d v="2020-02-06T14:49:53"/>
    <s v="20-2329"/>
    <s v="P083"/>
    <x v="5"/>
    <n v="90"/>
    <n v="45"/>
    <n v="270"/>
    <n v="135"/>
    <n v="135"/>
    <x v="177"/>
    <s v="Creative &amp; Technology"/>
    <n v="14.66147716237918"/>
    <s v="Satisfied"/>
    <n v="10"/>
  </r>
  <r>
    <d v="2022-09-16T16:29:53"/>
    <s v="22-4520"/>
    <s v="P093"/>
    <x v="19"/>
    <n v="384"/>
    <n v="96"/>
    <n v="7296"/>
    <n v="1824"/>
    <n v="5472"/>
    <x v="87"/>
    <s v="Education"/>
    <n v="11.710935611749917"/>
    <s v="Neither"/>
    <n v="5"/>
  </r>
  <r>
    <d v="2020-06-23T03:22:39"/>
    <s v="20-2176"/>
    <s v="P077"/>
    <x v="18"/>
    <n v="162"/>
    <n v="54"/>
    <n v="2916"/>
    <n v="972"/>
    <n v="1944"/>
    <x v="27"/>
    <s v="Healthcare &amp; Safety"/>
    <n v="10.42743035829395"/>
    <s v="Neither"/>
    <n v="5"/>
  </r>
  <r>
    <d v="2018-03-09T17:31:46"/>
    <s v="18-3883"/>
    <s v="P035"/>
    <x v="10"/>
    <n v="144"/>
    <n v="48"/>
    <n v="720"/>
    <n v="240"/>
    <n v="480"/>
    <x v="223"/>
    <s v="Education"/>
    <n v="11.661237375491201"/>
    <s v="Neither"/>
    <n v="5"/>
  </r>
  <r>
    <d v="2020-04-14T07:48:30"/>
    <s v="20-2942"/>
    <s v="P024"/>
    <x v="1"/>
    <n v="66"/>
    <n v="33"/>
    <n v="528"/>
    <n v="264"/>
    <n v="264"/>
    <x v="230"/>
    <s v="Community &amp; Government"/>
    <n v="12.155895475340943"/>
    <s v="Satisfied"/>
    <n v="10"/>
  </r>
  <r>
    <d v="2021-10-22T17:37:33"/>
    <s v="21-3467"/>
    <s v="P003"/>
    <x v="18"/>
    <n v="189"/>
    <n v="63"/>
    <n v="3402"/>
    <n v="1134"/>
    <n v="2268"/>
    <x v="285"/>
    <s v="Healthcare &amp; Safety"/>
    <n v="13.2671922973198"/>
    <s v="Satisfied"/>
    <n v="10"/>
  </r>
  <r>
    <d v="2019-10-06T06:41:59"/>
    <s v="19-1781"/>
    <s v="P053"/>
    <x v="9"/>
    <n v="50"/>
    <n v="25"/>
    <n v="1000"/>
    <n v="500"/>
    <n v="500"/>
    <x v="254"/>
    <s v="Corporate &amp; Professional"/>
    <n v="8.1743378387804331"/>
    <s v="Satisfied"/>
    <n v="10"/>
  </r>
  <r>
    <d v="2022-06-05T16:27:33"/>
    <s v="22-2036"/>
    <s v="P041"/>
    <x v="8"/>
    <n v="144"/>
    <n v="36"/>
    <n v="2016"/>
    <n v="504"/>
    <n v="1512"/>
    <x v="267"/>
    <s v="Healthcare &amp; Safety"/>
    <n v="10.28240320324797"/>
    <s v="Dissatisfied"/>
    <n v="1"/>
  </r>
  <r>
    <d v="2022-08-03T22:15:52"/>
    <s v="22-4559"/>
    <s v="P052"/>
    <x v="12"/>
    <n v="352"/>
    <n v="88"/>
    <n v="2464"/>
    <n v="616"/>
    <n v="1848"/>
    <x v="21"/>
    <s v="Facilities &amp; Services"/>
    <n v="13.717776078041958"/>
    <s v="Neither"/>
    <n v="5"/>
  </r>
  <r>
    <d v="2022-05-19T20:43:56"/>
    <s v="22-4128"/>
    <s v="P009"/>
    <x v="3"/>
    <n v="255"/>
    <n v="85"/>
    <n v="1020"/>
    <n v="340"/>
    <n v="680"/>
    <x v="155"/>
    <s v="Creative &amp; Technology"/>
    <n v="8.0758315802191021"/>
    <s v="Neither"/>
    <n v="5"/>
  </r>
  <r>
    <d v="2022-02-26T16:37:07"/>
    <s v="22-3987"/>
    <s v="P063"/>
    <x v="8"/>
    <n v="261"/>
    <n v="87"/>
    <n v="3654"/>
    <n v="1218"/>
    <n v="2436"/>
    <x v="173"/>
    <s v="Education"/>
    <n v="12.147202500273634"/>
    <s v="Neither"/>
    <n v="5"/>
  </r>
  <r>
    <d v="2020-05-14T12:05:39"/>
    <s v="20-4966"/>
    <s v="P037"/>
    <x v="16"/>
    <n v="160"/>
    <n v="80"/>
    <n v="1440"/>
    <n v="720"/>
    <n v="720"/>
    <x v="27"/>
    <s v="Healthcare &amp; Safety"/>
    <n v="10.42743035829395"/>
    <s v="Satisfied"/>
    <n v="10"/>
  </r>
  <r>
    <d v="2019-03-18T19:51:38"/>
    <s v="19-3255"/>
    <s v="P099"/>
    <x v="8"/>
    <n v="132"/>
    <n v="33"/>
    <n v="1848"/>
    <n v="462"/>
    <n v="1386"/>
    <x v="274"/>
    <s v="Creative &amp; Technology"/>
    <n v="10.524491192521829"/>
    <s v="Neither"/>
    <n v="5"/>
  </r>
  <r>
    <d v="2017-12-23T17:48:38"/>
    <s v="17-2826"/>
    <s v="P002"/>
    <x v="18"/>
    <n v="144"/>
    <n v="36"/>
    <n v="2592"/>
    <n v="648"/>
    <n v="1944"/>
    <x v="257"/>
    <s v="Creative &amp; Technology"/>
    <n v="9.9471686551317795"/>
    <s v="Satisfied"/>
    <n v="10"/>
  </r>
  <r>
    <d v="2019-12-06T16:33:26"/>
    <s v="19-2744"/>
    <s v="P072"/>
    <x v="9"/>
    <n v="132"/>
    <n v="44"/>
    <n v="2640"/>
    <n v="880"/>
    <n v="1760"/>
    <x v="53"/>
    <s v="Education"/>
    <n v="13.288482149665386"/>
    <s v="Neither"/>
    <n v="5"/>
  </r>
  <r>
    <d v="2020-07-17T18:16:12"/>
    <s v="20-3101"/>
    <s v="P009"/>
    <x v="19"/>
    <n v="255"/>
    <n v="85"/>
    <n v="4845"/>
    <n v="1615"/>
    <n v="3230"/>
    <x v="28"/>
    <s v="Sports &amp; Recreation"/>
    <n v="11.006397834696006"/>
    <s v="Dissatisfied"/>
    <n v="1"/>
  </r>
  <r>
    <d v="2021-03-27T08:22:48"/>
    <s v="21-3310"/>
    <s v="P033"/>
    <x v="8"/>
    <n v="57"/>
    <n v="19"/>
    <n v="798"/>
    <n v="266"/>
    <n v="532"/>
    <x v="277"/>
    <s v="Sports &amp; Recreation"/>
    <n v="10.01033276255276"/>
    <s v="Satisfied"/>
    <n v="10"/>
  </r>
  <r>
    <d v="2018-04-30T16:01:11"/>
    <s v="18-2682"/>
    <s v="P076"/>
    <x v="12"/>
    <n v="94"/>
    <n v="47"/>
    <n v="658"/>
    <n v="329"/>
    <n v="329"/>
    <x v="72"/>
    <s v="Community &amp; Government"/>
    <n v="15.458859683514467"/>
    <s v="Neither"/>
    <n v="5"/>
  </r>
  <r>
    <d v="2019-02-12T10:06:36"/>
    <s v="19-2829"/>
    <s v="P007"/>
    <x v="19"/>
    <n v="225"/>
    <n v="75"/>
    <n v="4275"/>
    <n v="1425"/>
    <n v="2850"/>
    <x v="258"/>
    <s v="Corporate &amp; Professional"/>
    <n v="14.538471643780088"/>
    <s v="Satisfied"/>
    <n v="10"/>
  </r>
  <r>
    <d v="2022-02-08T08:57:54"/>
    <s v="22-4211"/>
    <s v="P045"/>
    <x v="9"/>
    <n v="100"/>
    <n v="25"/>
    <n v="2000"/>
    <n v="500"/>
    <n v="1500"/>
    <x v="270"/>
    <s v="Education"/>
    <n v="14.129095302641241"/>
    <s v="Neither"/>
    <n v="5"/>
  </r>
  <r>
    <d v="2016-09-02T08:47:38"/>
    <s v="16-4442"/>
    <s v="P072"/>
    <x v="14"/>
    <n v="132"/>
    <n v="44"/>
    <n v="1584"/>
    <n v="528"/>
    <n v="1056"/>
    <x v="215"/>
    <s v="Facilities &amp; Services"/>
    <n v="14.817898176328208"/>
    <s v="Dissatisfied"/>
    <n v="1"/>
  </r>
  <r>
    <d v="2020-03-01T00:14:11"/>
    <s v="20-2501"/>
    <s v="P085"/>
    <x v="2"/>
    <n v="320"/>
    <n v="80"/>
    <n v="4160"/>
    <n v="1040"/>
    <n v="3120"/>
    <x v="31"/>
    <s v="Corporate &amp; Professional"/>
    <n v="9.4200113153305907"/>
    <s v="Dissatisfied"/>
    <n v="1"/>
  </r>
  <r>
    <d v="2022-06-26T23:03:04"/>
    <s v="22-4249"/>
    <s v="P020"/>
    <x v="1"/>
    <n v="180"/>
    <n v="45"/>
    <n v="1440"/>
    <n v="360"/>
    <n v="1080"/>
    <x v="82"/>
    <s v="Creative &amp; Technology"/>
    <n v="11.883396013219548"/>
    <s v="Satisfied"/>
    <n v="10"/>
  </r>
  <r>
    <d v="2021-11-20T11:26:17"/>
    <s v="21-2351"/>
    <s v="P085"/>
    <x v="0"/>
    <n v="320"/>
    <n v="80"/>
    <n v="4800"/>
    <n v="1200"/>
    <n v="3600"/>
    <x v="277"/>
    <s v="Sports &amp; Recreation"/>
    <n v="10.01033276255276"/>
    <s v="Neither"/>
    <n v="5"/>
  </r>
  <r>
    <d v="2020-04-06T18:57:23"/>
    <s v="20-2252"/>
    <s v="P054"/>
    <x v="1"/>
    <n v="144"/>
    <n v="48"/>
    <n v="1152"/>
    <n v="384"/>
    <n v="768"/>
    <x v="192"/>
    <s v="Healthcare &amp; Safety"/>
    <n v="8.7741864171993527"/>
    <s v="Dissatisfied"/>
    <n v="1"/>
  </r>
  <r>
    <d v="2022-04-21T23:30:20"/>
    <s v="22-2395"/>
    <s v="P002"/>
    <x v="9"/>
    <n v="144"/>
    <n v="36"/>
    <n v="2880"/>
    <n v="720"/>
    <n v="2160"/>
    <x v="186"/>
    <s v="Education"/>
    <n v="8.3272837771733244"/>
    <s v="Dissatisfied"/>
    <n v="1"/>
  </r>
  <r>
    <d v="2020-07-19T21:30:46"/>
    <s v="20-3686"/>
    <s v="P080"/>
    <x v="4"/>
    <n v="57"/>
    <n v="19"/>
    <n v="114"/>
    <n v="38"/>
    <n v="76"/>
    <x v="287"/>
    <s v="Community &amp; Government"/>
    <n v="14.412865837260112"/>
    <s v="Dissatisfied"/>
    <n v="1"/>
  </r>
  <r>
    <d v="2020-12-27T07:25:13"/>
    <s v="20-2375"/>
    <s v="P069"/>
    <x v="19"/>
    <n v="150"/>
    <n v="75"/>
    <n v="2850"/>
    <n v="1425"/>
    <n v="1425"/>
    <x v="262"/>
    <s v="Healthcare &amp; Safety"/>
    <n v="13.00553764131261"/>
    <s v="Neither"/>
    <n v="5"/>
  </r>
  <r>
    <d v="2020-03-11T20:28:57"/>
    <s v="20-2045"/>
    <s v="P024"/>
    <x v="12"/>
    <n v="66"/>
    <n v="33"/>
    <n v="462"/>
    <n v="231"/>
    <n v="231"/>
    <x v="252"/>
    <s v="Community &amp; Government"/>
    <n v="10.968401424454578"/>
    <s v="Neither"/>
    <n v="5"/>
  </r>
  <r>
    <d v="2020-09-10T01:41:48"/>
    <s v="20-2223"/>
    <s v="P062"/>
    <x v="10"/>
    <n v="348"/>
    <n v="87"/>
    <n v="1740"/>
    <n v="435"/>
    <n v="1305"/>
    <x v="38"/>
    <s v="Facilities &amp; Services"/>
    <n v="13.378080355059918"/>
    <s v="Dissatisfied"/>
    <n v="1"/>
  </r>
  <r>
    <d v="2020-01-24T11:23:28"/>
    <s v="20-3931"/>
    <s v="P064"/>
    <x v="8"/>
    <n v="231"/>
    <n v="77"/>
    <n v="3234"/>
    <n v="1078"/>
    <n v="2156"/>
    <x v="249"/>
    <s v="Corporate &amp; Professional"/>
    <n v="13.397308081757757"/>
    <s v="Neither"/>
    <n v="5"/>
  </r>
  <r>
    <d v="2019-04-18T10:49:39"/>
    <s v="19-2493"/>
    <s v="P014"/>
    <x v="19"/>
    <n v="166"/>
    <n v="83"/>
    <n v="3154"/>
    <n v="1577"/>
    <n v="1577"/>
    <x v="272"/>
    <s v="Facilities &amp; Services"/>
    <n v="10.517826055804084"/>
    <s v="Dissatisfied"/>
    <n v="1"/>
  </r>
  <r>
    <d v="2018-11-13T06:29:21"/>
    <s v="18-4105"/>
    <s v="P033"/>
    <x v="7"/>
    <n v="57"/>
    <n v="19"/>
    <n v="627"/>
    <n v="209"/>
    <n v="418"/>
    <x v="143"/>
    <s v="Community &amp; Government"/>
    <n v="12.732640267350657"/>
    <s v="Satisfied"/>
    <n v="10"/>
  </r>
  <r>
    <d v="2019-04-13T02:01:13"/>
    <s v="19-1364"/>
    <s v="P016"/>
    <x v="15"/>
    <n v="110"/>
    <n v="55"/>
    <n v="1870"/>
    <n v="935"/>
    <n v="935"/>
    <x v="57"/>
    <s v="Facilities &amp; Services"/>
    <n v="12.177709716438097"/>
    <s v="Neither"/>
    <n v="5"/>
  </r>
  <r>
    <d v="2019-06-28T21:42:17"/>
    <s v="19-4920"/>
    <s v="P091"/>
    <x v="16"/>
    <n v="204"/>
    <n v="51"/>
    <n v="1836"/>
    <n v="459"/>
    <n v="1377"/>
    <x v="11"/>
    <s v="Creative &amp; Technology"/>
    <n v="8.2871811249429097"/>
    <s v="Neither"/>
    <n v="5"/>
  </r>
  <r>
    <d v="2021-08-28T21:25:58"/>
    <s v="21-1911"/>
    <s v="P048"/>
    <x v="3"/>
    <n v="252"/>
    <n v="63"/>
    <n v="1008"/>
    <n v="252"/>
    <n v="756"/>
    <x v="99"/>
    <s v="Healthcare &amp; Safety"/>
    <n v="12.148236977735172"/>
    <s v="Neither"/>
    <n v="5"/>
  </r>
  <r>
    <d v="2021-11-17T20:58:13"/>
    <s v="21-3256"/>
    <s v="P032"/>
    <x v="11"/>
    <n v="92"/>
    <n v="46"/>
    <n v="1472"/>
    <n v="736"/>
    <n v="736"/>
    <x v="70"/>
    <s v="Community &amp; Government"/>
    <n v="14.593670394271927"/>
    <s v="Satisfied"/>
    <n v="10"/>
  </r>
  <r>
    <d v="2020-08-06T04:26:13"/>
    <s v="20-4095"/>
    <s v="P086"/>
    <x v="8"/>
    <n v="352"/>
    <n v="88"/>
    <n v="4928"/>
    <n v="1232"/>
    <n v="3696"/>
    <x v="263"/>
    <s v="Facilities &amp; Services"/>
    <n v="8.1352386075080023"/>
    <s v="Satisfied"/>
    <n v="10"/>
  </r>
  <r>
    <d v="2021-11-20T20:57:51"/>
    <s v="21-2538"/>
    <s v="P088"/>
    <x v="18"/>
    <n v="192"/>
    <n v="96"/>
    <n v="3456"/>
    <n v="1728"/>
    <n v="1728"/>
    <x v="207"/>
    <s v="Education"/>
    <n v="11.779256317174871"/>
    <s v="Neither"/>
    <n v="5"/>
  </r>
  <r>
    <d v="2019-03-07T09:17:11"/>
    <s v="19-2594"/>
    <s v="P026"/>
    <x v="5"/>
    <n v="280"/>
    <n v="70"/>
    <n v="840"/>
    <n v="210"/>
    <n v="630"/>
    <x v="281"/>
    <s v="Community &amp; Government"/>
    <n v="13.811876869930865"/>
    <s v="Neither"/>
    <n v="5"/>
  </r>
  <r>
    <d v="2024-01-30T20:03:14"/>
    <s v="24-1760"/>
    <s v="P099"/>
    <x v="10"/>
    <n v="132"/>
    <n v="33"/>
    <n v="660"/>
    <n v="165"/>
    <n v="495"/>
    <x v="249"/>
    <s v="Corporate &amp; Professional"/>
    <n v="13.397308081757757"/>
    <s v="Dissatisfied"/>
    <n v="1"/>
  </r>
  <r>
    <d v="2020-07-06T12:13:47"/>
    <s v="20-1277"/>
    <s v="P034"/>
    <x v="16"/>
    <n v="114"/>
    <n v="57"/>
    <n v="1026"/>
    <n v="513"/>
    <n v="513"/>
    <x v="284"/>
    <s v="Facilities &amp; Services"/>
    <n v="8.6625575824723242"/>
    <s v="Neither"/>
    <n v="5"/>
  </r>
  <r>
    <d v="2020-08-01T20:46:28"/>
    <s v="20-3093"/>
    <s v="P082"/>
    <x v="16"/>
    <n v="312"/>
    <n v="78"/>
    <n v="2808"/>
    <n v="702"/>
    <n v="2106"/>
    <x v="9"/>
    <s v="Sports &amp; Recreation"/>
    <n v="15.602184182549776"/>
    <s v="Neither"/>
    <n v="5"/>
  </r>
  <r>
    <d v="2018-03-20T06:27:22"/>
    <s v="18-1222"/>
    <s v="P055"/>
    <x v="3"/>
    <n v="360"/>
    <n v="90"/>
    <n v="1440"/>
    <n v="360"/>
    <n v="1080"/>
    <x v="211"/>
    <s v="Healthcare &amp; Safety"/>
    <n v="13.106678263594747"/>
    <s v="Neither"/>
    <n v="5"/>
  </r>
  <r>
    <d v="2019-02-26T11:45:08"/>
    <s v="19-3547"/>
    <s v="P061"/>
    <x v="12"/>
    <n v="264"/>
    <n v="88"/>
    <n v="1848"/>
    <n v="616"/>
    <n v="1232"/>
    <x v="236"/>
    <s v="Creative &amp; Technology"/>
    <n v="13.827196127590291"/>
    <s v="Neither"/>
    <n v="5"/>
  </r>
  <r>
    <d v="2020-09-24T17:16:27"/>
    <s v="20-1150"/>
    <s v="P058"/>
    <x v="17"/>
    <n v="356"/>
    <n v="89"/>
    <n v="356"/>
    <n v="89"/>
    <n v="267"/>
    <x v="197"/>
    <s v="Community &amp; Government"/>
    <n v="10.163794912095831"/>
    <s v="Satisfied"/>
    <n v="10"/>
  </r>
  <r>
    <d v="2017-06-27T17:44:11"/>
    <s v="17-4529"/>
    <s v="P052"/>
    <x v="16"/>
    <n v="352"/>
    <n v="88"/>
    <n v="3168"/>
    <n v="792"/>
    <n v="2376"/>
    <x v="272"/>
    <s v="Facilities &amp; Services"/>
    <n v="10.517826055804084"/>
    <s v="Satisfied"/>
    <n v="10"/>
  </r>
  <r>
    <d v="2021-10-25T08:58:03"/>
    <s v="21-1600"/>
    <s v="P020"/>
    <x v="17"/>
    <n v="180"/>
    <n v="45"/>
    <n v="180"/>
    <n v="45"/>
    <n v="135"/>
    <x v="216"/>
    <s v="Corporate &amp; Professional"/>
    <n v="9.1057685343725456"/>
    <s v="Satisfied"/>
    <n v="10"/>
  </r>
  <r>
    <d v="2020-01-24T00:28:16"/>
    <s v="20-2542"/>
    <s v="P024"/>
    <x v="0"/>
    <n v="66"/>
    <n v="33"/>
    <n v="990"/>
    <n v="495"/>
    <n v="495"/>
    <x v="245"/>
    <s v="Sports &amp; Recreation"/>
    <n v="11.816651848338852"/>
    <s v="Neither"/>
    <n v="5"/>
  </r>
  <r>
    <d v="2017-11-22T23:04:01"/>
    <s v="17-3301"/>
    <s v="P051"/>
    <x v="2"/>
    <n v="135"/>
    <n v="45"/>
    <n v="1755"/>
    <n v="585"/>
    <n v="1170"/>
    <x v="116"/>
    <s v="Education"/>
    <n v="12.299779975023837"/>
    <s v="Neither"/>
    <n v="5"/>
  </r>
  <r>
    <d v="2020-09-22T09:28:10"/>
    <s v="20-1384"/>
    <s v="P043"/>
    <x v="8"/>
    <n v="184"/>
    <n v="92"/>
    <n v="2576"/>
    <n v="1288"/>
    <n v="1288"/>
    <x v="146"/>
    <s v="Creative &amp; Technology"/>
    <n v="10.764293826791503"/>
    <s v="Neither"/>
    <n v="5"/>
  </r>
  <r>
    <d v="2019-12-23T18:03:29"/>
    <s v="19-3132"/>
    <s v="P002"/>
    <x v="5"/>
    <n v="144"/>
    <n v="36"/>
    <n v="432"/>
    <n v="108"/>
    <n v="324"/>
    <x v="26"/>
    <s v="Sports &amp; Recreation"/>
    <n v="14.16303548174143"/>
    <s v="Dissatisfied"/>
    <n v="1"/>
  </r>
  <r>
    <d v="2020-10-19T15:22:55"/>
    <s v="20-1853"/>
    <s v="P070"/>
    <x v="19"/>
    <n v="84"/>
    <n v="21"/>
    <n v="1596"/>
    <n v="399"/>
    <n v="1197"/>
    <x v="190"/>
    <s v="Corporate &amp; Professional"/>
    <n v="15.478388039566896"/>
    <s v="Neither"/>
    <n v="5"/>
  </r>
  <r>
    <d v="2020-11-29T22:31:40"/>
    <s v="20-2646"/>
    <s v="P069"/>
    <x v="17"/>
    <n v="150"/>
    <n v="75"/>
    <n v="150"/>
    <n v="75"/>
    <n v="75"/>
    <x v="152"/>
    <s v="Sports &amp; Recreation"/>
    <n v="11.249825090458803"/>
    <s v="Satisfied"/>
    <n v="10"/>
  </r>
  <r>
    <d v="2019-05-30T10:33:23"/>
    <s v="19-3202"/>
    <s v="P019"/>
    <x v="12"/>
    <n v="308"/>
    <n v="77"/>
    <n v="2156"/>
    <n v="539"/>
    <n v="1617"/>
    <x v="64"/>
    <s v="Corporate &amp; Professional"/>
    <n v="11.083482342133532"/>
    <s v="Neither"/>
    <n v="5"/>
  </r>
  <r>
    <d v="2018-12-10T02:42:58"/>
    <s v="18-1926"/>
    <s v="P081"/>
    <x v="4"/>
    <n v="50"/>
    <n v="25"/>
    <n v="100"/>
    <n v="50"/>
    <n v="50"/>
    <x v="257"/>
    <s v="Creative &amp; Technology"/>
    <n v="9.9471686551317795"/>
    <s v="Neither"/>
    <n v="5"/>
  </r>
  <r>
    <d v="2021-01-05T05:40:55"/>
    <s v="21-3624"/>
    <s v="P028"/>
    <x v="12"/>
    <n v="156"/>
    <n v="78"/>
    <n v="1092"/>
    <n v="546"/>
    <n v="546"/>
    <x v="132"/>
    <s v="Education"/>
    <n v="13.857835104514242"/>
    <s v="Neither"/>
    <n v="5"/>
  </r>
  <r>
    <d v="2019-09-09T05:19:03"/>
    <s v="19-1332"/>
    <s v="P096"/>
    <x v="3"/>
    <n v="144"/>
    <n v="48"/>
    <n v="576"/>
    <n v="192"/>
    <n v="384"/>
    <x v="281"/>
    <s v="Community &amp; Government"/>
    <n v="13.811876869930865"/>
    <s v="Dissatisfied"/>
    <n v="1"/>
  </r>
  <r>
    <d v="2019-10-28T01:21:03"/>
    <s v="19-1870"/>
    <s v="P038"/>
    <x v="17"/>
    <n v="240"/>
    <n v="80"/>
    <n v="240"/>
    <n v="80"/>
    <n v="160"/>
    <x v="231"/>
    <s v="Facilities &amp; Services"/>
    <n v="14.060995290679429"/>
    <s v="Satisfied"/>
    <n v="10"/>
  </r>
  <r>
    <d v="2018-06-25T02:51:05"/>
    <s v="18-1669"/>
    <s v="P088"/>
    <x v="10"/>
    <n v="192"/>
    <n v="96"/>
    <n v="960"/>
    <n v="480"/>
    <n v="480"/>
    <x v="92"/>
    <s v="Education"/>
    <n v="11.99399163482429"/>
    <s v="Neither"/>
    <n v="5"/>
  </r>
  <r>
    <d v="2019-12-27T05:27:24"/>
    <s v="19-1143"/>
    <s v="P007"/>
    <x v="2"/>
    <n v="225"/>
    <n v="75"/>
    <n v="2925"/>
    <n v="975"/>
    <n v="1950"/>
    <x v="203"/>
    <s v="Creative &amp; Technology"/>
    <n v="13.486912834801583"/>
    <s v="Satisfied"/>
    <n v="10"/>
  </r>
  <r>
    <d v="2019-07-02T06:26:32"/>
    <s v="19-4441"/>
    <s v="P066"/>
    <x v="4"/>
    <n v="34"/>
    <n v="17"/>
    <n v="68"/>
    <n v="34"/>
    <n v="34"/>
    <x v="198"/>
    <s v="Corporate &amp; Professional"/>
    <n v="6.9183250411917196"/>
    <s v="Neither"/>
    <n v="5"/>
  </r>
  <r>
    <d v="2020-08-22T14:07:46"/>
    <s v="20-4659"/>
    <s v="P070"/>
    <x v="14"/>
    <n v="84"/>
    <n v="21"/>
    <n v="1008"/>
    <n v="252"/>
    <n v="756"/>
    <x v="282"/>
    <s v="Community &amp; Government"/>
    <n v="14.157909724393564"/>
    <s v="Neither"/>
    <n v="5"/>
  </r>
  <r>
    <d v="2020-02-24T14:46:23"/>
    <s v="20-3834"/>
    <s v="P075"/>
    <x v="18"/>
    <n v="160"/>
    <n v="80"/>
    <n v="2880"/>
    <n v="1440"/>
    <n v="1440"/>
    <x v="114"/>
    <s v="Healthcare &amp; Safety"/>
    <n v="14.423322704129969"/>
    <s v="Satisfied"/>
    <n v="10"/>
  </r>
  <r>
    <d v="2019-08-28T04:09:25"/>
    <s v="19-4245"/>
    <s v="P023"/>
    <x v="8"/>
    <n v="126"/>
    <n v="42"/>
    <n v="1764"/>
    <n v="588"/>
    <n v="1176"/>
    <x v="5"/>
    <s v="Healthcare &amp; Safety"/>
    <n v="12.169266722245851"/>
    <s v="Neither"/>
    <n v="5"/>
  </r>
  <r>
    <d v="2020-05-13T17:26:56"/>
    <s v="20-1164"/>
    <s v="P042"/>
    <x v="7"/>
    <n v="50"/>
    <n v="25"/>
    <n v="550"/>
    <n v="275"/>
    <n v="275"/>
    <x v="246"/>
    <s v="Facilities &amp; Services"/>
    <n v="13.853438793083487"/>
    <s v="Neither"/>
    <n v="5"/>
  </r>
  <r>
    <d v="2020-10-22T09:32:42"/>
    <s v="20-2891"/>
    <s v="P100"/>
    <x v="9"/>
    <n v="46"/>
    <n v="23"/>
    <n v="920"/>
    <n v="460"/>
    <n v="460"/>
    <x v="22"/>
    <s v="Sports &amp; Recreation"/>
    <n v="9.7467096260695598"/>
    <s v="Satisfied"/>
    <n v="10"/>
  </r>
  <r>
    <d v="2019-10-31T23:00:52"/>
    <s v="19-3422"/>
    <s v="P097"/>
    <x v="6"/>
    <n v="92"/>
    <n v="46"/>
    <n v="552"/>
    <n v="276"/>
    <n v="276"/>
    <x v="214"/>
    <s v="Corporate &amp; Professional"/>
    <n v="12.985332015423809"/>
    <s v="Satisfied"/>
    <n v="10"/>
  </r>
  <r>
    <d v="2019-08-05T02:55:44"/>
    <s v="19-2195"/>
    <s v="P056"/>
    <x v="4"/>
    <n v="72"/>
    <n v="36"/>
    <n v="144"/>
    <n v="72"/>
    <n v="72"/>
    <x v="256"/>
    <s v="Creative &amp; Technology"/>
    <n v="12.173451788225162"/>
    <s v="Satisfied"/>
    <n v="10"/>
  </r>
  <r>
    <d v="2019-12-13T22:46:21"/>
    <s v="19-1841"/>
    <s v="P067"/>
    <x v="12"/>
    <n v="144"/>
    <n v="36"/>
    <n v="1008"/>
    <n v="252"/>
    <n v="756"/>
    <x v="182"/>
    <s v="Sports &amp; Recreation"/>
    <n v="12.564315242820944"/>
    <s v="Neither"/>
    <n v="5"/>
  </r>
  <r>
    <d v="2021-06-28T05:59:58"/>
    <s v="21-1685"/>
    <s v="P092"/>
    <x v="8"/>
    <n v="124"/>
    <n v="62"/>
    <n v="1736"/>
    <n v="868"/>
    <n v="868"/>
    <x v="4"/>
    <s v="Education"/>
    <n v="15.24190997853951"/>
    <s v="Dissatisfied"/>
    <n v="1"/>
  </r>
  <r>
    <d v="2019-08-25T01:36:21"/>
    <s v="19-1342"/>
    <s v="P071"/>
    <x v="15"/>
    <n v="210"/>
    <n v="70"/>
    <n v="3570"/>
    <n v="1190"/>
    <n v="2380"/>
    <x v="86"/>
    <s v="Community &amp; Government"/>
    <n v="12.758430621858414"/>
    <s v="Satisfied"/>
    <n v="10"/>
  </r>
  <r>
    <d v="2020-08-23T06:39:23"/>
    <s v="20-3862"/>
    <s v="P078"/>
    <x v="11"/>
    <n v="225"/>
    <n v="75"/>
    <n v="3600"/>
    <n v="1200"/>
    <n v="2400"/>
    <x v="191"/>
    <s v="Corporate &amp; Professional"/>
    <n v="12.131375018945562"/>
    <s v="Satisfied"/>
    <n v="10"/>
  </r>
  <r>
    <d v="2019-12-04T11:20:59"/>
    <s v="19-4606"/>
    <s v="P075"/>
    <x v="2"/>
    <n v="160"/>
    <n v="80"/>
    <n v="2080"/>
    <n v="1040"/>
    <n v="1040"/>
    <x v="273"/>
    <s v="Corporate &amp; Professional"/>
    <n v="11.971065679104063"/>
    <s v="Dissatisfied"/>
    <n v="1"/>
  </r>
  <r>
    <d v="2022-05-03T01:34:43"/>
    <s v="22-1333"/>
    <s v="P062"/>
    <x v="1"/>
    <n v="348"/>
    <n v="87"/>
    <n v="2784"/>
    <n v="696"/>
    <n v="2088"/>
    <x v="177"/>
    <s v="Creative &amp; Technology"/>
    <n v="14.66147716237918"/>
    <s v="Satisfied"/>
    <n v="10"/>
  </r>
  <r>
    <d v="2020-12-11T09:38:00"/>
    <s v="20-1332"/>
    <s v="P014"/>
    <x v="14"/>
    <n v="166"/>
    <n v="83"/>
    <n v="1992"/>
    <n v="996"/>
    <n v="996"/>
    <x v="63"/>
    <s v="Sports &amp; Recreation"/>
    <n v="14.030594525378042"/>
    <s v="Neither"/>
    <n v="5"/>
  </r>
  <r>
    <d v="2020-04-20T18:45:40"/>
    <s v="20-4705"/>
    <s v="P003"/>
    <x v="4"/>
    <n v="189"/>
    <n v="63"/>
    <n v="378"/>
    <n v="126"/>
    <n v="252"/>
    <x v="95"/>
    <s v="Facilities &amp; Services"/>
    <n v="7.7337149713827413"/>
    <s v="Neither"/>
    <n v="5"/>
  </r>
  <r>
    <d v="2019-06-17T23:41:23"/>
    <s v="19-3902"/>
    <s v="P065"/>
    <x v="11"/>
    <n v="50"/>
    <n v="25"/>
    <n v="800"/>
    <n v="400"/>
    <n v="400"/>
    <x v="27"/>
    <s v="Healthcare &amp; Safety"/>
    <n v="10.42743035829395"/>
    <s v="Satisfied"/>
    <n v="10"/>
  </r>
  <r>
    <d v="2019-10-02T03:19:54"/>
    <s v="19-4001"/>
    <s v="P094"/>
    <x v="16"/>
    <n v="80"/>
    <n v="20"/>
    <n v="720"/>
    <n v="180"/>
    <n v="540"/>
    <x v="130"/>
    <s v="Healthcare &amp; Safety"/>
    <n v="13.923194761258239"/>
    <s v="Satisfied"/>
    <n v="10"/>
  </r>
  <r>
    <d v="2019-08-28T12:36:54"/>
    <s v="19-3506"/>
    <s v="P047"/>
    <x v="0"/>
    <n v="72"/>
    <n v="36"/>
    <n v="1080"/>
    <n v="540"/>
    <n v="540"/>
    <x v="23"/>
    <s v="Healthcare &amp; Safety"/>
    <n v="13.407340878370247"/>
    <s v="Dissatisfied"/>
    <n v="1"/>
  </r>
  <r>
    <d v="2018-12-08T01:08:31"/>
    <s v="18-4758"/>
    <s v="P014"/>
    <x v="7"/>
    <n v="166"/>
    <n v="83"/>
    <n v="1826"/>
    <n v="913"/>
    <n v="913"/>
    <x v="257"/>
    <s v="Creative &amp; Technology"/>
    <n v="9.9471686551317795"/>
    <s v="Satisfied"/>
    <n v="10"/>
  </r>
  <r>
    <d v="2019-04-28T14:45:16"/>
    <s v="19-1696"/>
    <s v="P028"/>
    <x v="19"/>
    <n v="156"/>
    <n v="78"/>
    <n v="2964"/>
    <n v="1482"/>
    <n v="1482"/>
    <x v="106"/>
    <s v="Facilities &amp; Services"/>
    <n v="13.518413464873573"/>
    <s v="Dissatisfied"/>
    <n v="1"/>
  </r>
  <r>
    <d v="2018-11-27T02:21:28"/>
    <s v="18-1587"/>
    <s v="P087"/>
    <x v="11"/>
    <n v="176"/>
    <n v="88"/>
    <n v="2816"/>
    <n v="1408"/>
    <n v="1408"/>
    <x v="124"/>
    <s v="Sports &amp; Recreation"/>
    <n v="13.115597690631557"/>
    <s v="Satisfied"/>
    <n v="10"/>
  </r>
  <r>
    <d v="2020-02-06T09:01:37"/>
    <s v="20-1134"/>
    <s v="P005"/>
    <x v="15"/>
    <n v="76"/>
    <n v="19"/>
    <n v="1292"/>
    <n v="323"/>
    <n v="969"/>
    <x v="282"/>
    <s v="Community &amp; Government"/>
    <n v="14.157909724393564"/>
    <s v="Neither"/>
    <n v="5"/>
  </r>
  <r>
    <d v="2022-04-13T21:34:02"/>
    <s v="22-3127"/>
    <s v="P053"/>
    <x v="15"/>
    <n v="50"/>
    <n v="25"/>
    <n v="850"/>
    <n v="425"/>
    <n v="425"/>
    <x v="204"/>
    <s v="Corporate &amp; Professional"/>
    <n v="10.248947386022252"/>
    <s v="Neither"/>
    <n v="5"/>
  </r>
  <r>
    <d v="2020-04-13T21:27:22"/>
    <s v="20-1746"/>
    <s v="P035"/>
    <x v="18"/>
    <n v="144"/>
    <n v="48"/>
    <n v="2592"/>
    <n v="864"/>
    <n v="1728"/>
    <x v="220"/>
    <s v="Education"/>
    <n v="13.392447352247808"/>
    <s v="Neither"/>
    <n v="5"/>
  </r>
  <r>
    <d v="2021-09-09T00:09:12"/>
    <s v="21-2354"/>
    <s v="P052"/>
    <x v="14"/>
    <n v="352"/>
    <n v="88"/>
    <n v="4224"/>
    <n v="1056"/>
    <n v="3168"/>
    <x v="292"/>
    <s v="Creative &amp; Technology"/>
    <n v="13.537350739681813"/>
    <s v="Neither"/>
    <n v="5"/>
  </r>
  <r>
    <d v="2019-08-20T18:49:35"/>
    <s v="19-2337"/>
    <s v="P008"/>
    <x v="13"/>
    <n v="225"/>
    <n v="75"/>
    <n v="2250"/>
    <n v="750"/>
    <n v="1500"/>
    <x v="160"/>
    <s v="Creative &amp; Technology"/>
    <n v="8.8514729234790472"/>
    <s v="Neither"/>
    <n v="5"/>
  </r>
  <r>
    <d v="2020-04-13T20:08:36"/>
    <s v="20-1402"/>
    <s v="P090"/>
    <x v="13"/>
    <n v="57"/>
    <n v="19"/>
    <n v="570"/>
    <n v="190"/>
    <n v="380"/>
    <x v="63"/>
    <s v="Sports &amp; Recreation"/>
    <n v="14.030594525378042"/>
    <s v="Satisfied"/>
    <n v="10"/>
  </r>
  <r>
    <d v="2022-05-30T18:50:14"/>
    <s v="22-1196"/>
    <s v="P057"/>
    <x v="0"/>
    <n v="252"/>
    <n v="63"/>
    <n v="3780"/>
    <n v="945"/>
    <n v="2835"/>
    <x v="238"/>
    <s v="Education"/>
    <n v="13.275355576494196"/>
    <s v="Neither"/>
    <n v="5"/>
  </r>
  <r>
    <d v="2021-04-01T21:26:42"/>
    <s v="21-4959"/>
    <s v="P029"/>
    <x v="17"/>
    <n v="300"/>
    <n v="75"/>
    <n v="300"/>
    <n v="75"/>
    <n v="225"/>
    <x v="111"/>
    <s v="Sports &amp; Recreation"/>
    <n v="12.342715162719054"/>
    <s v="Neither"/>
    <n v="5"/>
  </r>
  <r>
    <d v="2019-03-23T06:58:03"/>
    <s v="19-4376"/>
    <s v="P089"/>
    <x v="18"/>
    <n v="102"/>
    <n v="51"/>
    <n v="1836"/>
    <n v="918"/>
    <n v="918"/>
    <x v="112"/>
    <s v="Creative &amp; Technology"/>
    <n v="12.004541523616258"/>
    <s v="Satisfied"/>
    <n v="10"/>
  </r>
  <r>
    <d v="2021-01-10T01:50:41"/>
    <s v="21-4422"/>
    <s v="P059"/>
    <x v="13"/>
    <n v="267"/>
    <n v="89"/>
    <n v="2670"/>
    <n v="890"/>
    <n v="1780"/>
    <x v="115"/>
    <s v="Sports &amp; Recreation"/>
    <n v="11.416048240262977"/>
    <s v="Neither"/>
    <n v="5"/>
  </r>
  <r>
    <d v="2021-01-27T07:36:17"/>
    <s v="21-4578"/>
    <s v="P010"/>
    <x v="19"/>
    <n v="144"/>
    <n v="36"/>
    <n v="2736"/>
    <n v="684"/>
    <n v="2052"/>
    <x v="11"/>
    <s v="Creative &amp; Technology"/>
    <n v="8.2871811249429097"/>
    <s v="Neither"/>
    <n v="5"/>
  </r>
  <r>
    <d v="2018-10-17T02:11:35"/>
    <s v="18-1171"/>
    <s v="P066"/>
    <x v="8"/>
    <n v="34"/>
    <n v="17"/>
    <n v="476"/>
    <n v="238"/>
    <n v="238"/>
    <x v="157"/>
    <s v="Corporate &amp; Professional"/>
    <n v="13.917704159139552"/>
    <s v="Neither"/>
    <n v="5"/>
  </r>
  <r>
    <d v="2019-09-18T16:10:58"/>
    <s v="19-4859"/>
    <s v="P087"/>
    <x v="19"/>
    <n v="176"/>
    <n v="88"/>
    <n v="3344"/>
    <n v="1672"/>
    <n v="1672"/>
    <x v="181"/>
    <s v="Sports &amp; Recreation"/>
    <n v="11.072271050116964"/>
    <s v="Dissatisfied"/>
    <n v="1"/>
  </r>
  <r>
    <d v="2021-11-20T14:20:10"/>
    <s v="21-1212"/>
    <s v="P063"/>
    <x v="4"/>
    <n v="261"/>
    <n v="87"/>
    <n v="522"/>
    <n v="174"/>
    <n v="348"/>
    <x v="111"/>
    <s v="Sports &amp; Recreation"/>
    <n v="12.342715162719054"/>
    <s v="Satisfied"/>
    <n v="10"/>
  </r>
  <r>
    <d v="2021-01-16T07:34:53"/>
    <s v="21-4857"/>
    <s v="P091"/>
    <x v="18"/>
    <n v="204"/>
    <n v="51"/>
    <n v="3672"/>
    <n v="918"/>
    <n v="2754"/>
    <x v="33"/>
    <s v="Healthcare &amp; Safety"/>
    <n v="7.1104128275166252"/>
    <s v="Dissatisfied"/>
    <n v="1"/>
  </r>
  <r>
    <d v="2020-10-15T11:55:34"/>
    <s v="20-2554"/>
    <s v="P059"/>
    <x v="0"/>
    <n v="267"/>
    <n v="89"/>
    <n v="4005"/>
    <n v="1335"/>
    <n v="2670"/>
    <x v="121"/>
    <s v="Creative &amp; Technology"/>
    <n v="11.394777319422785"/>
    <s v="Satisfied"/>
    <n v="10"/>
  </r>
  <r>
    <d v="2020-08-08T00:14:57"/>
    <s v="20-1396"/>
    <s v="P079"/>
    <x v="3"/>
    <n v="188"/>
    <n v="94"/>
    <n v="752"/>
    <n v="376"/>
    <n v="376"/>
    <x v="63"/>
    <s v="Sports &amp; Recreation"/>
    <n v="14.030594525378042"/>
    <s v="Satisfied"/>
    <n v="10"/>
  </r>
  <r>
    <d v="2021-02-06T15:33:56"/>
    <s v="21-4656"/>
    <s v="P094"/>
    <x v="11"/>
    <n v="80"/>
    <n v="20"/>
    <n v="1280"/>
    <n v="320"/>
    <n v="960"/>
    <x v="117"/>
    <s v="Corporate &amp; Professional"/>
    <n v="11.687634894637348"/>
    <s v="Neither"/>
    <n v="5"/>
  </r>
  <r>
    <d v="2021-04-08T11:56:23"/>
    <s v="21-4080"/>
    <s v="P092"/>
    <x v="1"/>
    <n v="124"/>
    <n v="62"/>
    <n v="992"/>
    <n v="496"/>
    <n v="496"/>
    <x v="73"/>
    <s v="Creative &amp; Technology"/>
    <n v="15.234329552872023"/>
    <s v="Dissatisfied"/>
    <n v="1"/>
  </r>
  <r>
    <d v="2020-08-17T12:27:46"/>
    <s v="20-3081"/>
    <s v="P073"/>
    <x v="15"/>
    <n v="48"/>
    <n v="24"/>
    <n v="816"/>
    <n v="408"/>
    <n v="408"/>
    <x v="276"/>
    <s v="Education"/>
    <n v="10.518436853046438"/>
    <s v="Neither"/>
    <n v="5"/>
  </r>
  <r>
    <d v="2019-06-05T04:22:43"/>
    <s v="19-1735"/>
    <s v="P080"/>
    <x v="8"/>
    <n v="57"/>
    <n v="19"/>
    <n v="798"/>
    <n v="266"/>
    <n v="532"/>
    <x v="135"/>
    <s v="Corporate &amp; Professional"/>
    <n v="10.408704992688252"/>
    <s v="Neither"/>
    <n v="5"/>
  </r>
  <r>
    <d v="2021-07-14T05:27:35"/>
    <s v="21-2773"/>
    <s v="P089"/>
    <x v="6"/>
    <n v="102"/>
    <n v="51"/>
    <n v="612"/>
    <n v="306"/>
    <n v="306"/>
    <x v="111"/>
    <s v="Sports &amp; Recreation"/>
    <n v="12.342715162719054"/>
    <s v="Satisfied"/>
    <n v="10"/>
  </r>
  <r>
    <d v="2020-12-18T13:04:01"/>
    <s v="20-3336"/>
    <s v="P099"/>
    <x v="16"/>
    <n v="132"/>
    <n v="33"/>
    <n v="1188"/>
    <n v="297"/>
    <n v="891"/>
    <x v="24"/>
    <s v="Sports &amp; Recreation"/>
    <n v="14.697745043716761"/>
    <s v="Dissatisfied"/>
    <n v="1"/>
  </r>
  <r>
    <d v="2022-05-26T23:08:07"/>
    <s v="22-4859"/>
    <s v="P027"/>
    <x v="0"/>
    <n v="140"/>
    <n v="70"/>
    <n v="2100"/>
    <n v="1050"/>
    <n v="1050"/>
    <x v="267"/>
    <s v="Healthcare &amp; Safety"/>
    <n v="10.28240320324797"/>
    <s v="Neither"/>
    <n v="5"/>
  </r>
  <r>
    <d v="2021-10-16T01:07:14"/>
    <s v="21-1353"/>
    <s v="P029"/>
    <x v="1"/>
    <n v="300"/>
    <n v="75"/>
    <n v="2400"/>
    <n v="600"/>
    <n v="1800"/>
    <x v="20"/>
    <s v="Education"/>
    <n v="15.12637675023732"/>
    <s v="Dissatisfied"/>
    <n v="1"/>
  </r>
  <r>
    <d v="2022-10-12T18:05:44"/>
    <s v="22-1339"/>
    <s v="P052"/>
    <x v="16"/>
    <n v="352"/>
    <n v="88"/>
    <n v="3168"/>
    <n v="792"/>
    <n v="2376"/>
    <x v="121"/>
    <s v="Creative &amp; Technology"/>
    <n v="11.394777319422785"/>
    <s v="Satisfied"/>
    <n v="10"/>
  </r>
  <r>
    <d v="2021-10-09T20:39:19"/>
    <s v="21-1656"/>
    <s v="P062"/>
    <x v="4"/>
    <n v="348"/>
    <n v="87"/>
    <n v="696"/>
    <n v="174"/>
    <n v="522"/>
    <x v="33"/>
    <s v="Healthcare &amp; Safety"/>
    <n v="7.1104128275166252"/>
    <s v="Neither"/>
    <n v="5"/>
  </r>
  <r>
    <d v="2020-08-10T03:05:26"/>
    <s v="20-4521"/>
    <s v="P064"/>
    <x v="1"/>
    <n v="231"/>
    <n v="77"/>
    <n v="1848"/>
    <n v="616"/>
    <n v="1232"/>
    <x v="122"/>
    <s v="Creative &amp; Technology"/>
    <n v="11.082295381980092"/>
    <s v="Satisfied"/>
    <n v="10"/>
  </r>
  <r>
    <d v="2018-12-31T02:47:09"/>
    <s v="18-3886"/>
    <s v="P055"/>
    <x v="6"/>
    <n v="360"/>
    <n v="90"/>
    <n v="2160"/>
    <n v="540"/>
    <n v="1620"/>
    <x v="254"/>
    <s v="Corporate &amp; Professional"/>
    <n v="8.1743378387804331"/>
    <s v="Dissatisfied"/>
    <n v="1"/>
  </r>
  <r>
    <d v="2021-01-12T16:28:19"/>
    <s v="21-1275"/>
    <s v="P020"/>
    <x v="19"/>
    <n v="180"/>
    <n v="45"/>
    <n v="3420"/>
    <n v="855"/>
    <n v="2565"/>
    <x v="237"/>
    <s v="Creative &amp; Technology"/>
    <n v="11.485823039755857"/>
    <s v="Satisfied"/>
    <n v="10"/>
  </r>
  <r>
    <d v="2021-04-26T08:56:18"/>
    <s v="21-3556"/>
    <s v="P080"/>
    <x v="18"/>
    <n v="57"/>
    <n v="19"/>
    <n v="1026"/>
    <n v="342"/>
    <n v="684"/>
    <x v="223"/>
    <s v="Education"/>
    <n v="11.661237375491201"/>
    <s v="Neither"/>
    <n v="5"/>
  </r>
  <r>
    <d v="2020-08-20T18:56:34"/>
    <s v="20-1666"/>
    <s v="P005"/>
    <x v="15"/>
    <n v="76"/>
    <n v="19"/>
    <n v="1292"/>
    <n v="323"/>
    <n v="969"/>
    <x v="85"/>
    <s v="Creative &amp; Technology"/>
    <n v="10.570474361325047"/>
    <s v="Neither"/>
    <n v="5"/>
  </r>
  <r>
    <d v="2022-08-18T03:33:31"/>
    <s v="22-1807"/>
    <s v="P071"/>
    <x v="2"/>
    <n v="210"/>
    <n v="70"/>
    <n v="2730"/>
    <n v="910"/>
    <n v="1820"/>
    <x v="276"/>
    <s v="Education"/>
    <n v="10.518436853046438"/>
    <s v="Neither"/>
    <n v="5"/>
  </r>
  <r>
    <d v="2018-11-28T08:09:04"/>
    <s v="18-1205"/>
    <s v="P010"/>
    <x v="16"/>
    <n v="144"/>
    <n v="36"/>
    <n v="1296"/>
    <n v="324"/>
    <n v="972"/>
    <x v="87"/>
    <s v="Education"/>
    <n v="11.710935611749917"/>
    <s v="Neither"/>
    <n v="5"/>
  </r>
  <r>
    <d v="2020-02-02T15:35:24"/>
    <s v="20-1949"/>
    <s v="P078"/>
    <x v="16"/>
    <n v="225"/>
    <n v="75"/>
    <n v="2025"/>
    <n v="675"/>
    <n v="1350"/>
    <x v="160"/>
    <s v="Creative &amp; Technology"/>
    <n v="8.8514729234790472"/>
    <s v="Dissatisfied"/>
    <n v="1"/>
  </r>
  <r>
    <d v="2019-02-04T01:20:51"/>
    <s v="19-4701"/>
    <s v="P057"/>
    <x v="9"/>
    <n v="252"/>
    <n v="63"/>
    <n v="5040"/>
    <n v="1260"/>
    <n v="3780"/>
    <x v="94"/>
    <s v="Corporate &amp; Professional"/>
    <n v="9.0350666811770921"/>
    <s v="Satisfied"/>
    <n v="10"/>
  </r>
  <r>
    <d v="2020-03-08T08:13:59"/>
    <s v="20-1231"/>
    <s v="P038"/>
    <x v="8"/>
    <n v="240"/>
    <n v="80"/>
    <n v="3360"/>
    <n v="1120"/>
    <n v="2240"/>
    <x v="134"/>
    <s v="Sports &amp; Recreation"/>
    <n v="12.532428411174646"/>
    <s v="Satisfied"/>
    <n v="10"/>
  </r>
  <r>
    <d v="2021-12-15T17:35:13"/>
    <s v="21-3757"/>
    <s v="P004"/>
    <x v="16"/>
    <n v="189"/>
    <n v="63"/>
    <n v="1701"/>
    <n v="567"/>
    <n v="1134"/>
    <x v="222"/>
    <s v="Community &amp; Government"/>
    <n v="13.095446915421235"/>
    <s v="Satisfied"/>
    <n v="10"/>
  </r>
  <r>
    <d v="2022-10-01T15:51:05"/>
    <s v="22-1685"/>
    <s v="P091"/>
    <x v="14"/>
    <n v="204"/>
    <n v="51"/>
    <n v="2448"/>
    <n v="612"/>
    <n v="1836"/>
    <x v="97"/>
    <s v="Corporate &amp; Professional"/>
    <n v="12.545140403858928"/>
    <s v="Dissatisfied"/>
    <n v="1"/>
  </r>
  <r>
    <d v="2018-10-30T09:08:57"/>
    <s v="18-1685"/>
    <s v="P088"/>
    <x v="5"/>
    <n v="192"/>
    <n v="96"/>
    <n v="576"/>
    <n v="288"/>
    <n v="288"/>
    <x v="174"/>
    <s v="Corporate &amp; Professional"/>
    <n v="12.921682080641304"/>
    <s v="Dissatisfied"/>
    <n v="1"/>
  </r>
  <r>
    <d v="2020-09-02T11:19:22"/>
    <s v="20-1071"/>
    <s v="P079"/>
    <x v="19"/>
    <n v="188"/>
    <n v="94"/>
    <n v="3572"/>
    <n v="1786"/>
    <n v="1786"/>
    <x v="66"/>
    <s v="Facilities &amp; Services"/>
    <n v="12.172922939334034"/>
    <s v="Dissatisfied"/>
    <n v="1"/>
  </r>
  <r>
    <d v="2019-04-09T19:06:06"/>
    <s v="19-1395"/>
    <s v="P002"/>
    <x v="4"/>
    <n v="144"/>
    <n v="36"/>
    <n v="288"/>
    <n v="72"/>
    <n v="216"/>
    <x v="7"/>
    <s v="Healthcare &amp; Safety"/>
    <n v="11.048444680405545"/>
    <s v="Dissatisfied"/>
    <n v="1"/>
  </r>
  <r>
    <d v="2021-06-15T22:14:30"/>
    <s v="21-1909"/>
    <s v="P033"/>
    <x v="2"/>
    <n v="57"/>
    <n v="19"/>
    <n v="741"/>
    <n v="247"/>
    <n v="494"/>
    <x v="91"/>
    <s v="Creative &amp; Technology"/>
    <n v="11.03324198943719"/>
    <s v="Dissatisfied"/>
    <n v="1"/>
  </r>
  <r>
    <d v="2015-11-14T10:52:20"/>
    <s v="15-3015"/>
    <s v="P098"/>
    <x v="15"/>
    <n v="201"/>
    <n v="67"/>
    <n v="3417"/>
    <n v="1139"/>
    <n v="2278"/>
    <x v="259"/>
    <s v="Education"/>
    <n v="15.268550004010105"/>
    <s v="Satisfied"/>
    <n v="10"/>
  </r>
  <r>
    <d v="2021-06-07T10:43:00"/>
    <s v="21-1525"/>
    <s v="P033"/>
    <x v="2"/>
    <n v="57"/>
    <n v="19"/>
    <n v="741"/>
    <n v="247"/>
    <n v="494"/>
    <x v="213"/>
    <s v="Healthcare &amp; Safety"/>
    <n v="16.148992525516267"/>
    <s v="Dissatisfied"/>
    <n v="1"/>
  </r>
  <r>
    <d v="2021-01-23T00:43:01"/>
    <s v="21-2370"/>
    <s v="P092"/>
    <x v="10"/>
    <n v="124"/>
    <n v="62"/>
    <n v="620"/>
    <n v="310"/>
    <n v="310"/>
    <x v="149"/>
    <s v="Facilities &amp; Services"/>
    <n v="11.311040680082275"/>
    <s v="Satisfied"/>
    <n v="10"/>
  </r>
  <r>
    <d v="2019-10-09T05:01:26"/>
    <s v="19-3084"/>
    <s v="P062"/>
    <x v="11"/>
    <n v="348"/>
    <n v="87"/>
    <n v="5568"/>
    <n v="1392"/>
    <n v="4176"/>
    <x v="260"/>
    <s v="Creative &amp; Technology"/>
    <n v="10.588336269016523"/>
    <s v="Satisfied"/>
    <n v="10"/>
  </r>
  <r>
    <d v="2019-04-20T02:30:46"/>
    <s v="19-2949"/>
    <s v="P078"/>
    <x v="19"/>
    <n v="225"/>
    <n v="75"/>
    <n v="4275"/>
    <n v="1425"/>
    <n v="2850"/>
    <x v="167"/>
    <s v="Healthcare &amp; Safety"/>
    <n v="16.695690968264284"/>
    <s v="Neither"/>
    <n v="5"/>
  </r>
  <r>
    <d v="2018-10-07T11:31:24"/>
    <s v="18-1787"/>
    <s v="P093"/>
    <x v="12"/>
    <n v="384"/>
    <n v="96"/>
    <n v="2688"/>
    <n v="672"/>
    <n v="2016"/>
    <x v="258"/>
    <s v="Corporate &amp; Professional"/>
    <n v="14.538471643780088"/>
    <s v="Satisfied"/>
    <n v="10"/>
  </r>
  <r>
    <d v="2020-07-13T08:59:38"/>
    <s v="20-1844"/>
    <s v="P019"/>
    <x v="0"/>
    <n v="308"/>
    <n v="77"/>
    <n v="4620"/>
    <n v="1155"/>
    <n v="3465"/>
    <x v="10"/>
    <s v="Education"/>
    <n v="12.957303170959879"/>
    <s v="Neither"/>
    <n v="5"/>
  </r>
  <r>
    <d v="2022-01-27T03:32:17"/>
    <s v="22-2146"/>
    <s v="P096"/>
    <x v="4"/>
    <n v="144"/>
    <n v="48"/>
    <n v="288"/>
    <n v="96"/>
    <n v="192"/>
    <x v="232"/>
    <s v="Corporate &amp; Professional"/>
    <n v="11.816654396440285"/>
    <s v="Neither"/>
    <n v="5"/>
  </r>
  <r>
    <d v="2020-06-07T21:22:31"/>
    <s v="20-1979"/>
    <s v="P096"/>
    <x v="12"/>
    <n v="144"/>
    <n v="48"/>
    <n v="1008"/>
    <n v="336"/>
    <n v="672"/>
    <x v="201"/>
    <s v="Community &amp; Government"/>
    <n v="8.1628930629234038"/>
    <s v="Neither"/>
    <n v="5"/>
  </r>
  <r>
    <d v="2020-11-17T18:56:20"/>
    <s v="20-3002"/>
    <s v="P079"/>
    <x v="11"/>
    <n v="188"/>
    <n v="94"/>
    <n v="3008"/>
    <n v="1504"/>
    <n v="1504"/>
    <x v="127"/>
    <s v="Facilities &amp; Services"/>
    <n v="11.644564584314265"/>
    <s v="Neither"/>
    <n v="5"/>
  </r>
  <r>
    <d v="2020-08-24T15:33:06"/>
    <s v="20-1940"/>
    <s v="P074"/>
    <x v="0"/>
    <n v="352"/>
    <n v="88"/>
    <n v="5280"/>
    <n v="1320"/>
    <n v="3960"/>
    <x v="149"/>
    <s v="Facilities &amp; Services"/>
    <n v="11.311040680082275"/>
    <s v="Neither"/>
    <n v="5"/>
  </r>
  <r>
    <d v="2020-05-25T17:38:03"/>
    <s v="20-2000"/>
    <s v="P071"/>
    <x v="0"/>
    <n v="210"/>
    <n v="70"/>
    <n v="3150"/>
    <n v="1050"/>
    <n v="2100"/>
    <x v="226"/>
    <s v="Community &amp; Government"/>
    <n v="11.927799225928501"/>
    <s v="Neither"/>
    <n v="5"/>
  </r>
  <r>
    <d v="2021-07-08T13:27:13"/>
    <s v="21-2558"/>
    <s v="P020"/>
    <x v="1"/>
    <n v="180"/>
    <n v="45"/>
    <n v="1440"/>
    <n v="360"/>
    <n v="1080"/>
    <x v="217"/>
    <s v="Education"/>
    <n v="11.862005526237752"/>
    <s v="Dissatisfied"/>
    <n v="1"/>
  </r>
  <r>
    <d v="2020-07-21T00:17:24"/>
    <s v="20-2655"/>
    <s v="P098"/>
    <x v="15"/>
    <n v="201"/>
    <n v="67"/>
    <n v="3417"/>
    <n v="1139"/>
    <n v="2278"/>
    <x v="290"/>
    <s v="Community &amp; Government"/>
    <n v="15.239568994601312"/>
    <s v="Satisfied"/>
    <n v="10"/>
  </r>
  <r>
    <d v="2018-10-29T22:03:20"/>
    <s v="18-3144"/>
    <s v="P082"/>
    <x v="17"/>
    <n v="312"/>
    <n v="78"/>
    <n v="312"/>
    <n v="78"/>
    <n v="234"/>
    <x v="125"/>
    <s v="Sports &amp; Recreation"/>
    <n v="12.682358648534777"/>
    <s v="Neither"/>
    <n v="5"/>
  </r>
  <r>
    <d v="2017-10-26T16:12:29"/>
    <s v="17-4864"/>
    <s v="P086"/>
    <x v="1"/>
    <n v="352"/>
    <n v="88"/>
    <n v="2816"/>
    <n v="704"/>
    <n v="2112"/>
    <x v="124"/>
    <s v="Sports &amp; Recreation"/>
    <n v="13.115597690631557"/>
    <s v="Dissatisfied"/>
    <n v="1"/>
  </r>
  <r>
    <d v="2020-08-20T07:16:19"/>
    <s v="20-4169"/>
    <s v="P046"/>
    <x v="10"/>
    <n v="38"/>
    <n v="19"/>
    <n v="190"/>
    <n v="95"/>
    <n v="95"/>
    <x v="120"/>
    <s v="Education"/>
    <n v="9.4239783062860578"/>
    <s v="Dissatisfied"/>
    <n v="1"/>
  </r>
  <r>
    <d v="2020-07-14T12:00:13"/>
    <s v="20-3436"/>
    <s v="P022"/>
    <x v="2"/>
    <n v="153"/>
    <n v="51"/>
    <n v="1989"/>
    <n v="663"/>
    <n v="1326"/>
    <x v="51"/>
    <s v="Facilities &amp; Services"/>
    <n v="10.523527521613014"/>
    <s v="Dissatisfied"/>
    <n v="1"/>
  </r>
  <r>
    <d v="2018-07-12T12:15:22"/>
    <s v="18-1423"/>
    <s v="P015"/>
    <x v="0"/>
    <n v="176"/>
    <n v="88"/>
    <n v="2640"/>
    <n v="1320"/>
    <n v="1320"/>
    <x v="77"/>
    <s v="Facilities &amp; Services"/>
    <n v="12.514998090845811"/>
    <s v="Neither"/>
    <n v="5"/>
  </r>
  <r>
    <d v="2020-08-10T08:19:14"/>
    <s v="20-1614"/>
    <s v="P089"/>
    <x v="6"/>
    <n v="102"/>
    <n v="51"/>
    <n v="612"/>
    <n v="306"/>
    <n v="306"/>
    <x v="201"/>
    <s v="Community &amp; Government"/>
    <n v="8.1628930629234038"/>
    <s v="Neither"/>
    <n v="5"/>
  </r>
  <r>
    <d v="2020-02-29T02:05:17"/>
    <s v="20-2915"/>
    <s v="P029"/>
    <x v="13"/>
    <n v="300"/>
    <n v="75"/>
    <n v="3000"/>
    <n v="750"/>
    <n v="2250"/>
    <x v="221"/>
    <s v="Community &amp; Government"/>
    <n v="13.611804647345796"/>
    <s v="Neither"/>
    <n v="5"/>
  </r>
  <r>
    <d v="2021-03-23T20:05:46"/>
    <s v="21-4823"/>
    <s v="P058"/>
    <x v="19"/>
    <n v="356"/>
    <n v="89"/>
    <n v="6764"/>
    <n v="1691"/>
    <n v="5073"/>
    <x v="201"/>
    <s v="Community &amp; Government"/>
    <n v="8.1628930629234038"/>
    <s v="Satisfied"/>
    <n v="10"/>
  </r>
  <r>
    <d v="2023-03-30T17:08:20"/>
    <s v="23-3007"/>
    <s v="P040"/>
    <x v="19"/>
    <n v="160"/>
    <n v="80"/>
    <n v="3040"/>
    <n v="1520"/>
    <n v="1520"/>
    <x v="277"/>
    <s v="Sports &amp; Recreation"/>
    <n v="10.01033276255276"/>
    <s v="Neither"/>
    <n v="5"/>
  </r>
  <r>
    <d v="2017-10-19T00:33:16"/>
    <s v="17-3100"/>
    <s v="P059"/>
    <x v="11"/>
    <n v="267"/>
    <n v="89"/>
    <n v="4272"/>
    <n v="1424"/>
    <n v="2848"/>
    <x v="93"/>
    <s v="Facilities &amp; Services"/>
    <n v="10.966283117837653"/>
    <s v="Neither"/>
    <n v="5"/>
  </r>
  <r>
    <d v="2019-05-22T03:10:15"/>
    <s v="19-4601"/>
    <s v="P062"/>
    <x v="8"/>
    <n v="348"/>
    <n v="87"/>
    <n v="4872"/>
    <n v="1218"/>
    <n v="3654"/>
    <x v="165"/>
    <s v="Creative &amp; Technology"/>
    <n v="13.929237493388955"/>
    <s v="Neither"/>
    <n v="5"/>
  </r>
  <r>
    <d v="2021-08-17T22:32:04"/>
    <s v="21-3693"/>
    <s v="P092"/>
    <x v="0"/>
    <n v="124"/>
    <n v="62"/>
    <n v="1860"/>
    <n v="930"/>
    <n v="930"/>
    <x v="110"/>
    <s v="Sports &amp; Recreation"/>
    <n v="14.690198582365463"/>
    <s v="Dissatisfied"/>
    <n v="1"/>
  </r>
  <r>
    <d v="2020-01-27T19:53:24"/>
    <s v="20-4315"/>
    <s v="P092"/>
    <x v="10"/>
    <n v="124"/>
    <n v="62"/>
    <n v="620"/>
    <n v="310"/>
    <n v="310"/>
    <x v="178"/>
    <s v="Education"/>
    <n v="14.760829371220243"/>
    <s v="Neither"/>
    <n v="5"/>
  </r>
  <r>
    <d v="2019-08-03T20:31:46"/>
    <s v="19-4609"/>
    <s v="P013"/>
    <x v="4"/>
    <n v="58"/>
    <n v="29"/>
    <n v="116"/>
    <n v="58"/>
    <n v="58"/>
    <x v="23"/>
    <s v="Healthcare &amp; Safety"/>
    <n v="13.407340878370247"/>
    <s v="Neither"/>
    <n v="5"/>
  </r>
  <r>
    <d v="2019-07-15T20:18:49"/>
    <s v="19-1943"/>
    <s v="P021"/>
    <x v="18"/>
    <n v="207"/>
    <n v="69"/>
    <n v="3726"/>
    <n v="1242"/>
    <n v="2484"/>
    <x v="125"/>
    <s v="Sports &amp; Recreation"/>
    <n v="12.682358648534777"/>
    <s v="Dissatisfied"/>
    <n v="1"/>
  </r>
  <r>
    <d v="2019-03-12T09:34:18"/>
    <s v="19-3174"/>
    <s v="P071"/>
    <x v="19"/>
    <n v="210"/>
    <n v="70"/>
    <n v="3990"/>
    <n v="1330"/>
    <n v="2660"/>
    <x v="51"/>
    <s v="Facilities &amp; Services"/>
    <n v="10.523527521613014"/>
    <s v="Dissatisfied"/>
    <n v="1"/>
  </r>
  <r>
    <d v="2018-05-21T14:42:32"/>
    <s v="18-2681"/>
    <s v="P062"/>
    <x v="11"/>
    <n v="348"/>
    <n v="87"/>
    <n v="5568"/>
    <n v="1392"/>
    <n v="4176"/>
    <x v="34"/>
    <s v="Sports &amp; Recreation"/>
    <n v="11.406233913305266"/>
    <s v="Dissatisfied"/>
    <n v="1"/>
  </r>
  <r>
    <d v="2018-10-12T04:56:32"/>
    <s v="18-2610"/>
    <s v="P034"/>
    <x v="6"/>
    <n v="114"/>
    <n v="57"/>
    <n v="684"/>
    <n v="342"/>
    <n v="342"/>
    <x v="287"/>
    <s v="Community &amp; Government"/>
    <n v="14.412865837260112"/>
    <s v="Dissatisfied"/>
    <n v="1"/>
  </r>
  <r>
    <d v="2020-06-10T04:15:03"/>
    <s v="20-1893"/>
    <s v="P072"/>
    <x v="1"/>
    <n v="132"/>
    <n v="44"/>
    <n v="1056"/>
    <n v="352"/>
    <n v="704"/>
    <x v="67"/>
    <s v="Community &amp; Government"/>
    <n v="11.346510807401776"/>
    <s v="Neither"/>
    <n v="5"/>
  </r>
  <r>
    <d v="2019-09-26T16:32:29"/>
    <s v="19-1646"/>
    <s v="P012"/>
    <x v="5"/>
    <n v="30"/>
    <n v="15"/>
    <n v="90"/>
    <n v="45"/>
    <n v="45"/>
    <x v="34"/>
    <s v="Sports &amp; Recreation"/>
    <n v="11.406233913305266"/>
    <s v="Neither"/>
    <n v="5"/>
  </r>
  <r>
    <d v="2020-11-04T00:02:12"/>
    <s v="20-1947"/>
    <s v="P001"/>
    <x v="6"/>
    <n v="108"/>
    <n v="36"/>
    <n v="648"/>
    <n v="216"/>
    <n v="432"/>
    <x v="165"/>
    <s v="Creative &amp; Technology"/>
    <n v="13.929237493388955"/>
    <s v="Neither"/>
    <n v="5"/>
  </r>
  <r>
    <d v="2017-11-29T18:59:34"/>
    <s v="17-1916"/>
    <s v="P067"/>
    <x v="2"/>
    <n v="144"/>
    <n v="36"/>
    <n v="1872"/>
    <n v="468"/>
    <n v="1404"/>
    <x v="230"/>
    <s v="Community &amp; Government"/>
    <n v="12.155895475340943"/>
    <s v="Neither"/>
    <n v="5"/>
  </r>
  <r>
    <d v="2020-04-16T09:49:49"/>
    <s v="20-4430"/>
    <s v="P047"/>
    <x v="2"/>
    <n v="72"/>
    <n v="36"/>
    <n v="936"/>
    <n v="468"/>
    <n v="468"/>
    <x v="127"/>
    <s v="Facilities &amp; Services"/>
    <n v="11.644564584314265"/>
    <s v="Neither"/>
    <n v="5"/>
  </r>
  <r>
    <d v="2017-01-25T19:05:30"/>
    <s v="17-2227"/>
    <s v="P078"/>
    <x v="6"/>
    <n v="225"/>
    <n v="75"/>
    <n v="1350"/>
    <n v="450"/>
    <n v="900"/>
    <x v="27"/>
    <s v="Healthcare &amp; Safety"/>
    <n v="10.42743035829395"/>
    <s v="Satisfied"/>
    <n v="10"/>
  </r>
  <r>
    <d v="2022-05-02T14:01:12"/>
    <s v="22-1690"/>
    <s v="P046"/>
    <x v="13"/>
    <n v="38"/>
    <n v="19"/>
    <n v="380"/>
    <n v="190"/>
    <n v="190"/>
    <x v="241"/>
    <s v="Community &amp; Government"/>
    <n v="15.856807810268592"/>
    <s v="Neither"/>
    <n v="5"/>
  </r>
  <r>
    <d v="2019-09-24T16:48:31"/>
    <s v="19-1863"/>
    <s v="P050"/>
    <x v="18"/>
    <n v="108"/>
    <n v="36"/>
    <n v="1944"/>
    <n v="648"/>
    <n v="1296"/>
    <x v="118"/>
    <s v="Community &amp; Government"/>
    <n v="15.60430546146185"/>
    <s v="Dissatisfied"/>
    <n v="1"/>
  </r>
  <r>
    <d v="2020-12-14T15:35:15"/>
    <s v="20-1339"/>
    <s v="P086"/>
    <x v="12"/>
    <n v="352"/>
    <n v="88"/>
    <n v="2464"/>
    <n v="616"/>
    <n v="1848"/>
    <x v="262"/>
    <s v="Healthcare &amp; Safety"/>
    <n v="13.00553764131261"/>
    <s v="Neither"/>
    <n v="5"/>
  </r>
  <r>
    <d v="2020-12-29T20:42:30"/>
    <s v="20-4491"/>
    <s v="P045"/>
    <x v="13"/>
    <n v="100"/>
    <n v="25"/>
    <n v="1000"/>
    <n v="250"/>
    <n v="750"/>
    <x v="151"/>
    <s v="Sports &amp; Recreation"/>
    <n v="9.458617986208397"/>
    <s v="Neither"/>
    <n v="5"/>
  </r>
  <r>
    <d v="2020-09-26T09:22:13"/>
    <s v="20-3025"/>
    <s v="P032"/>
    <x v="14"/>
    <n v="92"/>
    <n v="46"/>
    <n v="1104"/>
    <n v="552"/>
    <n v="552"/>
    <x v="79"/>
    <s v="Facilities &amp; Services"/>
    <n v="12.661538237835474"/>
    <s v="Dissatisfied"/>
    <n v="1"/>
  </r>
  <r>
    <d v="2020-01-31T04:53:23"/>
    <s v="20-2633"/>
    <s v="P037"/>
    <x v="11"/>
    <n v="160"/>
    <n v="80"/>
    <n v="2560"/>
    <n v="1280"/>
    <n v="1280"/>
    <x v="209"/>
    <s v="Facilities &amp; Services"/>
    <n v="10.956589836772277"/>
    <s v="Neither"/>
    <n v="5"/>
  </r>
  <r>
    <d v="2017-09-16T06:49:58"/>
    <s v="17-1533"/>
    <s v="P087"/>
    <x v="15"/>
    <n v="176"/>
    <n v="88"/>
    <n v="2992"/>
    <n v="1496"/>
    <n v="1496"/>
    <x v="59"/>
    <s v="Creative &amp; Technology"/>
    <n v="10.980884286450312"/>
    <s v="Neither"/>
    <n v="5"/>
  </r>
  <r>
    <d v="2021-01-26T18:35:00"/>
    <s v="21-4846"/>
    <s v="P022"/>
    <x v="1"/>
    <n v="153"/>
    <n v="51"/>
    <n v="1224"/>
    <n v="408"/>
    <n v="816"/>
    <x v="109"/>
    <s v="Sports &amp; Recreation"/>
    <n v="13.092530646074781"/>
    <s v="Neither"/>
    <n v="5"/>
  </r>
  <r>
    <d v="2022-12-31T12:01:54"/>
    <s v="22-2617"/>
    <s v="P091"/>
    <x v="14"/>
    <n v="204"/>
    <n v="51"/>
    <n v="2448"/>
    <n v="612"/>
    <n v="1836"/>
    <x v="219"/>
    <s v="Facilities &amp; Services"/>
    <n v="11.289144410898391"/>
    <s v="Neither"/>
    <n v="5"/>
  </r>
  <r>
    <d v="2019-01-03T12:05:47"/>
    <s v="19-1002"/>
    <s v="P070"/>
    <x v="12"/>
    <n v="84"/>
    <n v="21"/>
    <n v="588"/>
    <n v="147"/>
    <n v="441"/>
    <x v="82"/>
    <s v="Creative &amp; Technology"/>
    <n v="11.883396013219548"/>
    <s v="Dissatisfied"/>
    <n v="1"/>
  </r>
  <r>
    <d v="2020-11-06T12:46:17"/>
    <s v="20-2063"/>
    <s v="P056"/>
    <x v="17"/>
    <n v="72"/>
    <n v="36"/>
    <n v="72"/>
    <n v="36"/>
    <n v="36"/>
    <x v="227"/>
    <s v="Creative &amp; Technology"/>
    <n v="14.308257477047373"/>
    <s v="Neither"/>
    <n v="5"/>
  </r>
  <r>
    <d v="2019-01-25T03:40:58"/>
    <s v="19-2924"/>
    <s v="P010"/>
    <x v="9"/>
    <n v="144"/>
    <n v="36"/>
    <n v="2880"/>
    <n v="720"/>
    <n v="2160"/>
    <x v="224"/>
    <s v="Creative &amp; Technology"/>
    <n v="11.943192562152261"/>
    <s v="Neither"/>
    <n v="5"/>
  </r>
  <r>
    <d v="2018-05-04T08:19:53"/>
    <s v="18-1023"/>
    <s v="P080"/>
    <x v="19"/>
    <n v="57"/>
    <n v="19"/>
    <n v="1083"/>
    <n v="361"/>
    <n v="722"/>
    <x v="4"/>
    <s v="Education"/>
    <n v="15.24190997853951"/>
    <s v="Neither"/>
    <n v="5"/>
  </r>
  <r>
    <d v="2020-11-05T19:16:25"/>
    <s v="20-2284"/>
    <s v="P027"/>
    <x v="5"/>
    <n v="140"/>
    <n v="70"/>
    <n v="420"/>
    <n v="210"/>
    <n v="210"/>
    <x v="157"/>
    <s v="Corporate &amp; Professional"/>
    <n v="13.917704159139552"/>
    <s v="Dissatisfied"/>
    <n v="1"/>
  </r>
  <r>
    <d v="2019-10-22T13:44:25"/>
    <s v="19-2701"/>
    <s v="P100"/>
    <x v="5"/>
    <n v="46"/>
    <n v="23"/>
    <n v="138"/>
    <n v="69"/>
    <n v="69"/>
    <x v="69"/>
    <s v="Healthcare &amp; Safety"/>
    <n v="9.3014286057233697"/>
    <s v="Neither"/>
    <n v="5"/>
  </r>
  <r>
    <d v="2021-11-23T06:26:41"/>
    <s v="21-1207"/>
    <s v="P025"/>
    <x v="12"/>
    <n v="210"/>
    <n v="70"/>
    <n v="1470"/>
    <n v="490"/>
    <n v="980"/>
    <x v="251"/>
    <s v="Creative &amp; Technology"/>
    <n v="9.1591412531773226"/>
    <s v="Neither"/>
    <n v="5"/>
  </r>
  <r>
    <d v="2020-07-09T22:38:59"/>
    <s v="20-3634"/>
    <s v="P092"/>
    <x v="16"/>
    <n v="124"/>
    <n v="62"/>
    <n v="1116"/>
    <n v="558"/>
    <n v="558"/>
    <x v="173"/>
    <s v="Education"/>
    <n v="12.147202500273634"/>
    <s v="Dissatisfied"/>
    <n v="1"/>
  </r>
  <r>
    <d v="2020-12-29T04:25:13"/>
    <s v="20-2955"/>
    <s v="P099"/>
    <x v="10"/>
    <n v="132"/>
    <n v="33"/>
    <n v="660"/>
    <n v="165"/>
    <n v="495"/>
    <x v="86"/>
    <s v="Community &amp; Government"/>
    <n v="12.758430621858414"/>
    <s v="Satisfied"/>
    <n v="10"/>
  </r>
  <r>
    <d v="2020-04-25T11:24:42"/>
    <s v="20-1858"/>
    <s v="P013"/>
    <x v="11"/>
    <n v="58"/>
    <n v="29"/>
    <n v="928"/>
    <n v="464"/>
    <n v="464"/>
    <x v="248"/>
    <s v="Creative &amp; Technology"/>
    <n v="11.130819205617987"/>
    <s v="Neither"/>
    <n v="5"/>
  </r>
  <r>
    <d v="2019-11-21T12:04:28"/>
    <s v="19-4920"/>
    <s v="P052"/>
    <x v="18"/>
    <n v="352"/>
    <n v="88"/>
    <n v="6336"/>
    <n v="1584"/>
    <n v="4752"/>
    <x v="47"/>
    <s v="Healthcare &amp; Safety"/>
    <n v="11.727497850343074"/>
    <s v="Satisfied"/>
    <n v="10"/>
  </r>
  <r>
    <d v="2019-11-21T12:04:28"/>
    <s v="19-1752"/>
    <s v="P061"/>
    <x v="17"/>
    <n v="264"/>
    <n v="88"/>
    <n v="264"/>
    <n v="88"/>
    <n v="176"/>
    <x v="269"/>
    <s v="Corporate &amp; Professional"/>
    <n v="10.585251392347548"/>
    <s v="Satisfied"/>
    <n v="10"/>
  </r>
  <r>
    <d v="2019-11-22T00:00:00"/>
    <s v="19-3227"/>
    <s v="P046"/>
    <x v="10"/>
    <n v="38"/>
    <n v="19"/>
    <n v="190"/>
    <n v="95"/>
    <n v="95"/>
    <x v="85"/>
    <s v="Creative &amp; Technology"/>
    <n v="10.570474361325047"/>
    <s v="Dissatisfied"/>
    <n v="1"/>
  </r>
  <r>
    <d v="2019-11-23T00:00:00"/>
    <s v="19-2912"/>
    <s v="P100"/>
    <x v="14"/>
    <n v="46"/>
    <n v="23"/>
    <n v="552"/>
    <n v="276"/>
    <n v="276"/>
    <x v="62"/>
    <s v="Education"/>
    <n v="12.396052160428608"/>
    <s v="Satisfied"/>
    <n v="10"/>
  </r>
  <r>
    <d v="2019-11-24T00:00:00"/>
    <s v="19-2885"/>
    <s v="P033"/>
    <x v="18"/>
    <n v="57"/>
    <n v="19"/>
    <n v="1026"/>
    <n v="342"/>
    <n v="684"/>
    <x v="139"/>
    <s v="Creative &amp; Technology"/>
    <n v="15.770846827234339"/>
    <s v="Neither"/>
    <n v="5"/>
  </r>
  <r>
    <d v="2019-11-25T00:00:00"/>
    <s v="19-2983"/>
    <s v="P064"/>
    <x v="6"/>
    <n v="231"/>
    <n v="77"/>
    <n v="1386"/>
    <n v="462"/>
    <n v="924"/>
    <x v="267"/>
    <s v="Healthcare &amp; Safety"/>
    <n v="10.28240320324797"/>
    <s v="Satisfied"/>
    <n v="10"/>
  </r>
  <r>
    <d v="2019-11-26T00:00:00"/>
    <s v="19-2972"/>
    <s v="P060"/>
    <x v="8"/>
    <n v="300"/>
    <n v="75"/>
    <n v="4200"/>
    <n v="1050"/>
    <n v="3150"/>
    <x v="209"/>
    <s v="Facilities &amp; Services"/>
    <n v="10.956589836772277"/>
    <s v="Neither"/>
    <n v="5"/>
  </r>
  <r>
    <d v="2019-11-27T00:00:00"/>
    <s v="19-2927"/>
    <s v="P005"/>
    <x v="3"/>
    <n v="76"/>
    <n v="19"/>
    <n v="304"/>
    <n v="76"/>
    <n v="228"/>
    <x v="245"/>
    <s v="Sports &amp; Recreation"/>
    <n v="11.816651848338852"/>
    <s v="Neither"/>
    <n v="5"/>
  </r>
  <r>
    <d v="2019-11-28T00:00:00"/>
    <s v="19-2676"/>
    <s v="P007"/>
    <x v="7"/>
    <n v="225"/>
    <n v="75"/>
    <n v="2475"/>
    <n v="825"/>
    <n v="1650"/>
    <x v="125"/>
    <s v="Sports &amp; Recreation"/>
    <n v="12.682358648534777"/>
    <s v="Neither"/>
    <n v="5"/>
  </r>
  <r>
    <d v="2019-11-29T00:00:00"/>
    <s v="19-2473"/>
    <s v="P048"/>
    <x v="3"/>
    <n v="252"/>
    <n v="63"/>
    <n v="1008"/>
    <n v="252"/>
    <n v="756"/>
    <x v="70"/>
    <s v="Community &amp; Government"/>
    <n v="14.593670394271927"/>
    <s v="Satisfied"/>
    <n v="10"/>
  </r>
  <r>
    <d v="2019-11-30T00:00:00"/>
    <s v="19-2851"/>
    <s v="P008"/>
    <x v="4"/>
    <n v="225"/>
    <n v="75"/>
    <n v="450"/>
    <n v="150"/>
    <n v="300"/>
    <x v="64"/>
    <s v="Corporate &amp; Professional"/>
    <n v="11.083482342133532"/>
    <s v="Neither"/>
    <n v="5"/>
  </r>
  <r>
    <d v="2019-12-01T00:00:00"/>
    <s v="19-3856"/>
    <s v="P043"/>
    <x v="13"/>
    <n v="184"/>
    <n v="92"/>
    <n v="1840"/>
    <n v="920"/>
    <n v="920"/>
    <x v="159"/>
    <s v="Community &amp; Government"/>
    <n v="13.57003172959007"/>
    <s v="Neither"/>
    <n v="5"/>
  </r>
  <r>
    <d v="2019-12-02T00:00:00"/>
    <s v="19-1641"/>
    <s v="P003"/>
    <x v="10"/>
    <n v="189"/>
    <n v="63"/>
    <n v="945"/>
    <n v="315"/>
    <n v="630"/>
    <x v="186"/>
    <s v="Education"/>
    <n v="8.3272837771733244"/>
    <s v="Neither"/>
    <n v="5"/>
  </r>
  <r>
    <d v="2019-12-03T00:00:00"/>
    <s v="19-4021"/>
    <s v="P059"/>
    <x v="10"/>
    <n v="267"/>
    <n v="89"/>
    <n v="1335"/>
    <n v="445"/>
    <n v="890"/>
    <x v="260"/>
    <s v="Creative &amp; Technology"/>
    <n v="10.588336269016523"/>
    <s v="Dissatisfied"/>
    <n v="1"/>
  </r>
  <r>
    <d v="2019-12-04T00:00:00"/>
    <s v="19-2157"/>
    <s v="P006"/>
    <x v="7"/>
    <n v="38"/>
    <n v="19"/>
    <n v="418"/>
    <n v="209"/>
    <n v="209"/>
    <x v="239"/>
    <s v="Facilities &amp; Services"/>
    <n v="12.37474961859551"/>
    <s v="Neither"/>
    <n v="5"/>
  </r>
  <r>
    <d v="2019-12-05T00:00:00"/>
    <s v="19-2706"/>
    <s v="P061"/>
    <x v="1"/>
    <n v="264"/>
    <n v="88"/>
    <n v="2112"/>
    <n v="704"/>
    <n v="1408"/>
    <x v="110"/>
    <s v="Sports &amp; Recreation"/>
    <n v="14.690198582365463"/>
    <s v="Dissatisfied"/>
    <n v="1"/>
  </r>
  <r>
    <d v="2019-12-06T00:00:00"/>
    <s v="19-2857"/>
    <s v="P004"/>
    <x v="19"/>
    <n v="189"/>
    <n v="63"/>
    <n v="3591"/>
    <n v="1197"/>
    <n v="2394"/>
    <x v="155"/>
    <s v="Creative &amp; Technology"/>
    <n v="8.0758315802191021"/>
    <s v="Dissatisfied"/>
    <n v="1"/>
  </r>
  <r>
    <d v="2019-12-07T00:00:00"/>
    <s v="19-2459"/>
    <s v="P087"/>
    <x v="12"/>
    <n v="176"/>
    <n v="88"/>
    <n v="1232"/>
    <n v="616"/>
    <n v="616"/>
    <x v="88"/>
    <s v="Facilities &amp; Services"/>
    <n v="14.906846445071711"/>
    <s v="Dissatisfied"/>
    <n v="1"/>
  </r>
  <r>
    <d v="2019-12-08T00:00:00"/>
    <s v="19-2197"/>
    <s v="P071"/>
    <x v="15"/>
    <n v="210"/>
    <n v="70"/>
    <n v="3570"/>
    <n v="1190"/>
    <n v="2380"/>
    <x v="265"/>
    <s v="Corporate &amp; Professional"/>
    <n v="12.55774399806273"/>
    <s v="Neither"/>
    <n v="5"/>
  </r>
  <r>
    <d v="2019-12-09T00:00:00"/>
    <s v="19-3337"/>
    <s v="P091"/>
    <x v="5"/>
    <n v="204"/>
    <n v="51"/>
    <n v="612"/>
    <n v="153"/>
    <n v="459"/>
    <x v="61"/>
    <s v="Education"/>
    <n v="13.697485557052493"/>
    <s v="Dissatisfied"/>
    <n v="1"/>
  </r>
  <r>
    <d v="2019-12-10T00:00:00"/>
    <s v="19-3328"/>
    <s v="P053"/>
    <x v="1"/>
    <n v="50"/>
    <n v="25"/>
    <n v="400"/>
    <n v="200"/>
    <n v="200"/>
    <x v="120"/>
    <s v="Education"/>
    <n v="9.4239783062860578"/>
    <s v="Dissatisfied"/>
    <n v="1"/>
  </r>
  <r>
    <d v="2019-12-11T00:00:00"/>
    <s v="19-3598"/>
    <s v="P097"/>
    <x v="8"/>
    <n v="92"/>
    <n v="46"/>
    <n v="1288"/>
    <n v="644"/>
    <n v="644"/>
    <x v="141"/>
    <s v="Facilities &amp; Services"/>
    <n v="13.104576594826185"/>
    <s v="Satisfied"/>
    <n v="10"/>
  </r>
  <r>
    <d v="2019-12-12T00:00:00"/>
    <s v="19-2380"/>
    <s v="P067"/>
    <x v="1"/>
    <n v="144"/>
    <n v="36"/>
    <n v="1152"/>
    <n v="288"/>
    <n v="864"/>
    <x v="95"/>
    <s v="Facilities &amp; Services"/>
    <n v="7.7337149713827413"/>
    <s v="Satisfied"/>
    <n v="10"/>
  </r>
  <r>
    <d v="2019-12-13T00:00:00"/>
    <s v="19-3848"/>
    <s v="P071"/>
    <x v="13"/>
    <n v="210"/>
    <n v="70"/>
    <n v="2100"/>
    <n v="700"/>
    <n v="1400"/>
    <x v="179"/>
    <s v="Creative &amp; Technology"/>
    <n v="12.207242573430314"/>
    <s v="Neither"/>
    <n v="5"/>
  </r>
  <r>
    <d v="2019-12-14T00:00:00"/>
    <s v="19-4852"/>
    <s v="P087"/>
    <x v="7"/>
    <n v="176"/>
    <n v="88"/>
    <n v="1936"/>
    <n v="968"/>
    <n v="968"/>
    <x v="278"/>
    <s v="Facilities &amp; Services"/>
    <n v="12.427459362224146"/>
    <s v="Dissatisfied"/>
    <n v="1"/>
  </r>
  <r>
    <d v="2019-12-15T00:00:00"/>
    <s v="19-4490"/>
    <s v="P073"/>
    <x v="5"/>
    <n v="48"/>
    <n v="24"/>
    <n v="144"/>
    <n v="72"/>
    <n v="72"/>
    <x v="109"/>
    <s v="Sports &amp; Recreation"/>
    <n v="13.092530646074781"/>
    <s v="Neither"/>
    <n v="5"/>
  </r>
  <r>
    <d v="2019-12-16T00:00:00"/>
    <s v="19-1909"/>
    <s v="P047"/>
    <x v="8"/>
    <n v="72"/>
    <n v="36"/>
    <n v="1008"/>
    <n v="504"/>
    <n v="504"/>
    <x v="248"/>
    <s v="Creative &amp; Technology"/>
    <n v="11.130819205617987"/>
    <s v="Neither"/>
    <n v="5"/>
  </r>
  <r>
    <d v="2019-12-17T00:00:00"/>
    <s v="19-4099"/>
    <s v="P014"/>
    <x v="2"/>
    <n v="166"/>
    <n v="83"/>
    <n v="2158"/>
    <n v="1079"/>
    <n v="1079"/>
    <x v="22"/>
    <s v="Sports &amp; Recreation"/>
    <n v="9.7467096260695598"/>
    <s v="Neither"/>
    <n v="5"/>
  </r>
  <r>
    <d v="2019-12-18T00:00:00"/>
    <s v="19-2954"/>
    <s v="P043"/>
    <x v="0"/>
    <n v="184"/>
    <n v="92"/>
    <n v="2760"/>
    <n v="1380"/>
    <n v="1380"/>
    <x v="264"/>
    <s v="Education"/>
    <n v="10.818241047231139"/>
    <s v="Neither"/>
    <n v="5"/>
  </r>
  <r>
    <d v="2019-12-19T00:00:00"/>
    <s v="19-3891"/>
    <s v="P052"/>
    <x v="18"/>
    <n v="352"/>
    <n v="88"/>
    <n v="6336"/>
    <n v="1584"/>
    <n v="4752"/>
    <x v="36"/>
    <s v="Creative &amp; Technology"/>
    <n v="8.1085102757869372"/>
    <s v="Neither"/>
    <n v="5"/>
  </r>
  <r>
    <d v="2019-12-20T00:00:00"/>
    <s v="19-3548"/>
    <s v="P078"/>
    <x v="9"/>
    <n v="225"/>
    <n v="75"/>
    <n v="4500"/>
    <n v="1500"/>
    <n v="3000"/>
    <x v="2"/>
    <s v="Facilities &amp; Services"/>
    <n v="9.3226775515721787"/>
    <s v="Dissatisfied"/>
    <n v="1"/>
  </r>
  <r>
    <d v="2019-12-21T00:00:00"/>
    <s v="19-1127"/>
    <s v="P056"/>
    <x v="7"/>
    <n v="72"/>
    <n v="36"/>
    <n v="792"/>
    <n v="396"/>
    <n v="396"/>
    <x v="283"/>
    <s v="Creative &amp; Technology"/>
    <n v="11.0700865530371"/>
    <s v="Satisfied"/>
    <n v="10"/>
  </r>
  <r>
    <d v="2019-12-22T00:00:00"/>
    <s v="19-3717"/>
    <s v="P060"/>
    <x v="18"/>
    <n v="300"/>
    <n v="75"/>
    <n v="5400"/>
    <n v="1350"/>
    <n v="4050"/>
    <x v="29"/>
    <s v="Facilities &amp; Services"/>
    <n v="15.487214309603928"/>
    <s v="Neither"/>
    <n v="5"/>
  </r>
  <r>
    <d v="2019-12-23T00:00:00"/>
    <s v="19-3650"/>
    <s v="P072"/>
    <x v="1"/>
    <n v="132"/>
    <n v="44"/>
    <n v="1056"/>
    <n v="352"/>
    <n v="704"/>
    <x v="65"/>
    <s v="Healthcare &amp; Safety"/>
    <n v="14.377134310720955"/>
    <s v="Neither"/>
    <n v="5"/>
  </r>
  <r>
    <d v="2019-12-24T00:00:00"/>
    <s v="19-1391"/>
    <s v="P011"/>
    <x v="11"/>
    <n v="264"/>
    <n v="88"/>
    <n v="4224"/>
    <n v="1408"/>
    <n v="2816"/>
    <x v="79"/>
    <s v="Facilities &amp; Services"/>
    <n v="12.661538237835474"/>
    <s v="Neither"/>
    <n v="5"/>
  </r>
  <r>
    <d v="2019-12-25T00:00:00"/>
    <s v="19-4246"/>
    <s v="P069"/>
    <x v="13"/>
    <n v="150"/>
    <n v="75"/>
    <n v="1500"/>
    <n v="750"/>
    <n v="750"/>
    <x v="3"/>
    <s v="Facilities &amp; Services"/>
    <n v="10.06992029407844"/>
    <s v="Neither"/>
    <n v="5"/>
  </r>
  <r>
    <d v="2019-12-26T00:00:00"/>
    <s v="19-1152"/>
    <s v="P057"/>
    <x v="16"/>
    <n v="252"/>
    <n v="63"/>
    <n v="2268"/>
    <n v="567"/>
    <n v="1701"/>
    <x v="253"/>
    <s v="Facilities &amp; Services"/>
    <n v="11.961761925704458"/>
    <s v="Neither"/>
    <n v="5"/>
  </r>
  <r>
    <d v="2019-12-27T00:00:00"/>
    <s v="19-1575"/>
    <s v="P003"/>
    <x v="7"/>
    <n v="189"/>
    <n v="63"/>
    <n v="2079"/>
    <n v="693"/>
    <n v="1386"/>
    <x v="68"/>
    <s v="Sports &amp; Recreation"/>
    <n v="12.200533931675887"/>
    <s v="Neither"/>
    <n v="5"/>
  </r>
  <r>
    <d v="2019-12-28T00:00:00"/>
    <s v="19-2244"/>
    <s v="P032"/>
    <x v="3"/>
    <n v="92"/>
    <n v="46"/>
    <n v="368"/>
    <n v="184"/>
    <n v="184"/>
    <x v="139"/>
    <s v="Creative &amp; Technology"/>
    <n v="15.770846827234339"/>
    <s v="Neither"/>
    <n v="5"/>
  </r>
  <r>
    <d v="2019-12-29T00:00:00"/>
    <s v="19-2338"/>
    <s v="P019"/>
    <x v="5"/>
    <n v="308"/>
    <n v="77"/>
    <n v="924"/>
    <n v="231"/>
    <n v="693"/>
    <x v="40"/>
    <s v="Corporate &amp; Professional"/>
    <n v="14.370283356317486"/>
    <s v="Satisfied"/>
    <n v="10"/>
  </r>
  <r>
    <d v="2019-12-30T00:00:00"/>
    <s v="19-1088"/>
    <s v="P085"/>
    <x v="1"/>
    <n v="320"/>
    <n v="80"/>
    <n v="2560"/>
    <n v="640"/>
    <n v="1920"/>
    <x v="90"/>
    <s v="Healthcare &amp; Safety"/>
    <n v="7.0114620475168028"/>
    <s v="Satisfied"/>
    <n v="10"/>
  </r>
  <r>
    <d v="2019-12-31T00:00:00"/>
    <s v="19-1661"/>
    <s v="P072"/>
    <x v="2"/>
    <n v="132"/>
    <n v="44"/>
    <n v="1716"/>
    <n v="572"/>
    <n v="1144"/>
    <x v="178"/>
    <s v="Education"/>
    <n v="14.760829371220243"/>
    <s v="Neither"/>
    <n v="5"/>
  </r>
  <r>
    <d v="2020-01-01T00:00:00"/>
    <s v="20-4464"/>
    <s v="P038"/>
    <x v="4"/>
    <n v="240"/>
    <n v="80"/>
    <n v="480"/>
    <n v="160"/>
    <n v="320"/>
    <x v="203"/>
    <s v="Creative &amp; Technology"/>
    <n v="13.486912834801583"/>
    <s v="Satisfied"/>
    <n v="10"/>
  </r>
  <r>
    <d v="2020-01-02T00:00:00"/>
    <s v="20-4311"/>
    <s v="P023"/>
    <x v="5"/>
    <n v="126"/>
    <n v="42"/>
    <n v="378"/>
    <n v="126"/>
    <n v="252"/>
    <x v="250"/>
    <s v="Community &amp; Government"/>
    <n v="9.2053706474810433"/>
    <s v="Neither"/>
    <n v="5"/>
  </r>
  <r>
    <d v="2020-01-03T00:00:00"/>
    <s v="20-1958"/>
    <s v="P022"/>
    <x v="11"/>
    <n v="153"/>
    <n v="51"/>
    <n v="2448"/>
    <n v="816"/>
    <n v="1632"/>
    <x v="246"/>
    <s v="Facilities &amp; Services"/>
    <n v="13.853438793083487"/>
    <s v="Satisfied"/>
    <n v="10"/>
  </r>
  <r>
    <d v="2020-01-04T00:00:00"/>
    <s v="20-1120"/>
    <s v="P096"/>
    <x v="6"/>
    <n v="144"/>
    <n v="48"/>
    <n v="864"/>
    <n v="288"/>
    <n v="576"/>
    <x v="98"/>
    <s v="Creative &amp; Technology"/>
    <n v="15.18789248529443"/>
    <s v="Neither"/>
    <n v="5"/>
  </r>
  <r>
    <d v="2020-01-05T00:00:00"/>
    <s v="20-3316"/>
    <s v="P050"/>
    <x v="16"/>
    <n v="108"/>
    <n v="36"/>
    <n v="972"/>
    <n v="324"/>
    <n v="648"/>
    <x v="16"/>
    <s v="Sports &amp; Recreation"/>
    <n v="12.865074657680612"/>
    <s v="Neither"/>
    <n v="5"/>
  </r>
  <r>
    <d v="2020-01-06T00:00:00"/>
    <s v="20-1410"/>
    <s v="P039"/>
    <x v="6"/>
    <n v="270"/>
    <n v="90"/>
    <n v="1620"/>
    <n v="540"/>
    <n v="1080"/>
    <x v="115"/>
    <s v="Sports &amp; Recreation"/>
    <n v="11.416048240262977"/>
    <s v="Neither"/>
    <n v="5"/>
  </r>
  <r>
    <d v="2020-01-07T00:00:00"/>
    <s v="20-3375"/>
    <s v="P086"/>
    <x v="0"/>
    <n v="352"/>
    <n v="88"/>
    <n v="5280"/>
    <n v="1320"/>
    <n v="3960"/>
    <x v="141"/>
    <s v="Facilities &amp; Services"/>
    <n v="13.104576594826185"/>
    <s v="Neither"/>
    <n v="5"/>
  </r>
  <r>
    <d v="2020-01-08T00:00:00"/>
    <s v="20-2179"/>
    <s v="P054"/>
    <x v="11"/>
    <n v="144"/>
    <n v="48"/>
    <n v="2304"/>
    <n v="768"/>
    <n v="1536"/>
    <x v="206"/>
    <s v="Community &amp; Government"/>
    <n v="12.699042739101285"/>
    <s v="Neither"/>
    <n v="5"/>
  </r>
  <r>
    <d v="2020-01-09T00:00:00"/>
    <s v="20-3942"/>
    <s v="P076"/>
    <x v="12"/>
    <n v="94"/>
    <n v="47"/>
    <n v="658"/>
    <n v="329"/>
    <n v="329"/>
    <x v="217"/>
    <s v="Education"/>
    <n v="11.862005526237752"/>
    <s v="Neither"/>
    <n v="5"/>
  </r>
  <r>
    <d v="2020-01-10T00:00:00"/>
    <s v="20-4521"/>
    <s v="P031"/>
    <x v="6"/>
    <n v="146"/>
    <n v="73"/>
    <n v="876"/>
    <n v="438"/>
    <n v="438"/>
    <x v="120"/>
    <s v="Education"/>
    <n v="9.4239783062860578"/>
    <s v="Neither"/>
    <n v="5"/>
  </r>
  <r>
    <d v="2020-01-11T00:00:00"/>
    <s v="20-2755"/>
    <s v="P002"/>
    <x v="2"/>
    <n v="144"/>
    <n v="36"/>
    <n v="1872"/>
    <n v="468"/>
    <n v="1404"/>
    <x v="182"/>
    <s v="Sports &amp; Recreation"/>
    <n v="12.564315242820944"/>
    <s v="Dissatisfied"/>
    <n v="1"/>
  </r>
  <r>
    <d v="2020-01-12T00:00:00"/>
    <s v="20-4599"/>
    <s v="P033"/>
    <x v="4"/>
    <n v="57"/>
    <n v="19"/>
    <n v="114"/>
    <n v="38"/>
    <n v="76"/>
    <x v="204"/>
    <s v="Corporate &amp; Professional"/>
    <n v="10.248947386022252"/>
    <s v="Dissatisfied"/>
    <n v="1"/>
  </r>
  <r>
    <d v="2020-01-13T00:00:00"/>
    <s v="20-2741"/>
    <s v="P012"/>
    <x v="9"/>
    <n v="30"/>
    <n v="15"/>
    <n v="600"/>
    <n v="300"/>
    <n v="300"/>
    <x v="75"/>
    <s v="Healthcare &amp; Safety"/>
    <n v="13.918153610259502"/>
    <s v="Neither"/>
    <n v="5"/>
  </r>
  <r>
    <d v="2020-01-14T00:00:00"/>
    <s v="20-3184"/>
    <s v="P093"/>
    <x v="7"/>
    <n v="384"/>
    <n v="96"/>
    <n v="4224"/>
    <n v="1056"/>
    <n v="3168"/>
    <x v="110"/>
    <s v="Sports &amp; Recreation"/>
    <n v="14.690198582365463"/>
    <s v="Dissatisfied"/>
    <n v="1"/>
  </r>
  <r>
    <d v="2020-01-15T00:00:00"/>
    <s v="20-3612"/>
    <s v="P041"/>
    <x v="0"/>
    <n v="144"/>
    <n v="36"/>
    <n v="2160"/>
    <n v="540"/>
    <n v="1620"/>
    <x v="24"/>
    <s v="Sports &amp; Recreation"/>
    <n v="14.697745043716761"/>
    <s v="Dissatisfied"/>
    <n v="1"/>
  </r>
  <r>
    <d v="2020-01-16T00:00:00"/>
    <s v="20-4745"/>
    <s v="P064"/>
    <x v="15"/>
    <n v="231"/>
    <n v="77"/>
    <n v="3927"/>
    <n v="1309"/>
    <n v="2618"/>
    <x v="2"/>
    <s v="Facilities &amp; Services"/>
    <n v="9.3226775515721787"/>
    <s v="Neither"/>
    <n v="5"/>
  </r>
  <r>
    <d v="2020-01-17T00:00:00"/>
    <s v="20-3812"/>
    <s v="P009"/>
    <x v="10"/>
    <n v="255"/>
    <n v="85"/>
    <n v="1275"/>
    <n v="425"/>
    <n v="850"/>
    <x v="156"/>
    <s v="Healthcare &amp; Safety"/>
    <n v="12.801144805697081"/>
    <s v="Satisfied"/>
    <n v="10"/>
  </r>
  <r>
    <d v="2020-01-18T00:00:00"/>
    <s v="20-3263"/>
    <s v="P086"/>
    <x v="8"/>
    <n v="352"/>
    <n v="88"/>
    <n v="4928"/>
    <n v="1232"/>
    <n v="3696"/>
    <x v="174"/>
    <s v="Corporate &amp; Professional"/>
    <n v="12.921682080641304"/>
    <s v="Neither"/>
    <n v="5"/>
  </r>
  <r>
    <d v="2020-01-19T00:00:00"/>
    <s v="20-4481"/>
    <s v="P094"/>
    <x v="1"/>
    <n v="80"/>
    <n v="20"/>
    <n v="640"/>
    <n v="160"/>
    <n v="480"/>
    <x v="5"/>
    <s v="Healthcare &amp; Safety"/>
    <n v="12.169266722245851"/>
    <s v="Neither"/>
    <n v="5"/>
  </r>
  <r>
    <d v="2020-01-20T00:00:00"/>
    <s v="20-2088"/>
    <s v="P052"/>
    <x v="19"/>
    <n v="352"/>
    <n v="88"/>
    <n v="6688"/>
    <n v="1672"/>
    <n v="5016"/>
    <x v="60"/>
    <s v="Creative &amp; Technology"/>
    <n v="15.556812309269255"/>
    <s v="Dissatisfied"/>
    <n v="1"/>
  </r>
  <r>
    <d v="2020-01-21T00:00:00"/>
    <s v="20-1594"/>
    <s v="P063"/>
    <x v="17"/>
    <n v="261"/>
    <n v="87"/>
    <n v="261"/>
    <n v="87"/>
    <n v="174"/>
    <x v="78"/>
    <s v="Education"/>
    <n v="11.756374828790458"/>
    <s v="Satisfied"/>
    <n v="10"/>
  </r>
  <r>
    <d v="2020-01-22T00:00:00"/>
    <s v="20-3763"/>
    <s v="P048"/>
    <x v="7"/>
    <n v="252"/>
    <n v="63"/>
    <n v="2772"/>
    <n v="693"/>
    <n v="2079"/>
    <x v="149"/>
    <s v="Facilities &amp; Services"/>
    <n v="11.311040680082275"/>
    <s v="Satisfied"/>
    <n v="10"/>
  </r>
  <r>
    <d v="2020-01-23T00:00:00"/>
    <s v="20-2985"/>
    <s v="P051"/>
    <x v="4"/>
    <n v="135"/>
    <n v="45"/>
    <n v="270"/>
    <n v="90"/>
    <n v="180"/>
    <x v="49"/>
    <s v="Creative &amp; Technology"/>
    <n v="11.31221475547909"/>
    <s v="Satisfied"/>
    <n v="10"/>
  </r>
  <r>
    <d v="2020-01-24T00:00:00"/>
    <s v="20-2324"/>
    <s v="P015"/>
    <x v="17"/>
    <n v="176"/>
    <n v="88"/>
    <n v="176"/>
    <n v="88"/>
    <n v="88"/>
    <x v="165"/>
    <s v="Creative &amp; Technology"/>
    <n v="13.929237493388955"/>
    <s v="Neither"/>
    <n v="5"/>
  </r>
  <r>
    <d v="2020-01-25T00:00:00"/>
    <s v="20-4537"/>
    <s v="P042"/>
    <x v="1"/>
    <n v="50"/>
    <n v="25"/>
    <n v="400"/>
    <n v="200"/>
    <n v="200"/>
    <x v="150"/>
    <s v="Education"/>
    <n v="12.889576147248359"/>
    <s v="Satisfied"/>
    <n v="10"/>
  </r>
  <r>
    <d v="2020-01-26T00:00:00"/>
    <s v="20-2453"/>
    <s v="P071"/>
    <x v="9"/>
    <n v="210"/>
    <n v="70"/>
    <n v="4200"/>
    <n v="1400"/>
    <n v="2800"/>
    <x v="242"/>
    <s v="Corporate &amp; Professional"/>
    <n v="13.062292798511226"/>
    <s v="Neither"/>
    <n v="5"/>
  </r>
  <r>
    <d v="2020-01-27T00:00:00"/>
    <s v="20-2604"/>
    <s v="P090"/>
    <x v="8"/>
    <n v="57"/>
    <n v="19"/>
    <n v="798"/>
    <n v="266"/>
    <n v="532"/>
    <x v="283"/>
    <s v="Creative &amp; Technology"/>
    <n v="11.0700865530371"/>
    <s v="Neither"/>
    <n v="5"/>
  </r>
  <r>
    <d v="2020-01-28T00:00:00"/>
    <s v="20-3725"/>
    <s v="P051"/>
    <x v="1"/>
    <n v="135"/>
    <n v="45"/>
    <n v="1080"/>
    <n v="360"/>
    <n v="720"/>
    <x v="288"/>
    <s v="Sports &amp; Recreation"/>
    <n v="10.78374703625888"/>
    <s v="Dissatisfied"/>
    <n v="1"/>
  </r>
  <r>
    <d v="2020-01-29T00:00:00"/>
    <s v="20-3108"/>
    <s v="P051"/>
    <x v="10"/>
    <n v="135"/>
    <n v="45"/>
    <n v="675"/>
    <n v="225"/>
    <n v="450"/>
    <x v="224"/>
    <s v="Creative &amp; Technology"/>
    <n v="11.943192562152261"/>
    <s v="Neither"/>
    <n v="5"/>
  </r>
  <r>
    <d v="2020-01-30T00:00:00"/>
    <s v="20-2060"/>
    <s v="P072"/>
    <x v="4"/>
    <n v="132"/>
    <n v="44"/>
    <n v="264"/>
    <n v="88"/>
    <n v="176"/>
    <x v="55"/>
    <s v="Creative &amp; Technology"/>
    <n v="13.765798454641494"/>
    <s v="Satisfied"/>
    <n v="10"/>
  </r>
  <r>
    <d v="2020-01-31T00:00:00"/>
    <s v="20-3157"/>
    <s v="P069"/>
    <x v="14"/>
    <n v="150"/>
    <n v="75"/>
    <n v="1800"/>
    <n v="900"/>
    <n v="900"/>
    <x v="47"/>
    <s v="Healthcare &amp; Safety"/>
    <n v="11.727497850343074"/>
    <s v="Dissatisfied"/>
    <n v="1"/>
  </r>
  <r>
    <d v="2020-02-01T00:00:00"/>
    <s v="20-3861"/>
    <s v="P087"/>
    <x v="16"/>
    <n v="176"/>
    <n v="88"/>
    <n v="1584"/>
    <n v="792"/>
    <n v="792"/>
    <x v="70"/>
    <s v="Community &amp; Government"/>
    <n v="14.593670394271927"/>
    <s v="Neither"/>
    <n v="5"/>
  </r>
  <r>
    <d v="2020-02-02T00:00:00"/>
    <s v="20-4416"/>
    <s v="P055"/>
    <x v="2"/>
    <n v="360"/>
    <n v="90"/>
    <n v="4680"/>
    <n v="1170"/>
    <n v="3510"/>
    <x v="84"/>
    <s v="Corporate &amp; Professional"/>
    <n v="11.428575823958646"/>
    <s v="Neither"/>
    <n v="5"/>
  </r>
  <r>
    <d v="2020-02-03T00:00:00"/>
    <s v="20-2146"/>
    <s v="P010"/>
    <x v="1"/>
    <n v="144"/>
    <n v="36"/>
    <n v="1152"/>
    <n v="288"/>
    <n v="864"/>
    <x v="62"/>
    <s v="Education"/>
    <n v="12.396052160428608"/>
    <s v="Dissatisfied"/>
    <n v="1"/>
  </r>
  <r>
    <d v="2020-02-04T00:00:00"/>
    <s v="20-1341"/>
    <s v="P057"/>
    <x v="3"/>
    <n v="252"/>
    <n v="63"/>
    <n v="1008"/>
    <n v="252"/>
    <n v="756"/>
    <x v="218"/>
    <s v="Facilities &amp; Services"/>
    <n v="14.376986923104601"/>
    <s v="Dissatisfied"/>
    <n v="1"/>
  </r>
  <r>
    <d v="2020-02-05T00:00:00"/>
    <s v="20-4716"/>
    <s v="P014"/>
    <x v="15"/>
    <n v="166"/>
    <n v="83"/>
    <n v="2822"/>
    <n v="1411"/>
    <n v="1411"/>
    <x v="249"/>
    <s v="Corporate &amp; Professional"/>
    <n v="13.397308081757757"/>
    <s v="Satisfied"/>
    <n v="10"/>
  </r>
  <r>
    <d v="2020-02-06T00:00:00"/>
    <s v="20-3253"/>
    <s v="P002"/>
    <x v="5"/>
    <n v="144"/>
    <n v="36"/>
    <n v="432"/>
    <n v="108"/>
    <n v="324"/>
    <x v="168"/>
    <s v="Healthcare &amp; Safety"/>
    <n v="9.74650548941427"/>
    <s v="Neither"/>
    <n v="5"/>
  </r>
  <r>
    <d v="2020-02-07T00:00:00"/>
    <s v="20-4625"/>
    <s v="P054"/>
    <x v="11"/>
    <n v="144"/>
    <n v="48"/>
    <n v="2304"/>
    <n v="768"/>
    <n v="1536"/>
    <x v="198"/>
    <s v="Corporate &amp; Professional"/>
    <n v="6.9183250411917196"/>
    <s v="Neither"/>
    <n v="5"/>
  </r>
  <r>
    <d v="2020-02-08T00:00:00"/>
    <s v="20-2981"/>
    <s v="P072"/>
    <x v="3"/>
    <n v="132"/>
    <n v="44"/>
    <n v="528"/>
    <n v="176"/>
    <n v="352"/>
    <x v="200"/>
    <s v="Community &amp; Government"/>
    <n v="12.460490918487697"/>
    <s v="Neither"/>
    <n v="5"/>
  </r>
  <r>
    <d v="2020-02-09T00:00:00"/>
    <s v="20-1609"/>
    <s v="P032"/>
    <x v="3"/>
    <n v="92"/>
    <n v="46"/>
    <n v="368"/>
    <n v="184"/>
    <n v="184"/>
    <x v="217"/>
    <s v="Education"/>
    <n v="11.862005526237752"/>
    <s v="Dissatisfied"/>
    <n v="1"/>
  </r>
  <r>
    <d v="2020-02-10T00:00:00"/>
    <s v="20-4979"/>
    <s v="P100"/>
    <x v="7"/>
    <n v="46"/>
    <n v="23"/>
    <n v="506"/>
    <n v="253"/>
    <n v="253"/>
    <x v="47"/>
    <s v="Healthcare &amp; Safety"/>
    <n v="11.727497850343074"/>
    <s v="Dissatisfied"/>
    <n v="1"/>
  </r>
  <r>
    <d v="2020-02-11T00:00:00"/>
    <s v="20-2761"/>
    <s v="P023"/>
    <x v="18"/>
    <n v="126"/>
    <n v="42"/>
    <n v="2268"/>
    <n v="756"/>
    <n v="1512"/>
    <x v="58"/>
    <s v="Creative &amp; Technology"/>
    <n v="11.995406972581796"/>
    <s v="Dissatisfied"/>
    <n v="1"/>
  </r>
  <r>
    <d v="2020-02-12T00:00:00"/>
    <s v="20-4951"/>
    <s v="P060"/>
    <x v="19"/>
    <n v="300"/>
    <n v="75"/>
    <n v="5700"/>
    <n v="1425"/>
    <n v="4275"/>
    <x v="12"/>
    <s v="Creative &amp; Technology"/>
    <n v="9.8384363471888783"/>
    <s v="Neither"/>
    <n v="5"/>
  </r>
  <r>
    <d v="2020-02-13T00:00:00"/>
    <s v="20-3223"/>
    <s v="P046"/>
    <x v="18"/>
    <n v="38"/>
    <n v="19"/>
    <n v="684"/>
    <n v="342"/>
    <n v="342"/>
    <x v="161"/>
    <s v="Corporate &amp; Professional"/>
    <n v="11.003496633574638"/>
    <s v="Satisfied"/>
    <n v="10"/>
  </r>
  <r>
    <d v="2020-02-14T00:00:00"/>
    <s v="20-1211"/>
    <s v="P042"/>
    <x v="10"/>
    <n v="50"/>
    <n v="25"/>
    <n v="250"/>
    <n v="125"/>
    <n v="125"/>
    <x v="289"/>
    <s v="Community &amp; Government"/>
    <n v="11.238524301148807"/>
    <s v="Neither"/>
    <n v="5"/>
  </r>
  <r>
    <d v="2020-02-15T00:00:00"/>
    <s v="20-3661"/>
    <s v="P008"/>
    <x v="11"/>
    <n v="225"/>
    <n v="75"/>
    <n v="3600"/>
    <n v="1200"/>
    <n v="2400"/>
    <x v="63"/>
    <s v="Sports &amp; Recreation"/>
    <n v="14.030594525378042"/>
    <s v="Neither"/>
    <n v="5"/>
  </r>
  <r>
    <d v="2020-02-16T00:00:00"/>
    <s v="20-3147"/>
    <s v="P022"/>
    <x v="6"/>
    <n v="153"/>
    <n v="51"/>
    <n v="918"/>
    <n v="306"/>
    <n v="612"/>
    <x v="138"/>
    <s v="Healthcare &amp; Safety"/>
    <n v="12.85215703546821"/>
    <s v="Dissatisfied"/>
    <n v="1"/>
  </r>
  <r>
    <d v="2020-02-17T00:00:00"/>
    <s v="20-4007"/>
    <s v="P017"/>
    <x v="16"/>
    <n v="120"/>
    <n v="30"/>
    <n v="1080"/>
    <n v="270"/>
    <n v="810"/>
    <x v="158"/>
    <s v="Creative &amp; Technology"/>
    <n v="15.207985888346794"/>
    <s v="Neither"/>
    <n v="5"/>
  </r>
  <r>
    <d v="2020-02-18T00:00:00"/>
    <s v="20-3174"/>
    <s v="P004"/>
    <x v="19"/>
    <n v="189"/>
    <n v="63"/>
    <n v="3591"/>
    <n v="1197"/>
    <n v="2394"/>
    <x v="104"/>
    <s v="Facilities &amp; Services"/>
    <n v="11.769293993029555"/>
    <s v="Dissatisfied"/>
    <n v="1"/>
  </r>
  <r>
    <d v="2020-02-19T00:00:00"/>
    <s v="20-4454"/>
    <s v="P013"/>
    <x v="3"/>
    <n v="58"/>
    <n v="29"/>
    <n v="232"/>
    <n v="116"/>
    <n v="116"/>
    <x v="70"/>
    <s v="Community &amp; Government"/>
    <n v="14.593670394271927"/>
    <s v="Neither"/>
    <n v="5"/>
  </r>
  <r>
    <d v="2020-02-20T00:00:00"/>
    <s v="20-4982"/>
    <s v="P015"/>
    <x v="9"/>
    <n v="176"/>
    <n v="88"/>
    <n v="3520"/>
    <n v="1760"/>
    <n v="1760"/>
    <x v="52"/>
    <s v="Facilities &amp; Services"/>
    <n v="14.573178107544177"/>
    <s v="Satisfied"/>
    <n v="10"/>
  </r>
  <r>
    <d v="2020-02-21T00:00:00"/>
    <s v="20-3876"/>
    <s v="P067"/>
    <x v="11"/>
    <n v="144"/>
    <n v="36"/>
    <n v="2304"/>
    <n v="576"/>
    <n v="1728"/>
    <x v="8"/>
    <s v="Sports &amp; Recreation"/>
    <n v="10.988762477277161"/>
    <s v="Satisfied"/>
    <n v="10"/>
  </r>
  <r>
    <d v="2020-02-22T00:00:00"/>
    <s v="20-1599"/>
    <s v="P091"/>
    <x v="14"/>
    <n v="204"/>
    <n v="51"/>
    <n v="2448"/>
    <n v="612"/>
    <n v="1836"/>
    <x v="20"/>
    <s v="Education"/>
    <n v="15.12637675023732"/>
    <s v="Neither"/>
    <n v="5"/>
  </r>
  <r>
    <d v="2020-02-23T00:00:00"/>
    <s v="20-3725"/>
    <s v="P020"/>
    <x v="13"/>
    <n v="180"/>
    <n v="45"/>
    <n v="1800"/>
    <n v="450"/>
    <n v="1350"/>
    <x v="103"/>
    <s v="Education"/>
    <n v="14.687857652112591"/>
    <s v="Neither"/>
    <n v="5"/>
  </r>
  <r>
    <d v="2020-02-24T00:00:00"/>
    <s v="20-2400"/>
    <s v="P081"/>
    <x v="11"/>
    <n v="50"/>
    <n v="25"/>
    <n v="800"/>
    <n v="400"/>
    <n v="400"/>
    <x v="194"/>
    <s v="Community &amp; Government"/>
    <n v="9.879282537628514"/>
    <s v="Neither"/>
    <n v="5"/>
  </r>
  <r>
    <d v="2020-02-25T00:00:00"/>
    <s v="20-3425"/>
    <s v="P026"/>
    <x v="4"/>
    <n v="280"/>
    <n v="70"/>
    <n v="560"/>
    <n v="140"/>
    <n v="420"/>
    <x v="10"/>
    <s v="Education"/>
    <n v="12.957303170959879"/>
    <s v="Neither"/>
    <n v="5"/>
  </r>
  <r>
    <d v="2020-02-26T00:00:00"/>
    <s v="20-2744"/>
    <s v="P010"/>
    <x v="12"/>
    <n v="144"/>
    <n v="36"/>
    <n v="1008"/>
    <n v="252"/>
    <n v="756"/>
    <x v="112"/>
    <s v="Creative &amp; Technology"/>
    <n v="12.004541523616258"/>
    <s v="Dissatisfied"/>
    <n v="1"/>
  </r>
  <r>
    <d v="2020-02-27T00:00:00"/>
    <s v="20-2211"/>
    <s v="P068"/>
    <x v="8"/>
    <n v="300"/>
    <n v="75"/>
    <n v="4200"/>
    <n v="1050"/>
    <n v="3150"/>
    <x v="176"/>
    <s v="Corporate &amp; Professional"/>
    <n v="11.769937929618399"/>
    <s v="Neither"/>
    <n v="5"/>
  </r>
  <r>
    <d v="2020-02-28T00:00:00"/>
    <s v="20-1872"/>
    <s v="P054"/>
    <x v="19"/>
    <n v="144"/>
    <n v="48"/>
    <n v="2736"/>
    <n v="912"/>
    <n v="1824"/>
    <x v="109"/>
    <s v="Sports &amp; Recreation"/>
    <n v="13.092530646074781"/>
    <s v="Neither"/>
    <n v="5"/>
  </r>
  <r>
    <d v="2020-02-29T00:00:00"/>
    <s v="20-1858"/>
    <s v="P030"/>
    <x v="17"/>
    <n v="81"/>
    <n v="27"/>
    <n v="81"/>
    <n v="27"/>
    <n v="54"/>
    <x v="110"/>
    <s v="Sports &amp; Recreation"/>
    <n v="14.690198582365463"/>
    <s v="Neither"/>
    <n v="5"/>
  </r>
  <r>
    <d v="2020-03-01T00:00:00"/>
    <s v="20-3344"/>
    <s v="P087"/>
    <x v="2"/>
    <n v="176"/>
    <n v="88"/>
    <n v="2288"/>
    <n v="1144"/>
    <n v="1144"/>
    <x v="211"/>
    <s v="Healthcare &amp; Safety"/>
    <n v="13.106678263594747"/>
    <s v="Satisfied"/>
    <n v="10"/>
  </r>
  <r>
    <d v="2020-03-02T00:00:00"/>
    <s v="20-1969"/>
    <s v="P014"/>
    <x v="12"/>
    <n v="166"/>
    <n v="83"/>
    <n v="1162"/>
    <n v="581"/>
    <n v="581"/>
    <x v="74"/>
    <s v="Education"/>
    <n v="12.699346182652626"/>
    <s v="Satisfied"/>
    <n v="10"/>
  </r>
  <r>
    <d v="2020-03-03T00:00:00"/>
    <s v="20-2061"/>
    <s v="P059"/>
    <x v="7"/>
    <n v="267"/>
    <n v="89"/>
    <n v="2937"/>
    <n v="979"/>
    <n v="1958"/>
    <x v="241"/>
    <s v="Community &amp; Government"/>
    <n v="15.856807810268592"/>
    <s v="Satisfied"/>
    <n v="10"/>
  </r>
  <r>
    <d v="2020-03-04T00:00:00"/>
    <s v="20-4637"/>
    <s v="P017"/>
    <x v="16"/>
    <n v="120"/>
    <n v="30"/>
    <n v="1080"/>
    <n v="270"/>
    <n v="810"/>
    <x v="45"/>
    <s v="Sports &amp; Recreation"/>
    <n v="12.1334991293512"/>
    <s v="Satisfied"/>
    <n v="10"/>
  </r>
  <r>
    <d v="2020-03-05T00:00:00"/>
    <s v="20-2453"/>
    <s v="P007"/>
    <x v="14"/>
    <n v="225"/>
    <n v="75"/>
    <n v="2700"/>
    <n v="900"/>
    <n v="1800"/>
    <x v="53"/>
    <s v="Education"/>
    <n v="13.288482149665386"/>
    <s v="Neither"/>
    <n v="5"/>
  </r>
  <r>
    <d v="2020-03-06T00:00:00"/>
    <s v="20-1269"/>
    <s v="P046"/>
    <x v="15"/>
    <n v="38"/>
    <n v="19"/>
    <n v="646"/>
    <n v="323"/>
    <n v="323"/>
    <x v="152"/>
    <s v="Sports &amp; Recreation"/>
    <n v="11.249825090458803"/>
    <s v="Neither"/>
    <n v="5"/>
  </r>
  <r>
    <d v="2020-03-07T00:00:00"/>
    <s v="20-3156"/>
    <s v="P082"/>
    <x v="14"/>
    <n v="312"/>
    <n v="78"/>
    <n v="3744"/>
    <n v="936"/>
    <n v="2808"/>
    <x v="44"/>
    <s v="Corporate &amp; Professional"/>
    <n v="9.9311000381363836"/>
    <s v="Neither"/>
    <n v="5"/>
  </r>
  <r>
    <d v="2020-03-08T00:00:00"/>
    <s v="20-3458"/>
    <s v="P073"/>
    <x v="16"/>
    <n v="48"/>
    <n v="24"/>
    <n v="432"/>
    <n v="216"/>
    <n v="216"/>
    <x v="141"/>
    <s v="Facilities &amp; Services"/>
    <n v="13.104576594826185"/>
    <s v="Neither"/>
    <n v="5"/>
  </r>
  <r>
    <d v="2020-03-09T00:00:00"/>
    <s v="20-4441"/>
    <s v="P098"/>
    <x v="0"/>
    <n v="201"/>
    <n v="67"/>
    <n v="3015"/>
    <n v="1005"/>
    <n v="2010"/>
    <x v="138"/>
    <s v="Healthcare &amp; Safety"/>
    <n v="12.85215703546821"/>
    <s v="Dissatisfied"/>
    <n v="1"/>
  </r>
  <r>
    <d v="2020-03-10T00:00:00"/>
    <s v="20-4868"/>
    <s v="P096"/>
    <x v="1"/>
    <n v="144"/>
    <n v="48"/>
    <n v="1152"/>
    <n v="384"/>
    <n v="768"/>
    <x v="88"/>
    <s v="Facilities &amp; Services"/>
    <n v="14.906846445071711"/>
    <s v="Dissatisfied"/>
    <n v="1"/>
  </r>
  <r>
    <d v="2020-03-11T00:00:00"/>
    <s v="20-1559"/>
    <s v="P031"/>
    <x v="17"/>
    <n v="146"/>
    <n v="73"/>
    <n v="146"/>
    <n v="73"/>
    <n v="73"/>
    <x v="275"/>
    <s v="Healthcare &amp; Safety"/>
    <n v="10.428287009858728"/>
    <s v="Neither"/>
    <n v="5"/>
  </r>
  <r>
    <d v="2020-03-12T00:00:00"/>
    <s v="20-2552"/>
    <s v="P049"/>
    <x v="18"/>
    <n v="356"/>
    <n v="89"/>
    <n v="6408"/>
    <n v="1602"/>
    <n v="4806"/>
    <x v="107"/>
    <s v="Community &amp; Government"/>
    <n v="11.986565560885863"/>
    <s v="Satisfied"/>
    <n v="10"/>
  </r>
  <r>
    <d v="2020-03-13T00:00:00"/>
    <s v="20-4262"/>
    <s v="P009"/>
    <x v="18"/>
    <n v="255"/>
    <n v="85"/>
    <n v="4590"/>
    <n v="1530"/>
    <n v="3060"/>
    <x v="69"/>
    <s v="Healthcare &amp; Safety"/>
    <n v="9.3014286057233697"/>
    <s v="Satisfied"/>
    <n v="10"/>
  </r>
  <r>
    <d v="2020-03-14T00:00:00"/>
    <s v="20-2165"/>
    <s v="P013"/>
    <x v="3"/>
    <n v="58"/>
    <n v="29"/>
    <n v="232"/>
    <n v="116"/>
    <n v="116"/>
    <x v="25"/>
    <s v="Sports &amp; Recreation"/>
    <n v="11.128721898968678"/>
    <s v="Dissatisfied"/>
    <n v="1"/>
  </r>
  <r>
    <d v="2020-03-15T00:00:00"/>
    <s v="20-1836"/>
    <s v="P070"/>
    <x v="4"/>
    <n v="84"/>
    <n v="21"/>
    <n v="168"/>
    <n v="42"/>
    <n v="126"/>
    <x v="116"/>
    <s v="Education"/>
    <n v="12.299779975023837"/>
    <s v="Neither"/>
    <n v="5"/>
  </r>
  <r>
    <d v="2020-03-16T00:00:00"/>
    <s v="20-4024"/>
    <s v="P040"/>
    <x v="4"/>
    <n v="160"/>
    <n v="80"/>
    <n v="320"/>
    <n v="160"/>
    <n v="160"/>
    <x v="96"/>
    <s v="Healthcare &amp; Safety"/>
    <n v="11.221666113009938"/>
    <s v="Neither"/>
    <n v="5"/>
  </r>
  <r>
    <d v="2020-03-17T00:00:00"/>
    <s v="20-2138"/>
    <s v="P040"/>
    <x v="5"/>
    <n v="160"/>
    <n v="80"/>
    <n v="480"/>
    <n v="240"/>
    <n v="240"/>
    <x v="111"/>
    <s v="Sports &amp; Recreation"/>
    <n v="12.342715162719054"/>
    <s v="Dissatisfied"/>
    <n v="1"/>
  </r>
  <r>
    <d v="2020-03-18T00:00:00"/>
    <s v="20-1865"/>
    <s v="P040"/>
    <x v="19"/>
    <n v="160"/>
    <n v="80"/>
    <n v="3040"/>
    <n v="1520"/>
    <n v="1520"/>
    <x v="137"/>
    <s v="Facilities &amp; Services"/>
    <n v="15.861056998489449"/>
    <s v="Neither"/>
    <n v="5"/>
  </r>
  <r>
    <d v="2020-03-19T00:00:00"/>
    <s v="20-3637"/>
    <s v="P078"/>
    <x v="19"/>
    <n v="225"/>
    <n v="75"/>
    <n v="4275"/>
    <n v="1425"/>
    <n v="2850"/>
    <x v="240"/>
    <s v="Sports &amp; Recreation"/>
    <n v="12.701325659159139"/>
    <s v="Neither"/>
    <n v="5"/>
  </r>
  <r>
    <d v="2020-03-20T00:00:00"/>
    <s v="20-3200"/>
    <s v="P033"/>
    <x v="11"/>
    <n v="57"/>
    <n v="19"/>
    <n v="912"/>
    <n v="304"/>
    <n v="608"/>
    <x v="33"/>
    <s v="Healthcare &amp; Safety"/>
    <n v="7.1104128275166252"/>
    <s v="Neither"/>
    <n v="5"/>
  </r>
  <r>
    <d v="2020-03-21T00:00:00"/>
    <s v="20-3480"/>
    <s v="P017"/>
    <x v="14"/>
    <n v="120"/>
    <n v="30"/>
    <n v="1440"/>
    <n v="360"/>
    <n v="1080"/>
    <x v="81"/>
    <s v="Community &amp; Government"/>
    <n v="9.821882845934784"/>
    <s v="Satisfied"/>
    <n v="10"/>
  </r>
  <r>
    <d v="2020-03-22T00:00:00"/>
    <s v="20-1465"/>
    <s v="P034"/>
    <x v="2"/>
    <n v="114"/>
    <n v="57"/>
    <n v="1482"/>
    <n v="741"/>
    <n v="741"/>
    <x v="230"/>
    <s v="Community &amp; Government"/>
    <n v="12.155895475340943"/>
    <s v="Neither"/>
    <n v="5"/>
  </r>
  <r>
    <d v="2020-03-23T00:00:00"/>
    <s v="20-3372"/>
    <s v="P024"/>
    <x v="7"/>
    <n v="66"/>
    <n v="33"/>
    <n v="726"/>
    <n v="363"/>
    <n v="363"/>
    <x v="236"/>
    <s v="Creative &amp; Technology"/>
    <n v="13.827196127590291"/>
    <s v="Neither"/>
    <n v="5"/>
  </r>
  <r>
    <d v="2020-03-24T00:00:00"/>
    <s v="20-1680"/>
    <s v="P039"/>
    <x v="15"/>
    <n v="270"/>
    <n v="90"/>
    <n v="4590"/>
    <n v="1530"/>
    <n v="3060"/>
    <x v="197"/>
    <s v="Community &amp; Government"/>
    <n v="10.163794912095831"/>
    <s v="Neither"/>
    <n v="5"/>
  </r>
  <r>
    <d v="2020-03-25T00:00:00"/>
    <s v="20-3473"/>
    <s v="P064"/>
    <x v="1"/>
    <n v="231"/>
    <n v="77"/>
    <n v="1848"/>
    <n v="616"/>
    <n v="1232"/>
    <x v="151"/>
    <s v="Sports &amp; Recreation"/>
    <n v="9.458617986208397"/>
    <s v="Neither"/>
    <n v="5"/>
  </r>
  <r>
    <d v="2020-03-26T00:00:00"/>
    <s v="20-2682"/>
    <s v="P031"/>
    <x v="9"/>
    <n v="146"/>
    <n v="73"/>
    <n v="2920"/>
    <n v="1460"/>
    <n v="1460"/>
    <x v="259"/>
    <s v="Education"/>
    <n v="15.268550004010105"/>
    <s v="Satisfied"/>
    <n v="10"/>
  </r>
  <r>
    <d v="2020-03-27T00:00:00"/>
    <s v="20-3453"/>
    <s v="P003"/>
    <x v="4"/>
    <n v="189"/>
    <n v="63"/>
    <n v="378"/>
    <n v="126"/>
    <n v="252"/>
    <x v="165"/>
    <s v="Creative &amp; Technology"/>
    <n v="13.929237493388955"/>
    <s v="Neither"/>
    <n v="5"/>
  </r>
  <r>
    <d v="2020-03-28T00:00:00"/>
    <s v="20-3470"/>
    <s v="P075"/>
    <x v="4"/>
    <n v="160"/>
    <n v="80"/>
    <n v="320"/>
    <n v="160"/>
    <n v="160"/>
    <x v="217"/>
    <s v="Education"/>
    <n v="11.862005526237752"/>
    <s v="Satisfied"/>
    <n v="10"/>
  </r>
  <r>
    <d v="2020-03-29T00:00:00"/>
    <s v="20-2476"/>
    <s v="P015"/>
    <x v="17"/>
    <n v="176"/>
    <n v="88"/>
    <n v="176"/>
    <n v="88"/>
    <n v="88"/>
    <x v="173"/>
    <s v="Education"/>
    <n v="12.147202500273634"/>
    <s v="Neither"/>
    <n v="5"/>
  </r>
  <r>
    <d v="2020-03-30T00:00:00"/>
    <s v="20-3094"/>
    <s v="P098"/>
    <x v="18"/>
    <n v="201"/>
    <n v="67"/>
    <n v="3618"/>
    <n v="1206"/>
    <n v="2412"/>
    <x v="49"/>
    <s v="Creative &amp; Technology"/>
    <n v="11.31221475547909"/>
    <s v="Neither"/>
    <n v="5"/>
  </r>
  <r>
    <d v="2020-03-31T00:00:00"/>
    <s v="20-4085"/>
    <s v="P026"/>
    <x v="14"/>
    <n v="280"/>
    <n v="70"/>
    <n v="3360"/>
    <n v="840"/>
    <n v="2520"/>
    <x v="137"/>
    <s v="Facilities &amp; Services"/>
    <n v="15.861056998489449"/>
    <s v="Neither"/>
    <n v="5"/>
  </r>
  <r>
    <d v="2020-04-01T00:00:00"/>
    <s v="20-2423"/>
    <s v="P050"/>
    <x v="17"/>
    <n v="108"/>
    <n v="36"/>
    <n v="108"/>
    <n v="36"/>
    <n v="72"/>
    <x v="100"/>
    <s v="Sports &amp; Recreation"/>
    <n v="10.132922049221957"/>
    <s v="Neither"/>
    <n v="5"/>
  </r>
  <r>
    <d v="2020-04-02T00:00:00"/>
    <s v="20-1193"/>
    <s v="P041"/>
    <x v="4"/>
    <n v="144"/>
    <n v="36"/>
    <n v="288"/>
    <n v="72"/>
    <n v="216"/>
    <x v="146"/>
    <s v="Creative &amp; Technology"/>
    <n v="10.764293826791503"/>
    <s v="Neither"/>
    <n v="5"/>
  </r>
  <r>
    <d v="2020-04-03T00:00:00"/>
    <s v="20-2130"/>
    <s v="P006"/>
    <x v="3"/>
    <n v="38"/>
    <n v="19"/>
    <n v="152"/>
    <n v="76"/>
    <n v="76"/>
    <x v="127"/>
    <s v="Facilities &amp; Services"/>
    <n v="11.644564584314265"/>
    <s v="Neither"/>
    <n v="5"/>
  </r>
  <r>
    <d v="2020-04-04T00:00:00"/>
    <s v="20-3229"/>
    <s v="P088"/>
    <x v="16"/>
    <n v="192"/>
    <n v="96"/>
    <n v="1728"/>
    <n v="864"/>
    <n v="864"/>
    <x v="55"/>
    <s v="Creative &amp; Technology"/>
    <n v="13.765798454641494"/>
    <s v="Satisfied"/>
    <n v="10"/>
  </r>
  <r>
    <d v="2020-04-05T00:00:00"/>
    <s v="20-1447"/>
    <s v="P046"/>
    <x v="8"/>
    <n v="38"/>
    <n v="19"/>
    <n v="532"/>
    <n v="266"/>
    <n v="266"/>
    <x v="133"/>
    <s v="Corporate &amp; Professional"/>
    <n v="5.9872353338051019"/>
    <s v="Neither"/>
    <n v="5"/>
  </r>
  <r>
    <d v="2020-04-06T00:00:00"/>
    <s v="20-2612"/>
    <s v="P024"/>
    <x v="12"/>
    <n v="66"/>
    <n v="33"/>
    <n v="462"/>
    <n v="231"/>
    <n v="231"/>
    <x v="290"/>
    <s v="Community &amp; Government"/>
    <n v="15.239568994601312"/>
    <s v="Neither"/>
    <n v="5"/>
  </r>
  <r>
    <d v="2020-04-07T00:00:00"/>
    <s v="20-3807"/>
    <s v="P100"/>
    <x v="15"/>
    <n v="46"/>
    <n v="23"/>
    <n v="782"/>
    <n v="391"/>
    <n v="391"/>
    <x v="203"/>
    <s v="Creative &amp; Technology"/>
    <n v="13.486912834801583"/>
    <s v="Neither"/>
    <n v="5"/>
  </r>
  <r>
    <d v="2020-04-08T00:00:00"/>
    <s v="20-1123"/>
    <s v="P050"/>
    <x v="15"/>
    <n v="108"/>
    <n v="36"/>
    <n v="1836"/>
    <n v="612"/>
    <n v="1224"/>
    <x v="153"/>
    <s v="Corporate &amp; Professional"/>
    <n v="11.799431383856128"/>
    <s v="Dissatisfied"/>
    <n v="1"/>
  </r>
  <r>
    <d v="2020-04-09T00:00:00"/>
    <s v="20-3295"/>
    <s v="P011"/>
    <x v="3"/>
    <n v="264"/>
    <n v="88"/>
    <n v="1056"/>
    <n v="352"/>
    <n v="704"/>
    <x v="133"/>
    <s v="Corporate &amp; Professional"/>
    <n v="5.9872353338051019"/>
    <s v="Neither"/>
    <n v="5"/>
  </r>
  <r>
    <d v="2020-04-10T00:00:00"/>
    <s v="20-4293"/>
    <s v="P064"/>
    <x v="4"/>
    <n v="231"/>
    <n v="77"/>
    <n v="462"/>
    <n v="154"/>
    <n v="308"/>
    <x v="161"/>
    <s v="Corporate &amp; Professional"/>
    <n v="11.003496633574638"/>
    <s v="Satisfied"/>
    <n v="10"/>
  </r>
  <r>
    <d v="2020-04-11T00:00:00"/>
    <s v="20-2464"/>
    <s v="P096"/>
    <x v="10"/>
    <n v="144"/>
    <n v="48"/>
    <n v="720"/>
    <n v="240"/>
    <n v="480"/>
    <x v="33"/>
    <s v="Healthcare &amp; Safety"/>
    <n v="7.1104128275166252"/>
    <s v="Neither"/>
    <n v="5"/>
  </r>
  <r>
    <d v="2020-04-12T00:00:00"/>
    <s v="20-4739"/>
    <s v="P017"/>
    <x v="19"/>
    <n v="120"/>
    <n v="30"/>
    <n v="2280"/>
    <n v="570"/>
    <n v="1710"/>
    <x v="257"/>
    <s v="Creative &amp; Technology"/>
    <n v="9.9471686551317795"/>
    <s v="Dissatisfied"/>
    <n v="1"/>
  </r>
  <r>
    <d v="2020-04-13T00:00:00"/>
    <s v="20-4465"/>
    <s v="P032"/>
    <x v="16"/>
    <n v="92"/>
    <n v="46"/>
    <n v="828"/>
    <n v="414"/>
    <n v="414"/>
    <x v="160"/>
    <s v="Creative &amp; Technology"/>
    <n v="8.8514729234790472"/>
    <s v="Neither"/>
    <n v="5"/>
  </r>
  <r>
    <d v="2020-04-14T00:00:00"/>
    <s v="20-4367"/>
    <s v="P094"/>
    <x v="14"/>
    <n v="80"/>
    <n v="20"/>
    <n v="960"/>
    <n v="240"/>
    <n v="720"/>
    <x v="7"/>
    <s v="Healthcare &amp; Safety"/>
    <n v="11.048444680405545"/>
    <s v="Dissatisfied"/>
    <n v="1"/>
  </r>
  <r>
    <d v="2020-04-15T00:00:00"/>
    <s v="20-3862"/>
    <s v="P059"/>
    <x v="11"/>
    <n v="267"/>
    <n v="89"/>
    <n v="4272"/>
    <n v="1424"/>
    <n v="2848"/>
    <x v="239"/>
    <s v="Facilities &amp; Services"/>
    <n v="12.37474961859551"/>
    <s v="Satisfied"/>
    <n v="10"/>
  </r>
  <r>
    <d v="2020-04-16T00:00:00"/>
    <s v="20-4091"/>
    <s v="P054"/>
    <x v="19"/>
    <n v="144"/>
    <n v="48"/>
    <n v="2736"/>
    <n v="912"/>
    <n v="1824"/>
    <x v="126"/>
    <s v="Creative &amp; Technology"/>
    <n v="12.399050786131125"/>
    <s v="Satisfied"/>
    <n v="10"/>
  </r>
  <r>
    <d v="2020-04-17T00:00:00"/>
    <s v="20-2972"/>
    <s v="P080"/>
    <x v="4"/>
    <n v="57"/>
    <n v="19"/>
    <n v="114"/>
    <n v="38"/>
    <n v="76"/>
    <x v="112"/>
    <s v="Creative &amp; Technology"/>
    <n v="12.004541523616258"/>
    <s v="Neither"/>
    <n v="5"/>
  </r>
  <r>
    <d v="2020-04-18T00:00:00"/>
    <s v="20-2788"/>
    <s v="P041"/>
    <x v="9"/>
    <n v="144"/>
    <n v="36"/>
    <n v="2880"/>
    <n v="720"/>
    <n v="2160"/>
    <x v="212"/>
    <s v="Sports &amp; Recreation"/>
    <n v="11.443503623244197"/>
    <s v="Dissatisfied"/>
    <n v="1"/>
  </r>
  <r>
    <d v="2020-04-19T00:00:00"/>
    <s v="20-4468"/>
    <s v="P089"/>
    <x v="19"/>
    <n v="102"/>
    <n v="51"/>
    <n v="1938"/>
    <n v="969"/>
    <n v="969"/>
    <x v="166"/>
    <s v="Healthcare &amp; Safety"/>
    <n v="10.112765954734209"/>
    <s v="Dissatisfied"/>
    <n v="1"/>
  </r>
  <r>
    <d v="2020-04-20T00:00:00"/>
    <s v="20-3100"/>
    <s v="P001"/>
    <x v="1"/>
    <n v="108"/>
    <n v="36"/>
    <n v="864"/>
    <n v="288"/>
    <n v="576"/>
    <x v="110"/>
    <s v="Sports &amp; Recreation"/>
    <n v="14.690198582365463"/>
    <s v="Neither"/>
    <n v="5"/>
  </r>
  <r>
    <d v="2020-04-21T00:00:00"/>
    <s v="20-2294"/>
    <s v="P042"/>
    <x v="9"/>
    <n v="50"/>
    <n v="25"/>
    <n v="1000"/>
    <n v="500"/>
    <n v="500"/>
    <x v="214"/>
    <s v="Corporate &amp; Professional"/>
    <n v="12.985332015423809"/>
    <s v="Neither"/>
    <n v="5"/>
  </r>
  <r>
    <d v="2020-04-22T00:00:00"/>
    <s v="20-2486"/>
    <s v="P016"/>
    <x v="12"/>
    <n v="110"/>
    <n v="55"/>
    <n v="770"/>
    <n v="385"/>
    <n v="385"/>
    <x v="117"/>
    <s v="Corporate &amp; Professional"/>
    <n v="11.687634894637348"/>
    <s v="Neither"/>
    <n v="5"/>
  </r>
  <r>
    <d v="2020-04-23T00:00:00"/>
    <s v="20-3771"/>
    <s v="P008"/>
    <x v="11"/>
    <n v="225"/>
    <n v="75"/>
    <n v="3600"/>
    <n v="1200"/>
    <n v="2400"/>
    <x v="96"/>
    <s v="Healthcare &amp; Safety"/>
    <n v="11.221666113009938"/>
    <s v="Neither"/>
    <n v="5"/>
  </r>
  <r>
    <d v="2020-04-24T00:00:00"/>
    <s v="20-4029"/>
    <s v="P023"/>
    <x v="5"/>
    <n v="126"/>
    <n v="42"/>
    <n v="378"/>
    <n v="126"/>
    <n v="252"/>
    <x v="58"/>
    <s v="Creative &amp; Technology"/>
    <n v="11.995406972581796"/>
    <s v="Satisfied"/>
    <n v="10"/>
  </r>
  <r>
    <d v="2020-04-25T00:00:00"/>
    <s v="20-3827"/>
    <s v="P022"/>
    <x v="7"/>
    <n v="153"/>
    <n v="51"/>
    <n v="1683"/>
    <n v="561"/>
    <n v="1122"/>
    <x v="30"/>
    <s v="Corporate &amp; Professional"/>
    <n v="12.844063202784817"/>
    <s v="Satisfied"/>
    <n v="10"/>
  </r>
  <r>
    <d v="2020-04-26T00:00:00"/>
    <s v="20-4028"/>
    <s v="P035"/>
    <x v="11"/>
    <n v="144"/>
    <n v="48"/>
    <n v="2304"/>
    <n v="768"/>
    <n v="1536"/>
    <x v="6"/>
    <s v="Creative &amp; Technology"/>
    <n v="11.749993886708426"/>
    <s v="Neither"/>
    <n v="5"/>
  </r>
  <r>
    <d v="2020-04-27T00:00:00"/>
    <s v="20-1301"/>
    <s v="P022"/>
    <x v="7"/>
    <n v="153"/>
    <n v="51"/>
    <n v="1683"/>
    <n v="561"/>
    <n v="1122"/>
    <x v="159"/>
    <s v="Community &amp; Government"/>
    <n v="13.57003172959007"/>
    <s v="Neither"/>
    <n v="5"/>
  </r>
  <r>
    <d v="2020-04-28T00:00:00"/>
    <s v="20-2659"/>
    <s v="P089"/>
    <x v="3"/>
    <n v="102"/>
    <n v="51"/>
    <n v="408"/>
    <n v="204"/>
    <n v="204"/>
    <x v="9"/>
    <s v="Sports &amp; Recreation"/>
    <n v="15.602184182549776"/>
    <s v="Neither"/>
    <n v="5"/>
  </r>
  <r>
    <d v="2020-04-29T00:00:00"/>
    <s v="20-2612"/>
    <s v="P088"/>
    <x v="4"/>
    <n v="192"/>
    <n v="96"/>
    <n v="384"/>
    <n v="192"/>
    <n v="192"/>
    <x v="55"/>
    <s v="Creative &amp; Technology"/>
    <n v="13.765798454641494"/>
    <s v="Neither"/>
    <n v="5"/>
  </r>
  <r>
    <d v="2020-04-30T00:00:00"/>
    <s v="20-3785"/>
    <s v="P010"/>
    <x v="9"/>
    <n v="144"/>
    <n v="36"/>
    <n v="2880"/>
    <n v="720"/>
    <n v="2160"/>
    <x v="15"/>
    <s v="Community &amp; Government"/>
    <n v="11.631646244583138"/>
    <s v="Neither"/>
    <n v="5"/>
  </r>
  <r>
    <d v="2020-05-01T00:00:00"/>
    <s v="20-2715"/>
    <s v="P003"/>
    <x v="11"/>
    <n v="189"/>
    <n v="63"/>
    <n v="3024"/>
    <n v="1008"/>
    <n v="2016"/>
    <x v="236"/>
    <s v="Creative &amp; Technology"/>
    <n v="13.827196127590291"/>
    <s v="Neither"/>
    <n v="5"/>
  </r>
  <r>
    <d v="2020-05-02T00:00:00"/>
    <s v="20-1340"/>
    <s v="P043"/>
    <x v="8"/>
    <n v="184"/>
    <n v="92"/>
    <n v="2576"/>
    <n v="1288"/>
    <n v="1288"/>
    <x v="158"/>
    <s v="Creative &amp; Technology"/>
    <n v="15.207985888346794"/>
    <s v="Satisfied"/>
    <n v="10"/>
  </r>
  <r>
    <d v="2020-05-03T00:00:00"/>
    <s v="20-1053"/>
    <s v="P030"/>
    <x v="17"/>
    <n v="81"/>
    <n v="27"/>
    <n v="81"/>
    <n v="27"/>
    <n v="54"/>
    <x v="31"/>
    <s v="Corporate &amp; Professional"/>
    <n v="9.4200113153305907"/>
    <s v="Neither"/>
    <n v="5"/>
  </r>
  <r>
    <d v="2020-05-04T00:00:00"/>
    <s v="20-1071"/>
    <s v="P061"/>
    <x v="15"/>
    <n v="264"/>
    <n v="88"/>
    <n v="4488"/>
    <n v="1496"/>
    <n v="2992"/>
    <x v="147"/>
    <s v="Corporate &amp; Professional"/>
    <n v="9.629298039722805"/>
    <s v="Neither"/>
    <n v="5"/>
  </r>
  <r>
    <d v="2020-05-05T00:00:00"/>
    <s v="20-4211"/>
    <s v="P046"/>
    <x v="6"/>
    <n v="38"/>
    <n v="19"/>
    <n v="228"/>
    <n v="114"/>
    <n v="114"/>
    <x v="171"/>
    <s v="Education"/>
    <n v="11.808681852148307"/>
    <s v="Neither"/>
    <n v="5"/>
  </r>
  <r>
    <d v="2020-05-06T00:00:00"/>
    <s v="20-3989"/>
    <s v="P053"/>
    <x v="9"/>
    <n v="50"/>
    <n v="25"/>
    <n v="1000"/>
    <n v="500"/>
    <n v="500"/>
    <x v="40"/>
    <s v="Corporate &amp; Professional"/>
    <n v="14.370283356317486"/>
    <s v="Dissatisfied"/>
    <n v="1"/>
  </r>
  <r>
    <d v="2020-05-07T00:00:00"/>
    <s v="20-2836"/>
    <s v="P088"/>
    <x v="6"/>
    <n v="192"/>
    <n v="96"/>
    <n v="1152"/>
    <n v="576"/>
    <n v="576"/>
    <x v="124"/>
    <s v="Sports &amp; Recreation"/>
    <n v="13.115597690631557"/>
    <s v="Neither"/>
    <n v="5"/>
  </r>
  <r>
    <d v="2020-05-08T00:00:00"/>
    <s v="20-3431"/>
    <s v="P070"/>
    <x v="15"/>
    <n v="84"/>
    <n v="21"/>
    <n v="1428"/>
    <n v="357"/>
    <n v="1071"/>
    <x v="289"/>
    <s v="Community &amp; Government"/>
    <n v="11.238524301148807"/>
    <s v="Satisfied"/>
    <n v="10"/>
  </r>
  <r>
    <d v="2020-05-09T00:00:00"/>
    <s v="20-1379"/>
    <s v="P085"/>
    <x v="17"/>
    <n v="320"/>
    <n v="80"/>
    <n v="320"/>
    <n v="80"/>
    <n v="240"/>
    <x v="36"/>
    <s v="Creative &amp; Technology"/>
    <n v="8.1085102757869372"/>
    <s v="Neither"/>
    <n v="5"/>
  </r>
  <r>
    <d v="2020-05-10T00:00:00"/>
    <s v="20-3394"/>
    <s v="P098"/>
    <x v="12"/>
    <n v="201"/>
    <n v="67"/>
    <n v="1407"/>
    <n v="469"/>
    <n v="938"/>
    <x v="105"/>
    <s v="Corporate &amp; Professional"/>
    <n v="11.070908141213383"/>
    <s v="Dissatisfied"/>
    <n v="1"/>
  </r>
  <r>
    <d v="2020-05-11T00:00:00"/>
    <s v="20-1329"/>
    <s v="P031"/>
    <x v="13"/>
    <n v="146"/>
    <n v="73"/>
    <n v="1460"/>
    <n v="730"/>
    <n v="730"/>
    <x v="215"/>
    <s v="Facilities &amp; Services"/>
    <n v="14.817898176328208"/>
    <s v="Neither"/>
    <n v="5"/>
  </r>
  <r>
    <d v="2020-05-12T00:00:00"/>
    <s v="20-4463"/>
    <s v="P058"/>
    <x v="11"/>
    <n v="356"/>
    <n v="89"/>
    <n v="5696"/>
    <n v="1424"/>
    <n v="4272"/>
    <x v="217"/>
    <s v="Education"/>
    <n v="11.862005526237752"/>
    <s v="Satisfied"/>
    <n v="10"/>
  </r>
  <r>
    <d v="2020-05-13T00:00:00"/>
    <s v="20-3882"/>
    <s v="P054"/>
    <x v="7"/>
    <n v="144"/>
    <n v="48"/>
    <n v="1584"/>
    <n v="528"/>
    <n v="1056"/>
    <x v="80"/>
    <s v="Education"/>
    <n v="12.503632939408062"/>
    <s v="Neither"/>
    <n v="5"/>
  </r>
  <r>
    <d v="2020-05-14T00:00:00"/>
    <s v="20-4890"/>
    <s v="P013"/>
    <x v="17"/>
    <n v="58"/>
    <n v="29"/>
    <n v="58"/>
    <n v="29"/>
    <n v="29"/>
    <x v="56"/>
    <s v="Corporate &amp; Professional"/>
    <n v="12.007834550770397"/>
    <s v="Satisfied"/>
    <n v="10"/>
  </r>
  <r>
    <d v="2020-05-15T00:00:00"/>
    <s v="20-4588"/>
    <s v="P082"/>
    <x v="3"/>
    <n v="312"/>
    <n v="78"/>
    <n v="1248"/>
    <n v="312"/>
    <n v="936"/>
    <x v="206"/>
    <s v="Community &amp; Government"/>
    <n v="12.699042739101285"/>
    <s v="Neither"/>
    <n v="5"/>
  </r>
  <r>
    <d v="2020-05-16T00:00:00"/>
    <s v="20-2913"/>
    <s v="P069"/>
    <x v="10"/>
    <n v="150"/>
    <n v="75"/>
    <n v="750"/>
    <n v="375"/>
    <n v="375"/>
    <x v="224"/>
    <s v="Creative &amp; Technology"/>
    <n v="11.943192562152261"/>
    <s v="Neither"/>
    <n v="5"/>
  </r>
  <r>
    <d v="2020-05-17T00:00:00"/>
    <s v="20-1560"/>
    <s v="P011"/>
    <x v="5"/>
    <n v="264"/>
    <n v="88"/>
    <n v="792"/>
    <n v="264"/>
    <n v="528"/>
    <x v="152"/>
    <s v="Sports &amp; Recreation"/>
    <n v="11.249825090458803"/>
    <s v="Satisfied"/>
    <n v="10"/>
  </r>
  <r>
    <d v="2020-05-18T00:00:00"/>
    <s v="20-4997"/>
    <s v="P081"/>
    <x v="14"/>
    <n v="50"/>
    <n v="25"/>
    <n v="600"/>
    <n v="300"/>
    <n v="300"/>
    <x v="33"/>
    <s v="Healthcare &amp; Safety"/>
    <n v="7.1104128275166252"/>
    <s v="Neither"/>
    <n v="5"/>
  </r>
  <r>
    <d v="2020-05-19T00:00:00"/>
    <s v="20-4473"/>
    <s v="P063"/>
    <x v="3"/>
    <n v="261"/>
    <n v="87"/>
    <n v="1044"/>
    <n v="348"/>
    <n v="696"/>
    <x v="214"/>
    <s v="Corporate &amp; Professional"/>
    <n v="12.985332015423809"/>
    <s v="Neither"/>
    <n v="5"/>
  </r>
  <r>
    <d v="2020-05-20T00:00:00"/>
    <s v="20-3705"/>
    <s v="P068"/>
    <x v="4"/>
    <n v="300"/>
    <n v="75"/>
    <n v="600"/>
    <n v="150"/>
    <n v="450"/>
    <x v="257"/>
    <s v="Creative &amp; Technology"/>
    <n v="9.9471686551317795"/>
    <s v="Neither"/>
    <n v="5"/>
  </r>
  <r>
    <d v="2020-05-21T00:00:00"/>
    <s v="20-4901"/>
    <s v="P052"/>
    <x v="1"/>
    <n v="352"/>
    <n v="88"/>
    <n v="2816"/>
    <n v="704"/>
    <n v="2112"/>
    <x v="271"/>
    <s v="Sports &amp; Recreation"/>
    <n v="13.601235361661526"/>
    <s v="Satisfied"/>
    <n v="10"/>
  </r>
  <r>
    <d v="2020-05-22T00:00:00"/>
    <s v="20-2425"/>
    <s v="P007"/>
    <x v="8"/>
    <n v="225"/>
    <n v="75"/>
    <n v="3150"/>
    <n v="1050"/>
    <n v="2100"/>
    <x v="206"/>
    <s v="Community &amp; Government"/>
    <n v="12.699042739101285"/>
    <s v="Neither"/>
    <n v="5"/>
  </r>
  <r>
    <d v="2020-05-23T00:00:00"/>
    <s v="20-1373"/>
    <s v="P083"/>
    <x v="2"/>
    <n v="90"/>
    <n v="45"/>
    <n v="1170"/>
    <n v="585"/>
    <n v="585"/>
    <x v="289"/>
    <s v="Community &amp; Government"/>
    <n v="11.238524301148807"/>
    <s v="Neither"/>
    <n v="5"/>
  </r>
  <r>
    <d v="2020-05-24T00:00:00"/>
    <s v="20-4366"/>
    <s v="P038"/>
    <x v="6"/>
    <n v="240"/>
    <n v="80"/>
    <n v="1440"/>
    <n v="480"/>
    <n v="960"/>
    <x v="72"/>
    <s v="Community &amp; Government"/>
    <n v="15.458859683514467"/>
    <s v="Neither"/>
    <n v="5"/>
  </r>
  <r>
    <d v="2020-05-25T00:00:00"/>
    <s v="20-4666"/>
    <s v="P079"/>
    <x v="2"/>
    <n v="188"/>
    <n v="94"/>
    <n v="2444"/>
    <n v="1222"/>
    <n v="1222"/>
    <x v="269"/>
    <s v="Corporate &amp; Professional"/>
    <n v="10.585251392347548"/>
    <s v="Neither"/>
    <n v="5"/>
  </r>
  <r>
    <d v="2020-05-26T00:00:00"/>
    <s v="20-3601"/>
    <s v="P009"/>
    <x v="9"/>
    <n v="255"/>
    <n v="85"/>
    <n v="5100"/>
    <n v="1700"/>
    <n v="3400"/>
    <x v="166"/>
    <s v="Healthcare &amp; Safety"/>
    <n v="10.112765954734209"/>
    <s v="Neither"/>
    <n v="5"/>
  </r>
  <r>
    <d v="2020-05-27T00:00:00"/>
    <s v="20-4663"/>
    <s v="P071"/>
    <x v="11"/>
    <n v="210"/>
    <n v="70"/>
    <n v="3360"/>
    <n v="1120"/>
    <n v="2240"/>
    <x v="120"/>
    <s v="Education"/>
    <n v="9.4239783062860578"/>
    <s v="Dissatisfied"/>
    <n v="1"/>
  </r>
  <r>
    <d v="2020-05-28T00:00:00"/>
    <s v="20-2840"/>
    <s v="P089"/>
    <x v="4"/>
    <n v="102"/>
    <n v="51"/>
    <n v="204"/>
    <n v="102"/>
    <n v="102"/>
    <x v="42"/>
    <s v="Community &amp; Government"/>
    <n v="10.216282609482219"/>
    <s v="Satisfied"/>
    <n v="10"/>
  </r>
  <r>
    <d v="2020-05-29T00:00:00"/>
    <s v="20-1521"/>
    <s v="P060"/>
    <x v="0"/>
    <n v="300"/>
    <n v="75"/>
    <n v="4500"/>
    <n v="1125"/>
    <n v="3375"/>
    <x v="140"/>
    <s v="Education"/>
    <n v="13.332534707865639"/>
    <s v="Neither"/>
    <n v="5"/>
  </r>
  <r>
    <d v="2020-05-30T00:00:00"/>
    <s v="20-3667"/>
    <s v="P016"/>
    <x v="16"/>
    <n v="110"/>
    <n v="55"/>
    <n v="990"/>
    <n v="495"/>
    <n v="495"/>
    <x v="9"/>
    <s v="Sports &amp; Recreation"/>
    <n v="15.602184182549776"/>
    <s v="Neither"/>
    <n v="5"/>
  </r>
  <r>
    <d v="2020-05-31T00:00:00"/>
    <s v="20-1262"/>
    <s v="P056"/>
    <x v="7"/>
    <n v="72"/>
    <n v="36"/>
    <n v="792"/>
    <n v="396"/>
    <n v="396"/>
    <x v="185"/>
    <s v="Education"/>
    <n v="13.466362789017223"/>
    <s v="Satisfied"/>
    <n v="10"/>
  </r>
  <r>
    <d v="2020-06-01T00:00:00"/>
    <s v="20-4423"/>
    <s v="P033"/>
    <x v="7"/>
    <n v="57"/>
    <n v="19"/>
    <n v="627"/>
    <n v="209"/>
    <n v="418"/>
    <x v="87"/>
    <s v="Education"/>
    <n v="11.710935611749917"/>
    <s v="Neither"/>
    <n v="5"/>
  </r>
  <r>
    <d v="2020-06-02T00:00:00"/>
    <s v="20-3868"/>
    <s v="P079"/>
    <x v="0"/>
    <n v="188"/>
    <n v="94"/>
    <n v="2820"/>
    <n v="1410"/>
    <n v="1410"/>
    <x v="183"/>
    <s v="Creative &amp; Technology"/>
    <n v="7.8974070387684714"/>
    <s v="Neither"/>
    <n v="5"/>
  </r>
  <r>
    <d v="2020-06-03T00:00:00"/>
    <s v="20-4824"/>
    <s v="P072"/>
    <x v="0"/>
    <n v="132"/>
    <n v="44"/>
    <n v="1980"/>
    <n v="660"/>
    <n v="1320"/>
    <x v="176"/>
    <s v="Corporate &amp; Professional"/>
    <n v="11.769937929618399"/>
    <s v="Neither"/>
    <n v="5"/>
  </r>
  <r>
    <d v="2020-06-04T00:00:00"/>
    <s v="20-1628"/>
    <s v="P033"/>
    <x v="17"/>
    <n v="57"/>
    <n v="19"/>
    <n v="57"/>
    <n v="19"/>
    <n v="38"/>
    <x v="239"/>
    <s v="Facilities &amp; Services"/>
    <n v="12.37474961859551"/>
    <s v="Neither"/>
    <n v="5"/>
  </r>
  <r>
    <d v="2020-06-05T00:00:00"/>
    <s v="20-3407"/>
    <s v="P041"/>
    <x v="2"/>
    <n v="144"/>
    <n v="36"/>
    <n v="1872"/>
    <n v="468"/>
    <n v="1404"/>
    <x v="79"/>
    <s v="Facilities &amp; Services"/>
    <n v="12.661538237835474"/>
    <s v="Satisfied"/>
    <n v="10"/>
  </r>
  <r>
    <d v="2020-06-06T00:00:00"/>
    <s v="20-1791"/>
    <s v="P031"/>
    <x v="16"/>
    <n v="146"/>
    <n v="73"/>
    <n v="1314"/>
    <n v="657"/>
    <n v="657"/>
    <x v="179"/>
    <s v="Creative &amp; Technology"/>
    <n v="12.207242573430314"/>
    <s v="Satisfied"/>
    <n v="10"/>
  </r>
  <r>
    <d v="2020-06-07T00:00:00"/>
    <s v="20-3088"/>
    <s v="P009"/>
    <x v="15"/>
    <n v="255"/>
    <n v="85"/>
    <n v="4335"/>
    <n v="1445"/>
    <n v="2890"/>
    <x v="79"/>
    <s v="Facilities &amp; Services"/>
    <n v="12.661538237835474"/>
    <s v="Dissatisfied"/>
    <n v="1"/>
  </r>
  <r>
    <d v="2020-06-08T00:00:00"/>
    <s v="20-2515"/>
    <s v="P003"/>
    <x v="4"/>
    <n v="189"/>
    <n v="63"/>
    <n v="378"/>
    <n v="126"/>
    <n v="252"/>
    <x v="14"/>
    <s v="Creative &amp; Technology"/>
    <n v="13.45980057156361"/>
    <s v="Satisfied"/>
    <n v="10"/>
  </r>
  <r>
    <d v="2020-06-09T00:00:00"/>
    <s v="20-1381"/>
    <s v="P091"/>
    <x v="10"/>
    <n v="204"/>
    <n v="51"/>
    <n v="1020"/>
    <n v="255"/>
    <n v="765"/>
    <x v="182"/>
    <s v="Sports &amp; Recreation"/>
    <n v="12.564315242820944"/>
    <s v="Neither"/>
    <n v="5"/>
  </r>
  <r>
    <d v="2020-06-10T00:00:00"/>
    <s v="20-4816"/>
    <s v="P087"/>
    <x v="14"/>
    <n v="176"/>
    <n v="88"/>
    <n v="2112"/>
    <n v="1056"/>
    <n v="1056"/>
    <x v="82"/>
    <s v="Creative &amp; Technology"/>
    <n v="11.883396013219548"/>
    <s v="Neither"/>
    <n v="5"/>
  </r>
  <r>
    <d v="2020-06-11T00:00:00"/>
    <s v="20-2725"/>
    <s v="P094"/>
    <x v="12"/>
    <n v="80"/>
    <n v="20"/>
    <n v="560"/>
    <n v="140"/>
    <n v="420"/>
    <x v="243"/>
    <s v="Creative &amp; Technology"/>
    <n v="11.952554704438674"/>
    <s v="Neither"/>
    <n v="5"/>
  </r>
  <r>
    <d v="2020-06-12T00:00:00"/>
    <s v="20-1725"/>
    <s v="P043"/>
    <x v="6"/>
    <n v="184"/>
    <n v="92"/>
    <n v="1104"/>
    <n v="552"/>
    <n v="552"/>
    <x v="166"/>
    <s v="Healthcare &amp; Safety"/>
    <n v="10.112765954734209"/>
    <s v="Satisfied"/>
    <n v="10"/>
  </r>
  <r>
    <d v="2020-06-13T00:00:00"/>
    <s v="20-4120"/>
    <s v="P002"/>
    <x v="19"/>
    <n v="144"/>
    <n v="36"/>
    <n v="2736"/>
    <n v="684"/>
    <n v="2052"/>
    <x v="128"/>
    <s v="Healthcare &amp; Safety"/>
    <n v="10.96230865592911"/>
    <s v="Dissatisfied"/>
    <n v="1"/>
  </r>
  <r>
    <d v="2020-06-14T00:00:00"/>
    <s v="20-3301"/>
    <s v="P019"/>
    <x v="13"/>
    <n v="308"/>
    <n v="77"/>
    <n v="3080"/>
    <n v="770"/>
    <n v="2310"/>
    <x v="13"/>
    <s v="Sports &amp; Recreation"/>
    <n v="12.163730387337393"/>
    <s v="Satisfied"/>
    <n v="10"/>
  </r>
  <r>
    <d v="2020-06-15T00:00:00"/>
    <s v="20-3114"/>
    <s v="P045"/>
    <x v="19"/>
    <n v="100"/>
    <n v="25"/>
    <n v="1900"/>
    <n v="475"/>
    <n v="1425"/>
    <x v="214"/>
    <s v="Corporate &amp; Professional"/>
    <n v="12.985332015423809"/>
    <s v="Satisfied"/>
    <n v="10"/>
  </r>
  <r>
    <d v="2020-06-16T00:00:00"/>
    <s v="20-3944"/>
    <s v="P059"/>
    <x v="2"/>
    <n v="267"/>
    <n v="89"/>
    <n v="3471"/>
    <n v="1157"/>
    <n v="2314"/>
    <x v="219"/>
    <s v="Facilities &amp; Services"/>
    <n v="11.289144410898391"/>
    <s v="Neither"/>
    <n v="5"/>
  </r>
  <r>
    <d v="2020-06-17T00:00:00"/>
    <s v="20-2730"/>
    <s v="P084"/>
    <x v="6"/>
    <n v="154"/>
    <n v="77"/>
    <n v="924"/>
    <n v="462"/>
    <n v="462"/>
    <x v="60"/>
    <s v="Creative &amp; Technology"/>
    <n v="15.556812309269255"/>
    <s v="Neither"/>
    <n v="5"/>
  </r>
  <r>
    <d v="2020-06-18T00:00:00"/>
    <s v="20-4519"/>
    <s v="P035"/>
    <x v="10"/>
    <n v="144"/>
    <n v="48"/>
    <n v="720"/>
    <n v="240"/>
    <n v="480"/>
    <x v="83"/>
    <s v="Sports &amp; Recreation"/>
    <n v="11.504886852416154"/>
    <s v="Neither"/>
    <n v="5"/>
  </r>
  <r>
    <d v="2020-06-19T00:00:00"/>
    <s v="20-1240"/>
    <s v="P043"/>
    <x v="8"/>
    <n v="184"/>
    <n v="92"/>
    <n v="2576"/>
    <n v="1288"/>
    <n v="1288"/>
    <x v="241"/>
    <s v="Community &amp; Government"/>
    <n v="15.856807810268592"/>
    <s v="Dissatisfied"/>
    <n v="1"/>
  </r>
  <r>
    <d v="2020-06-20T00:00:00"/>
    <s v="20-3980"/>
    <s v="P098"/>
    <x v="5"/>
    <n v="201"/>
    <n v="67"/>
    <n v="603"/>
    <n v="201"/>
    <n v="402"/>
    <x v="232"/>
    <s v="Corporate &amp; Professional"/>
    <n v="11.816654396440285"/>
    <s v="Satisfied"/>
    <n v="10"/>
  </r>
  <r>
    <d v="2020-06-21T00:00:00"/>
    <s v="20-1169"/>
    <s v="P092"/>
    <x v="4"/>
    <n v="124"/>
    <n v="62"/>
    <n v="248"/>
    <n v="124"/>
    <n v="124"/>
    <x v="32"/>
    <s v="Facilities &amp; Services"/>
    <n v="11.410471033945758"/>
    <s v="Satisfied"/>
    <n v="10"/>
  </r>
  <r>
    <d v="2020-06-22T00:00:00"/>
    <s v="20-4729"/>
    <s v="P034"/>
    <x v="16"/>
    <n v="114"/>
    <n v="57"/>
    <n v="1026"/>
    <n v="513"/>
    <n v="513"/>
    <x v="150"/>
    <s v="Education"/>
    <n v="12.889576147248359"/>
    <s v="Neither"/>
    <n v="5"/>
  </r>
  <r>
    <d v="2020-06-23T00:00:00"/>
    <s v="20-2988"/>
    <s v="P064"/>
    <x v="6"/>
    <n v="231"/>
    <n v="77"/>
    <n v="1386"/>
    <n v="462"/>
    <n v="924"/>
    <x v="182"/>
    <s v="Sports &amp; Recreation"/>
    <n v="12.564315242820944"/>
    <s v="Neither"/>
    <n v="5"/>
  </r>
  <r>
    <d v="2020-06-24T00:00:00"/>
    <s v="20-4929"/>
    <s v="P053"/>
    <x v="10"/>
    <n v="50"/>
    <n v="25"/>
    <n v="250"/>
    <n v="125"/>
    <n v="125"/>
    <x v="198"/>
    <s v="Corporate &amp; Professional"/>
    <n v="6.9183250411917196"/>
    <s v="Dissatisfied"/>
    <n v="1"/>
  </r>
  <r>
    <d v="2020-06-25T00:00:00"/>
    <s v="20-2153"/>
    <s v="P008"/>
    <x v="18"/>
    <n v="225"/>
    <n v="75"/>
    <n v="4050"/>
    <n v="1350"/>
    <n v="2700"/>
    <x v="118"/>
    <s v="Community &amp; Government"/>
    <n v="15.60430546146185"/>
    <s v="Neither"/>
    <n v="5"/>
  </r>
  <r>
    <d v="2020-06-26T00:00:00"/>
    <s v="20-1400"/>
    <s v="P058"/>
    <x v="1"/>
    <n v="356"/>
    <n v="89"/>
    <n v="2848"/>
    <n v="712"/>
    <n v="2136"/>
    <x v="275"/>
    <s v="Healthcare &amp; Safety"/>
    <n v="10.428287009858728"/>
    <s v="Neither"/>
    <n v="5"/>
  </r>
  <r>
    <d v="2020-06-27T00:00:00"/>
    <s v="20-4883"/>
    <s v="P020"/>
    <x v="16"/>
    <n v="180"/>
    <n v="45"/>
    <n v="1620"/>
    <n v="405"/>
    <n v="1215"/>
    <x v="43"/>
    <s v="Corporate &amp; Professional"/>
    <n v="15.121383064708469"/>
    <s v="Neither"/>
    <n v="5"/>
  </r>
  <r>
    <d v="2020-06-28T00:00:00"/>
    <s v="20-2799"/>
    <s v="P069"/>
    <x v="2"/>
    <n v="150"/>
    <n v="75"/>
    <n v="1950"/>
    <n v="975"/>
    <n v="975"/>
    <x v="69"/>
    <s v="Healthcare &amp; Safety"/>
    <n v="9.3014286057233697"/>
    <s v="Neither"/>
    <n v="5"/>
  </r>
  <r>
    <d v="2020-06-29T00:00:00"/>
    <s v="20-1037"/>
    <s v="P007"/>
    <x v="14"/>
    <n v="225"/>
    <n v="75"/>
    <n v="2700"/>
    <n v="900"/>
    <n v="1800"/>
    <x v="68"/>
    <s v="Sports &amp; Recreation"/>
    <n v="12.200533931675887"/>
    <s v="Neither"/>
    <n v="5"/>
  </r>
  <r>
    <d v="2020-06-30T00:00:00"/>
    <s v="20-4422"/>
    <s v="P034"/>
    <x v="2"/>
    <n v="114"/>
    <n v="57"/>
    <n v="1482"/>
    <n v="741"/>
    <n v="741"/>
    <x v="1"/>
    <s v="Corporate &amp; Professional"/>
    <n v="13.299525114817991"/>
    <s v="Satisfied"/>
    <n v="10"/>
  </r>
  <r>
    <d v="2020-07-01T00:00:00"/>
    <s v="20-1434"/>
    <s v="P002"/>
    <x v="13"/>
    <n v="144"/>
    <n v="36"/>
    <n v="1440"/>
    <n v="360"/>
    <n v="1080"/>
    <x v="185"/>
    <s v="Education"/>
    <n v="13.466362789017223"/>
    <s v="Neither"/>
    <n v="5"/>
  </r>
  <r>
    <d v="2020-07-02T00:00:00"/>
    <s v="20-4478"/>
    <s v="P009"/>
    <x v="2"/>
    <n v="255"/>
    <n v="85"/>
    <n v="3315"/>
    <n v="1105"/>
    <n v="2210"/>
    <x v="270"/>
    <s v="Education"/>
    <n v="14.129095302641241"/>
    <s v="Satisfied"/>
    <n v="10"/>
  </r>
  <r>
    <d v="2020-07-03T00:00:00"/>
    <s v="20-3719"/>
    <s v="P008"/>
    <x v="18"/>
    <n v="225"/>
    <n v="75"/>
    <n v="4050"/>
    <n v="1350"/>
    <n v="2700"/>
    <x v="126"/>
    <s v="Creative &amp; Technology"/>
    <n v="12.399050786131125"/>
    <s v="Dissatisfied"/>
    <n v="1"/>
  </r>
  <r>
    <d v="2020-07-04T00:00:00"/>
    <s v="20-2149"/>
    <s v="P095"/>
    <x v="14"/>
    <n v="116"/>
    <n v="29"/>
    <n v="1392"/>
    <n v="348"/>
    <n v="1044"/>
    <x v="204"/>
    <s v="Corporate &amp; Professional"/>
    <n v="10.248947386022252"/>
    <s v="Neither"/>
    <n v="5"/>
  </r>
  <r>
    <d v="2020-07-05T00:00:00"/>
    <s v="20-2108"/>
    <s v="P087"/>
    <x v="17"/>
    <n v="176"/>
    <n v="88"/>
    <n v="176"/>
    <n v="88"/>
    <n v="88"/>
    <x v="168"/>
    <s v="Healthcare &amp; Safety"/>
    <n v="9.74650548941427"/>
    <s v="Neither"/>
    <n v="5"/>
  </r>
  <r>
    <d v="2020-07-06T00:00:00"/>
    <s v="20-1032"/>
    <s v="P086"/>
    <x v="1"/>
    <n v="352"/>
    <n v="88"/>
    <n v="2816"/>
    <n v="704"/>
    <n v="2112"/>
    <x v="262"/>
    <s v="Healthcare &amp; Safety"/>
    <n v="13.00553764131261"/>
    <s v="Neither"/>
    <n v="5"/>
  </r>
  <r>
    <d v="2020-07-07T00:00:00"/>
    <s v="20-4153"/>
    <s v="P012"/>
    <x v="16"/>
    <n v="30"/>
    <n v="15"/>
    <n v="270"/>
    <n v="135"/>
    <n v="135"/>
    <x v="222"/>
    <s v="Community &amp; Government"/>
    <n v="13.095446915421235"/>
    <s v="Neither"/>
    <n v="5"/>
  </r>
  <r>
    <d v="2020-07-08T00:00:00"/>
    <s v="20-3644"/>
    <s v="P084"/>
    <x v="0"/>
    <n v="154"/>
    <n v="77"/>
    <n v="2310"/>
    <n v="1155"/>
    <n v="1155"/>
    <x v="60"/>
    <s v="Creative &amp; Technology"/>
    <n v="15.556812309269255"/>
    <s v="Neither"/>
    <n v="5"/>
  </r>
  <r>
    <d v="2020-07-09T00:00:00"/>
    <s v="20-2059"/>
    <s v="P054"/>
    <x v="0"/>
    <n v="144"/>
    <n v="48"/>
    <n v="2160"/>
    <n v="720"/>
    <n v="1440"/>
    <x v="88"/>
    <s v="Facilities &amp; Services"/>
    <n v="14.906846445071711"/>
    <s v="Dissatisfied"/>
    <n v="1"/>
  </r>
  <r>
    <d v="2020-07-10T00:00:00"/>
    <s v="20-1118"/>
    <s v="P024"/>
    <x v="1"/>
    <n v="66"/>
    <n v="33"/>
    <n v="528"/>
    <n v="264"/>
    <n v="264"/>
    <x v="274"/>
    <s v="Creative &amp; Technology"/>
    <n v="10.524491192521829"/>
    <s v="Neither"/>
    <n v="5"/>
  </r>
  <r>
    <d v="2020-07-11T00:00:00"/>
    <s v="20-1344"/>
    <s v="P075"/>
    <x v="1"/>
    <n v="160"/>
    <n v="80"/>
    <n v="1280"/>
    <n v="640"/>
    <n v="640"/>
    <x v="288"/>
    <s v="Sports &amp; Recreation"/>
    <n v="10.78374703625888"/>
    <s v="Neither"/>
    <n v="5"/>
  </r>
  <r>
    <d v="2020-07-12T00:00:00"/>
    <s v="20-3975"/>
    <s v="P010"/>
    <x v="8"/>
    <n v="144"/>
    <n v="36"/>
    <n v="2016"/>
    <n v="504"/>
    <n v="1512"/>
    <x v="126"/>
    <s v="Creative &amp; Technology"/>
    <n v="12.399050786131125"/>
    <s v="Satisfied"/>
    <n v="10"/>
  </r>
  <r>
    <d v="2020-07-13T00:00:00"/>
    <s v="20-3404"/>
    <s v="P069"/>
    <x v="7"/>
    <n v="150"/>
    <n v="75"/>
    <n v="1650"/>
    <n v="825"/>
    <n v="825"/>
    <x v="126"/>
    <s v="Creative &amp; Technology"/>
    <n v="12.399050786131125"/>
    <s v="Neither"/>
    <n v="5"/>
  </r>
  <r>
    <d v="2020-07-14T00:00:00"/>
    <s v="20-4053"/>
    <s v="P078"/>
    <x v="18"/>
    <n v="225"/>
    <n v="75"/>
    <n v="4050"/>
    <n v="1350"/>
    <n v="2700"/>
    <x v="187"/>
    <s v="Creative &amp; Technology"/>
    <n v="13.259563298324382"/>
    <s v="Neither"/>
    <n v="5"/>
  </r>
  <r>
    <d v="2020-07-15T00:00:00"/>
    <s v="20-4096"/>
    <s v="P018"/>
    <x v="19"/>
    <n v="108"/>
    <n v="54"/>
    <n v="2052"/>
    <n v="1026"/>
    <n v="1026"/>
    <x v="111"/>
    <s v="Sports &amp; Recreation"/>
    <n v="12.342715162719054"/>
    <s v="Neither"/>
    <n v="5"/>
  </r>
  <r>
    <d v="2020-07-16T00:00:00"/>
    <s v="20-3861"/>
    <s v="P022"/>
    <x v="8"/>
    <n v="153"/>
    <n v="51"/>
    <n v="2142"/>
    <n v="714"/>
    <n v="1428"/>
    <x v="195"/>
    <s v="Community &amp; Government"/>
    <n v="12.679725647708608"/>
    <s v="Neither"/>
    <n v="5"/>
  </r>
  <r>
    <d v="2020-07-17T00:00:00"/>
    <s v="20-2093"/>
    <s v="P092"/>
    <x v="4"/>
    <n v="124"/>
    <n v="62"/>
    <n v="248"/>
    <n v="124"/>
    <n v="124"/>
    <x v="62"/>
    <s v="Education"/>
    <n v="12.396052160428608"/>
    <s v="Neither"/>
    <n v="5"/>
  </r>
  <r>
    <d v="2020-07-18T00:00:00"/>
    <s v="20-1882"/>
    <s v="P082"/>
    <x v="16"/>
    <n v="312"/>
    <n v="78"/>
    <n v="2808"/>
    <n v="702"/>
    <n v="2106"/>
    <x v="9"/>
    <s v="Sports &amp; Recreation"/>
    <n v="15.602184182549776"/>
    <s v="Neither"/>
    <n v="5"/>
  </r>
  <r>
    <d v="2020-07-19T00:00:00"/>
    <s v="20-1580"/>
    <s v="P029"/>
    <x v="4"/>
    <n v="300"/>
    <n v="75"/>
    <n v="600"/>
    <n v="150"/>
    <n v="450"/>
    <x v="33"/>
    <s v="Healthcare &amp; Safety"/>
    <n v="7.1104128275166252"/>
    <s v="Neither"/>
    <n v="5"/>
  </r>
  <r>
    <d v="2020-07-20T00:00:00"/>
    <s v="20-3221"/>
    <s v="P087"/>
    <x v="11"/>
    <n v="176"/>
    <n v="88"/>
    <n v="2816"/>
    <n v="1408"/>
    <n v="1408"/>
    <x v="49"/>
    <s v="Creative &amp; Technology"/>
    <n v="11.31221475547909"/>
    <s v="Dissatisfied"/>
    <n v="1"/>
  </r>
  <r>
    <d v="2020-07-21T00:00:00"/>
    <s v="20-4922"/>
    <s v="P013"/>
    <x v="19"/>
    <n v="58"/>
    <n v="29"/>
    <n v="1102"/>
    <n v="551"/>
    <n v="551"/>
    <x v="212"/>
    <s v="Sports &amp; Recreation"/>
    <n v="11.443503623244197"/>
    <s v="Satisfied"/>
    <n v="10"/>
  </r>
  <r>
    <d v="2020-07-22T00:00:00"/>
    <s v="20-1549"/>
    <s v="P005"/>
    <x v="3"/>
    <n v="76"/>
    <n v="19"/>
    <n v="304"/>
    <n v="76"/>
    <n v="228"/>
    <x v="243"/>
    <s v="Creative &amp; Technology"/>
    <n v="11.952554704438674"/>
    <s v="Neither"/>
    <n v="5"/>
  </r>
  <r>
    <d v="2020-07-23T00:00:00"/>
    <s v="20-3160"/>
    <s v="P096"/>
    <x v="12"/>
    <n v="144"/>
    <n v="48"/>
    <n v="1008"/>
    <n v="336"/>
    <n v="672"/>
    <x v="215"/>
    <s v="Facilities &amp; Services"/>
    <n v="14.817898176328208"/>
    <s v="Neither"/>
    <n v="5"/>
  </r>
  <r>
    <d v="2020-07-24T00:00:00"/>
    <s v="20-3818"/>
    <s v="P033"/>
    <x v="15"/>
    <n v="57"/>
    <n v="19"/>
    <n v="969"/>
    <n v="323"/>
    <n v="646"/>
    <x v="263"/>
    <s v="Facilities &amp; Services"/>
    <n v="8.1352386075080023"/>
    <s v="Neither"/>
    <n v="5"/>
  </r>
  <r>
    <d v="2020-07-25T00:00:00"/>
    <s v="20-3193"/>
    <s v="P082"/>
    <x v="3"/>
    <n v="312"/>
    <n v="78"/>
    <n v="1248"/>
    <n v="312"/>
    <n v="936"/>
    <x v="126"/>
    <s v="Creative &amp; Technology"/>
    <n v="12.399050786131125"/>
    <s v="Neither"/>
    <n v="5"/>
  </r>
  <r>
    <d v="2020-07-26T00:00:00"/>
    <s v="20-4870"/>
    <s v="P045"/>
    <x v="14"/>
    <n v="100"/>
    <n v="25"/>
    <n v="1200"/>
    <n v="300"/>
    <n v="900"/>
    <x v="251"/>
    <s v="Creative &amp; Technology"/>
    <n v="9.1591412531773226"/>
    <s v="Neither"/>
    <n v="5"/>
  </r>
  <r>
    <d v="2020-07-27T00:00:00"/>
    <s v="20-1202"/>
    <s v="P093"/>
    <x v="15"/>
    <n v="384"/>
    <n v="96"/>
    <n v="6528"/>
    <n v="1632"/>
    <n v="4896"/>
    <x v="124"/>
    <s v="Sports &amp; Recreation"/>
    <n v="13.115597690631557"/>
    <s v="Satisfied"/>
    <n v="10"/>
  </r>
  <r>
    <d v="2020-07-28T00:00:00"/>
    <s v="20-2948"/>
    <s v="P024"/>
    <x v="5"/>
    <n v="66"/>
    <n v="33"/>
    <n v="198"/>
    <n v="99"/>
    <n v="99"/>
    <x v="5"/>
    <s v="Healthcare &amp; Safety"/>
    <n v="12.169266722245851"/>
    <s v="Satisfied"/>
    <n v="10"/>
  </r>
  <r>
    <d v="2020-07-29T00:00:00"/>
    <s v="20-1752"/>
    <s v="P026"/>
    <x v="6"/>
    <n v="280"/>
    <n v="70"/>
    <n v="1680"/>
    <n v="420"/>
    <n v="1260"/>
    <x v="127"/>
    <s v="Facilities &amp; Services"/>
    <n v="11.644564584314265"/>
    <s v="Satisfied"/>
    <n v="10"/>
  </r>
  <r>
    <d v="2020-07-30T00:00:00"/>
    <s v="20-3075"/>
    <s v="P008"/>
    <x v="7"/>
    <n v="225"/>
    <n v="75"/>
    <n v="2475"/>
    <n v="825"/>
    <n v="1650"/>
    <x v="42"/>
    <s v="Community &amp; Government"/>
    <n v="10.216282609482219"/>
    <s v="Neither"/>
    <n v="5"/>
  </r>
  <r>
    <d v="2020-07-31T00:00:00"/>
    <s v="20-4147"/>
    <s v="P030"/>
    <x v="4"/>
    <n v="81"/>
    <n v="27"/>
    <n v="162"/>
    <n v="54"/>
    <n v="108"/>
    <x v="268"/>
    <s v="Sports &amp; Recreation"/>
    <n v="11.593991859287692"/>
    <s v="Neither"/>
    <n v="5"/>
  </r>
  <r>
    <d v="2020-08-01T00:00:00"/>
    <s v="20-4764"/>
    <s v="P100"/>
    <x v="13"/>
    <n v="46"/>
    <n v="23"/>
    <n v="460"/>
    <n v="230"/>
    <n v="230"/>
    <x v="188"/>
    <s v="Healthcare &amp; Safety"/>
    <n v="9.8892508156549788"/>
    <s v="Dissatisfied"/>
    <n v="1"/>
  </r>
  <r>
    <d v="2020-08-02T00:00:00"/>
    <s v="20-4453"/>
    <s v="P002"/>
    <x v="7"/>
    <n v="144"/>
    <n v="36"/>
    <n v="1584"/>
    <n v="396"/>
    <n v="1188"/>
    <x v="77"/>
    <s v="Facilities &amp; Services"/>
    <n v="12.514998090845811"/>
    <s v="Satisfied"/>
    <n v="10"/>
  </r>
  <r>
    <d v="2020-08-03T00:00:00"/>
    <s v="20-2387"/>
    <s v="P033"/>
    <x v="15"/>
    <n v="57"/>
    <n v="19"/>
    <n v="969"/>
    <n v="323"/>
    <n v="646"/>
    <x v="120"/>
    <s v="Education"/>
    <n v="9.4239783062860578"/>
    <s v="Neither"/>
    <n v="5"/>
  </r>
  <r>
    <d v="2020-08-04T00:00:00"/>
    <s v="20-3118"/>
    <s v="P046"/>
    <x v="17"/>
    <n v="38"/>
    <n v="19"/>
    <n v="38"/>
    <n v="19"/>
    <n v="19"/>
    <x v="47"/>
    <s v="Healthcare &amp; Safety"/>
    <n v="11.727497850343074"/>
    <s v="Neither"/>
    <n v="5"/>
  </r>
  <r>
    <d v="2020-08-05T00:00:00"/>
    <s v="20-4329"/>
    <s v="P069"/>
    <x v="3"/>
    <n v="150"/>
    <n v="75"/>
    <n v="600"/>
    <n v="300"/>
    <n v="300"/>
    <x v="156"/>
    <s v="Healthcare &amp; Safety"/>
    <n v="12.801144805697081"/>
    <s v="Neither"/>
    <n v="5"/>
  </r>
  <r>
    <d v="2020-08-06T00:00:00"/>
    <s v="20-3010"/>
    <s v="P048"/>
    <x v="18"/>
    <n v="252"/>
    <n v="63"/>
    <n v="4536"/>
    <n v="1134"/>
    <n v="3402"/>
    <x v="226"/>
    <s v="Community &amp; Government"/>
    <n v="11.927799225928501"/>
    <s v="Neither"/>
    <n v="5"/>
  </r>
  <r>
    <d v="2020-08-07T00:00:00"/>
    <s v="20-4651"/>
    <s v="P054"/>
    <x v="2"/>
    <n v="144"/>
    <n v="48"/>
    <n v="1872"/>
    <n v="624"/>
    <n v="1248"/>
    <x v="166"/>
    <s v="Healthcare &amp; Safety"/>
    <n v="10.112765954734209"/>
    <s v="Neither"/>
    <n v="5"/>
  </r>
  <r>
    <d v="2020-08-08T00:00:00"/>
    <s v="20-2536"/>
    <s v="P071"/>
    <x v="6"/>
    <n v="210"/>
    <n v="70"/>
    <n v="1260"/>
    <n v="420"/>
    <n v="840"/>
    <x v="137"/>
    <s v="Facilities &amp; Services"/>
    <n v="15.861056998489449"/>
    <s v="Satisfied"/>
    <n v="10"/>
  </r>
  <r>
    <d v="2020-08-09T00:00:00"/>
    <s v="20-2278"/>
    <s v="P024"/>
    <x v="6"/>
    <n v="66"/>
    <n v="33"/>
    <n v="396"/>
    <n v="198"/>
    <n v="198"/>
    <x v="122"/>
    <s v="Creative &amp; Technology"/>
    <n v="11.082295381980092"/>
    <s v="Satisfied"/>
    <n v="10"/>
  </r>
  <r>
    <d v="2020-08-10T00:00:00"/>
    <s v="20-2215"/>
    <s v="P036"/>
    <x v="1"/>
    <n v="280"/>
    <n v="70"/>
    <n v="2240"/>
    <n v="560"/>
    <n v="1680"/>
    <x v="24"/>
    <s v="Sports &amp; Recreation"/>
    <n v="14.697745043716761"/>
    <s v="Neither"/>
    <n v="5"/>
  </r>
  <r>
    <d v="2020-08-11T00:00:00"/>
    <s v="20-1706"/>
    <s v="P004"/>
    <x v="12"/>
    <n v="189"/>
    <n v="63"/>
    <n v="1323"/>
    <n v="441"/>
    <n v="882"/>
    <x v="53"/>
    <s v="Education"/>
    <n v="13.288482149665386"/>
    <s v="Neither"/>
    <n v="5"/>
  </r>
  <r>
    <d v="2020-08-12T00:00:00"/>
    <s v="20-3493"/>
    <s v="P083"/>
    <x v="11"/>
    <n v="90"/>
    <n v="45"/>
    <n v="1440"/>
    <n v="720"/>
    <n v="720"/>
    <x v="194"/>
    <s v="Community &amp; Government"/>
    <n v="9.879282537628514"/>
    <s v="Neither"/>
    <n v="5"/>
  </r>
  <r>
    <d v="2020-08-13T00:00:00"/>
    <s v="20-2645"/>
    <s v="P046"/>
    <x v="9"/>
    <n v="38"/>
    <n v="19"/>
    <n v="760"/>
    <n v="380"/>
    <n v="380"/>
    <x v="80"/>
    <s v="Education"/>
    <n v="12.503632939408062"/>
    <s v="Dissatisfied"/>
    <n v="1"/>
  </r>
  <r>
    <d v="2020-08-14T00:00:00"/>
    <s v="20-2391"/>
    <s v="P075"/>
    <x v="6"/>
    <n v="160"/>
    <n v="80"/>
    <n v="960"/>
    <n v="480"/>
    <n v="480"/>
    <x v="197"/>
    <s v="Community &amp; Government"/>
    <n v="10.163794912095831"/>
    <s v="Dissatisfied"/>
    <n v="1"/>
  </r>
  <r>
    <d v="2020-08-15T00:00:00"/>
    <s v="20-3310"/>
    <s v="P049"/>
    <x v="19"/>
    <n v="356"/>
    <n v="89"/>
    <n v="6764"/>
    <n v="1691"/>
    <n v="5073"/>
    <x v="201"/>
    <s v="Community &amp; Government"/>
    <n v="8.1628930629234038"/>
    <s v="Dissatisfied"/>
    <n v="1"/>
  </r>
  <r>
    <d v="2020-08-16T00:00:00"/>
    <s v="20-1974"/>
    <s v="P073"/>
    <x v="13"/>
    <n v="48"/>
    <n v="24"/>
    <n v="480"/>
    <n v="240"/>
    <n v="240"/>
    <x v="242"/>
    <s v="Corporate &amp; Professional"/>
    <n v="13.062292798511226"/>
    <s v="Neither"/>
    <n v="5"/>
  </r>
  <r>
    <d v="2020-08-17T00:00:00"/>
    <s v="20-1725"/>
    <s v="P032"/>
    <x v="3"/>
    <n v="92"/>
    <n v="46"/>
    <n v="368"/>
    <n v="184"/>
    <n v="184"/>
    <x v="35"/>
    <s v="Sports &amp; Recreation"/>
    <n v="12.487915239531313"/>
    <s v="Neither"/>
    <n v="5"/>
  </r>
  <r>
    <d v="2020-08-18T00:00:00"/>
    <s v="20-4298"/>
    <s v="P075"/>
    <x v="5"/>
    <n v="160"/>
    <n v="80"/>
    <n v="480"/>
    <n v="240"/>
    <n v="240"/>
    <x v="130"/>
    <s v="Healthcare &amp; Safety"/>
    <n v="13.923194761258239"/>
    <s v="Neither"/>
    <n v="5"/>
  </r>
  <r>
    <d v="2020-08-19T00:00:00"/>
    <s v="20-1700"/>
    <s v="P017"/>
    <x v="13"/>
    <n v="120"/>
    <n v="30"/>
    <n v="1200"/>
    <n v="300"/>
    <n v="900"/>
    <x v="97"/>
    <s v="Corporate &amp; Professional"/>
    <n v="12.545140403858928"/>
    <s v="Neither"/>
    <n v="5"/>
  </r>
  <r>
    <d v="2020-08-20T00:00:00"/>
    <s v="20-1669"/>
    <s v="P039"/>
    <x v="8"/>
    <n v="270"/>
    <n v="90"/>
    <n v="3780"/>
    <n v="1260"/>
    <n v="2520"/>
    <x v="117"/>
    <s v="Corporate &amp; Professional"/>
    <n v="11.687634894637348"/>
    <s v="Neither"/>
    <n v="5"/>
  </r>
  <r>
    <d v="2020-08-21T00:00:00"/>
    <s v="20-4338"/>
    <s v="P045"/>
    <x v="18"/>
    <n v="100"/>
    <n v="25"/>
    <n v="1800"/>
    <n v="450"/>
    <n v="1350"/>
    <x v="196"/>
    <s v="Community &amp; Government"/>
    <n v="12.869841591513939"/>
    <s v="Neither"/>
    <n v="5"/>
  </r>
  <r>
    <d v="2020-08-22T00:00:00"/>
    <s v="20-1096"/>
    <s v="P087"/>
    <x v="19"/>
    <n v="176"/>
    <n v="88"/>
    <n v="3344"/>
    <n v="1672"/>
    <n v="1672"/>
    <x v="102"/>
    <s v="Facilities &amp; Services"/>
    <n v="9.8928038181361391"/>
    <s v="Neither"/>
    <n v="5"/>
  </r>
  <r>
    <d v="2020-08-23T00:00:00"/>
    <s v="20-4582"/>
    <s v="P006"/>
    <x v="11"/>
    <n v="38"/>
    <n v="19"/>
    <n v="608"/>
    <n v="304"/>
    <n v="304"/>
    <x v="186"/>
    <s v="Education"/>
    <n v="8.3272837771733244"/>
    <s v="Satisfied"/>
    <n v="10"/>
  </r>
  <r>
    <d v="2020-08-24T00:00:00"/>
    <s v="20-4701"/>
    <s v="P079"/>
    <x v="2"/>
    <n v="188"/>
    <n v="94"/>
    <n v="2444"/>
    <n v="1222"/>
    <n v="1222"/>
    <x v="78"/>
    <s v="Education"/>
    <n v="11.756374828790458"/>
    <s v="Satisfied"/>
    <n v="10"/>
  </r>
  <r>
    <d v="2020-08-25T00:00:00"/>
    <s v="20-4190"/>
    <s v="P080"/>
    <x v="19"/>
    <n v="57"/>
    <n v="19"/>
    <n v="1083"/>
    <n v="361"/>
    <n v="722"/>
    <x v="162"/>
    <s v="Creative &amp; Technology"/>
    <n v="14.064516999204997"/>
    <s v="Neither"/>
    <n v="5"/>
  </r>
  <r>
    <d v="2020-08-26T00:00:00"/>
    <s v="20-1319"/>
    <s v="P083"/>
    <x v="18"/>
    <n v="90"/>
    <n v="45"/>
    <n v="1620"/>
    <n v="810"/>
    <n v="810"/>
    <x v="247"/>
    <s v="Facilities &amp; Services"/>
    <n v="12.502346728827876"/>
    <s v="Dissatisfied"/>
    <n v="1"/>
  </r>
  <r>
    <d v="2020-08-27T00:00:00"/>
    <s v="20-1708"/>
    <s v="P049"/>
    <x v="9"/>
    <n v="356"/>
    <n v="89"/>
    <n v="7120"/>
    <n v="1780"/>
    <n v="5340"/>
    <x v="114"/>
    <s v="Healthcare &amp; Safety"/>
    <n v="14.423322704129969"/>
    <s v="Satisfied"/>
    <n v="10"/>
  </r>
  <r>
    <d v="2020-08-28T00:00:00"/>
    <s v="20-2744"/>
    <s v="P061"/>
    <x v="18"/>
    <n v="264"/>
    <n v="88"/>
    <n v="4752"/>
    <n v="1584"/>
    <n v="3168"/>
    <x v="198"/>
    <s v="Corporate &amp; Professional"/>
    <n v="6.9183250411917196"/>
    <s v="Satisfied"/>
    <n v="10"/>
  </r>
  <r>
    <d v="2020-08-29T00:00:00"/>
    <s v="20-3367"/>
    <s v="P021"/>
    <x v="18"/>
    <n v="207"/>
    <n v="69"/>
    <n v="3726"/>
    <n v="1242"/>
    <n v="2484"/>
    <x v="36"/>
    <s v="Creative &amp; Technology"/>
    <n v="8.1085102757869372"/>
    <s v="Dissatisfied"/>
    <n v="1"/>
  </r>
  <r>
    <d v="2020-08-30T00:00:00"/>
    <s v="20-1518"/>
    <s v="P045"/>
    <x v="7"/>
    <n v="100"/>
    <n v="25"/>
    <n v="1100"/>
    <n v="275"/>
    <n v="825"/>
    <x v="110"/>
    <s v="Sports &amp; Recreation"/>
    <n v="14.690198582365463"/>
    <s v="Satisfied"/>
    <n v="10"/>
  </r>
  <r>
    <d v="2020-08-31T00:00:00"/>
    <s v="20-1352"/>
    <s v="P090"/>
    <x v="18"/>
    <n v="57"/>
    <n v="19"/>
    <n v="1026"/>
    <n v="342"/>
    <n v="684"/>
    <x v="204"/>
    <s v="Corporate &amp; Professional"/>
    <n v="10.248947386022252"/>
    <s v="Dissatisfied"/>
    <n v="1"/>
  </r>
  <r>
    <d v="2020-09-01T00:00:00"/>
    <s v="20-3804"/>
    <s v="P080"/>
    <x v="6"/>
    <n v="57"/>
    <n v="19"/>
    <n v="342"/>
    <n v="114"/>
    <n v="228"/>
    <x v="24"/>
    <s v="Sports &amp; Recreation"/>
    <n v="14.697745043716761"/>
    <s v="Dissatisfied"/>
    <n v="1"/>
  </r>
  <r>
    <d v="2020-09-02T00:00:00"/>
    <s v="20-3446"/>
    <s v="P052"/>
    <x v="17"/>
    <n v="352"/>
    <n v="88"/>
    <n v="352"/>
    <n v="88"/>
    <n v="264"/>
    <x v="15"/>
    <s v="Community &amp; Government"/>
    <n v="11.631646244583138"/>
    <s v="Dissatisfied"/>
    <n v="1"/>
  </r>
  <r>
    <d v="2020-09-03T00:00:00"/>
    <s v="20-2651"/>
    <s v="P053"/>
    <x v="11"/>
    <n v="50"/>
    <n v="25"/>
    <n v="800"/>
    <n v="400"/>
    <n v="400"/>
    <x v="233"/>
    <s v="Education"/>
    <n v="9.5176115401380308"/>
    <s v="Dissatisfied"/>
    <n v="1"/>
  </r>
  <r>
    <d v="2020-09-04T00:00:00"/>
    <s v="20-1570"/>
    <s v="P010"/>
    <x v="1"/>
    <n v="144"/>
    <n v="36"/>
    <n v="1152"/>
    <n v="288"/>
    <n v="864"/>
    <x v="184"/>
    <s v="Community &amp; Government"/>
    <n v="8.8169309002713945"/>
    <s v="Neither"/>
    <n v="5"/>
  </r>
  <r>
    <d v="2020-09-05T00:00:00"/>
    <s v="20-4122"/>
    <s v="P011"/>
    <x v="0"/>
    <n v="264"/>
    <n v="88"/>
    <n v="3960"/>
    <n v="1320"/>
    <n v="2640"/>
    <x v="83"/>
    <s v="Sports &amp; Recreation"/>
    <n v="11.504886852416154"/>
    <s v="Dissatisfied"/>
    <n v="1"/>
  </r>
  <r>
    <d v="2020-09-06T00:00:00"/>
    <s v="20-1444"/>
    <s v="P001"/>
    <x v="9"/>
    <n v="108"/>
    <n v="36"/>
    <n v="2160"/>
    <n v="720"/>
    <n v="1440"/>
    <x v="93"/>
    <s v="Facilities &amp; Services"/>
    <n v="10.966283117837653"/>
    <s v="Neither"/>
    <n v="5"/>
  </r>
  <r>
    <d v="2020-09-07T00:00:00"/>
    <s v="20-4253"/>
    <s v="P016"/>
    <x v="14"/>
    <n v="110"/>
    <n v="55"/>
    <n v="1320"/>
    <n v="660"/>
    <n v="660"/>
    <x v="179"/>
    <s v="Creative &amp; Technology"/>
    <n v="12.207242573430314"/>
    <s v="Neither"/>
    <n v="5"/>
  </r>
  <r>
    <d v="2020-09-08T00:00:00"/>
    <s v="20-1605"/>
    <s v="P052"/>
    <x v="1"/>
    <n v="352"/>
    <n v="88"/>
    <n v="2816"/>
    <n v="704"/>
    <n v="2112"/>
    <x v="218"/>
    <s v="Facilities &amp; Services"/>
    <n v="14.376986923104601"/>
    <s v="Satisfied"/>
    <n v="10"/>
  </r>
  <r>
    <d v="2020-09-09T00:00:00"/>
    <s v="20-3524"/>
    <s v="P084"/>
    <x v="0"/>
    <n v="154"/>
    <n v="77"/>
    <n v="2310"/>
    <n v="1155"/>
    <n v="1155"/>
    <x v="149"/>
    <s v="Facilities &amp; Services"/>
    <n v="11.311040680082275"/>
    <s v="Neither"/>
    <n v="5"/>
  </r>
  <r>
    <d v="2020-09-10T00:00:00"/>
    <s v="20-3456"/>
    <s v="P008"/>
    <x v="4"/>
    <n v="225"/>
    <n v="75"/>
    <n v="450"/>
    <n v="150"/>
    <n v="300"/>
    <x v="110"/>
    <s v="Sports &amp; Recreation"/>
    <n v="14.690198582365463"/>
    <s v="Dissatisfied"/>
    <n v="1"/>
  </r>
  <r>
    <d v="2020-09-11T00:00:00"/>
    <s v="20-2574"/>
    <s v="P093"/>
    <x v="17"/>
    <n v="384"/>
    <n v="96"/>
    <n v="384"/>
    <n v="96"/>
    <n v="288"/>
    <x v="150"/>
    <s v="Education"/>
    <n v="12.889576147248359"/>
    <s v="Satisfied"/>
    <n v="10"/>
  </r>
  <r>
    <d v="2020-09-12T00:00:00"/>
    <s v="20-3772"/>
    <s v="P030"/>
    <x v="11"/>
    <n v="81"/>
    <n v="27"/>
    <n v="1296"/>
    <n v="432"/>
    <n v="864"/>
    <x v="252"/>
    <s v="Community &amp; Government"/>
    <n v="10.968401424454578"/>
    <s v="Neither"/>
    <n v="5"/>
  </r>
  <r>
    <d v="2020-09-13T00:00:00"/>
    <s v="20-3536"/>
    <s v="P035"/>
    <x v="14"/>
    <n v="144"/>
    <n v="48"/>
    <n v="1728"/>
    <n v="576"/>
    <n v="1152"/>
    <x v="159"/>
    <s v="Community &amp; Government"/>
    <n v="13.57003172959007"/>
    <s v="Neither"/>
    <n v="5"/>
  </r>
  <r>
    <d v="2020-09-14T00:00:00"/>
    <s v="20-4580"/>
    <s v="P087"/>
    <x v="17"/>
    <n v="176"/>
    <n v="88"/>
    <n v="176"/>
    <n v="88"/>
    <n v="88"/>
    <x v="111"/>
    <s v="Sports &amp; Recreation"/>
    <n v="12.342715162719054"/>
    <s v="Neither"/>
    <n v="5"/>
  </r>
  <r>
    <d v="2020-09-15T00:00:00"/>
    <s v="20-1109"/>
    <s v="P062"/>
    <x v="10"/>
    <n v="348"/>
    <n v="87"/>
    <n v="1740"/>
    <n v="435"/>
    <n v="1305"/>
    <x v="130"/>
    <s v="Healthcare &amp; Safety"/>
    <n v="13.923194761258239"/>
    <s v="Satisfied"/>
    <n v="10"/>
  </r>
  <r>
    <d v="2020-09-16T00:00:00"/>
    <s v="20-4793"/>
    <s v="P005"/>
    <x v="11"/>
    <n v="76"/>
    <n v="19"/>
    <n v="1216"/>
    <n v="304"/>
    <n v="912"/>
    <x v="103"/>
    <s v="Education"/>
    <n v="14.687857652112591"/>
    <s v="Neither"/>
    <n v="5"/>
  </r>
  <r>
    <d v="2020-09-17T00:00:00"/>
    <s v="20-3619"/>
    <s v="P072"/>
    <x v="11"/>
    <n v="132"/>
    <n v="44"/>
    <n v="2112"/>
    <n v="704"/>
    <n v="1408"/>
    <x v="159"/>
    <s v="Community &amp; Government"/>
    <n v="13.57003172959007"/>
    <s v="Satisfied"/>
    <n v="10"/>
  </r>
  <r>
    <d v="2020-09-18T00:00:00"/>
    <s v="20-4430"/>
    <s v="P022"/>
    <x v="8"/>
    <n v="153"/>
    <n v="51"/>
    <n v="2142"/>
    <n v="714"/>
    <n v="1428"/>
    <x v="182"/>
    <s v="Sports &amp; Recreation"/>
    <n v="12.564315242820944"/>
    <s v="Satisfied"/>
    <n v="10"/>
  </r>
  <r>
    <d v="2020-09-19T00:00:00"/>
    <s v="20-2440"/>
    <s v="P084"/>
    <x v="15"/>
    <n v="154"/>
    <n v="77"/>
    <n v="2618"/>
    <n v="1309"/>
    <n v="1309"/>
    <x v="34"/>
    <s v="Sports &amp; Recreation"/>
    <n v="11.406233913305266"/>
    <s v="Satisfied"/>
    <n v="10"/>
  </r>
  <r>
    <d v="2020-09-20T00:00:00"/>
    <s v="20-2626"/>
    <s v="P095"/>
    <x v="3"/>
    <n v="116"/>
    <n v="29"/>
    <n v="464"/>
    <n v="116"/>
    <n v="348"/>
    <x v="59"/>
    <s v="Creative &amp; Technology"/>
    <n v="10.980884286450312"/>
    <s v="Neither"/>
    <n v="5"/>
  </r>
  <r>
    <d v="2020-09-21T00:00:00"/>
    <s v="20-1666"/>
    <s v="P072"/>
    <x v="6"/>
    <n v="132"/>
    <n v="44"/>
    <n v="792"/>
    <n v="264"/>
    <n v="528"/>
    <x v="210"/>
    <s v="Corporate &amp; Professional"/>
    <n v="10.411813357023924"/>
    <s v="Neither"/>
    <n v="5"/>
  </r>
  <r>
    <d v="2020-09-22T00:00:00"/>
    <s v="20-2097"/>
    <s v="P008"/>
    <x v="14"/>
    <n v="225"/>
    <n v="75"/>
    <n v="2700"/>
    <n v="900"/>
    <n v="1800"/>
    <x v="85"/>
    <s v="Creative &amp; Technology"/>
    <n v="10.570474361325047"/>
    <s v="Neither"/>
    <n v="5"/>
  </r>
  <r>
    <d v="2020-09-23T00:00:00"/>
    <s v="20-4465"/>
    <s v="P022"/>
    <x v="13"/>
    <n v="153"/>
    <n v="51"/>
    <n v="1530"/>
    <n v="510"/>
    <n v="1020"/>
    <x v="286"/>
    <s v="Community &amp; Government"/>
    <n v="10.826646539963521"/>
    <s v="Neither"/>
    <n v="5"/>
  </r>
  <r>
    <d v="2020-09-24T00:00:00"/>
    <s v="20-4036"/>
    <s v="P080"/>
    <x v="15"/>
    <n v="57"/>
    <n v="19"/>
    <n v="969"/>
    <n v="323"/>
    <n v="646"/>
    <x v="118"/>
    <s v="Community &amp; Government"/>
    <n v="15.60430546146185"/>
    <s v="Satisfied"/>
    <n v="10"/>
  </r>
  <r>
    <d v="2020-09-25T00:00:00"/>
    <s v="20-1525"/>
    <s v="P009"/>
    <x v="19"/>
    <n v="255"/>
    <n v="85"/>
    <n v="4845"/>
    <n v="1615"/>
    <n v="3230"/>
    <x v="118"/>
    <s v="Community &amp; Government"/>
    <n v="15.60430546146185"/>
    <s v="Dissatisfied"/>
    <n v="1"/>
  </r>
  <r>
    <d v="2020-09-26T00:00:00"/>
    <s v="20-1854"/>
    <s v="P006"/>
    <x v="15"/>
    <n v="38"/>
    <n v="19"/>
    <n v="646"/>
    <n v="323"/>
    <n v="323"/>
    <x v="76"/>
    <s v="Community &amp; Government"/>
    <n v="12.796588406005421"/>
    <s v="Satisfied"/>
    <n v="10"/>
  </r>
  <r>
    <d v="2020-09-27T00:00:00"/>
    <s v="20-3427"/>
    <s v="P004"/>
    <x v="1"/>
    <n v="189"/>
    <n v="63"/>
    <n v="1512"/>
    <n v="504"/>
    <n v="1008"/>
    <x v="272"/>
    <s v="Facilities &amp; Services"/>
    <n v="10.517826055804084"/>
    <s v="Neither"/>
    <n v="5"/>
  </r>
  <r>
    <d v="2020-09-28T00:00:00"/>
    <s v="20-3310"/>
    <s v="P086"/>
    <x v="2"/>
    <n v="352"/>
    <n v="88"/>
    <n v="4576"/>
    <n v="1144"/>
    <n v="3432"/>
    <x v="195"/>
    <s v="Community &amp; Government"/>
    <n v="12.679725647708608"/>
    <s v="Dissatisfied"/>
    <n v="1"/>
  </r>
  <r>
    <d v="2020-09-29T00:00:00"/>
    <s v="20-3142"/>
    <s v="P057"/>
    <x v="11"/>
    <n v="252"/>
    <n v="63"/>
    <n v="4032"/>
    <n v="1008"/>
    <n v="3024"/>
    <x v="184"/>
    <s v="Community &amp; Government"/>
    <n v="8.8169309002713945"/>
    <s v="Neither"/>
    <n v="5"/>
  </r>
  <r>
    <d v="2020-09-30T00:00:00"/>
    <s v="20-1638"/>
    <s v="P093"/>
    <x v="18"/>
    <n v="384"/>
    <n v="96"/>
    <n v="6912"/>
    <n v="1728"/>
    <n v="5184"/>
    <x v="264"/>
    <s v="Education"/>
    <n v="10.818241047231139"/>
    <s v="Neither"/>
    <n v="5"/>
  </r>
  <r>
    <d v="2020-10-01T00:00:00"/>
    <s v="20-4058"/>
    <s v="P044"/>
    <x v="8"/>
    <n v="368"/>
    <n v="92"/>
    <n v="5152"/>
    <n v="1288"/>
    <n v="3864"/>
    <x v="226"/>
    <s v="Community &amp; Government"/>
    <n v="11.927799225928501"/>
    <s v="Dissatisfied"/>
    <n v="1"/>
  </r>
  <r>
    <d v="2020-10-02T00:00:00"/>
    <s v="20-4712"/>
    <s v="P071"/>
    <x v="9"/>
    <n v="210"/>
    <n v="70"/>
    <n v="4200"/>
    <n v="1400"/>
    <n v="2800"/>
    <x v="246"/>
    <s v="Facilities &amp; Services"/>
    <n v="13.853438793083487"/>
    <s v="Neither"/>
    <n v="5"/>
  </r>
  <r>
    <d v="2020-10-03T00:00:00"/>
    <s v="20-3238"/>
    <s v="P082"/>
    <x v="14"/>
    <n v="312"/>
    <n v="78"/>
    <n v="3744"/>
    <n v="936"/>
    <n v="2808"/>
    <x v="78"/>
    <s v="Education"/>
    <n v="11.756374828790458"/>
    <s v="Dissatisfied"/>
    <n v="1"/>
  </r>
  <r>
    <d v="2020-10-04T00:00:00"/>
    <s v="20-3865"/>
    <s v="P004"/>
    <x v="19"/>
    <n v="189"/>
    <n v="63"/>
    <n v="3591"/>
    <n v="1197"/>
    <n v="2394"/>
    <x v="238"/>
    <s v="Education"/>
    <n v="13.275355576494196"/>
    <s v="Dissatisfied"/>
    <n v="1"/>
  </r>
  <r>
    <d v="2020-10-05T00:00:00"/>
    <s v="20-3953"/>
    <s v="P065"/>
    <x v="5"/>
    <n v="50"/>
    <n v="25"/>
    <n v="150"/>
    <n v="75"/>
    <n v="75"/>
    <x v="253"/>
    <s v="Facilities &amp; Services"/>
    <n v="11.961761925704458"/>
    <s v="Neither"/>
    <n v="5"/>
  </r>
  <r>
    <d v="2020-10-06T00:00:00"/>
    <s v="20-3300"/>
    <s v="P092"/>
    <x v="17"/>
    <n v="124"/>
    <n v="62"/>
    <n v="124"/>
    <n v="62"/>
    <n v="62"/>
    <x v="132"/>
    <s v="Education"/>
    <n v="13.857835104514242"/>
    <s v="Dissatisfied"/>
    <n v="1"/>
  </r>
  <r>
    <d v="2020-10-07T00:00:00"/>
    <s v="20-1896"/>
    <s v="P071"/>
    <x v="18"/>
    <n v="210"/>
    <n v="70"/>
    <n v="3780"/>
    <n v="1260"/>
    <n v="2520"/>
    <x v="116"/>
    <s v="Education"/>
    <n v="12.299779975023837"/>
    <s v="Satisfied"/>
    <n v="10"/>
  </r>
  <r>
    <d v="2020-10-08T00:00:00"/>
    <s v="20-1054"/>
    <s v="P077"/>
    <x v="15"/>
    <n v="162"/>
    <n v="54"/>
    <n v="2754"/>
    <n v="918"/>
    <n v="1836"/>
    <x v="41"/>
    <s v="Community &amp; Government"/>
    <n v="12.452986387489583"/>
    <s v="Neither"/>
    <n v="5"/>
  </r>
  <r>
    <d v="2020-10-09T00:00:00"/>
    <s v="20-3815"/>
    <s v="P084"/>
    <x v="3"/>
    <n v="154"/>
    <n v="77"/>
    <n v="616"/>
    <n v="308"/>
    <n v="308"/>
    <x v="9"/>
    <s v="Sports &amp; Recreation"/>
    <n v="15.602184182549776"/>
    <s v="Satisfied"/>
    <n v="10"/>
  </r>
  <r>
    <d v="2020-10-10T00:00:00"/>
    <s v="20-1014"/>
    <s v="P060"/>
    <x v="0"/>
    <n v="300"/>
    <n v="75"/>
    <n v="4500"/>
    <n v="1125"/>
    <n v="3375"/>
    <x v="192"/>
    <s v="Healthcare &amp; Safety"/>
    <n v="8.7741864171993527"/>
    <s v="Neither"/>
    <n v="5"/>
  </r>
  <r>
    <d v="2020-10-11T00:00:00"/>
    <s v="20-3453"/>
    <s v="P067"/>
    <x v="0"/>
    <n v="144"/>
    <n v="36"/>
    <n v="2160"/>
    <n v="540"/>
    <n v="1620"/>
    <x v="5"/>
    <s v="Healthcare &amp; Safety"/>
    <n v="12.169266722245851"/>
    <s v="Satisfied"/>
    <n v="10"/>
  </r>
  <r>
    <d v="2020-10-12T00:00:00"/>
    <s v="20-1270"/>
    <s v="P052"/>
    <x v="14"/>
    <n v="352"/>
    <n v="88"/>
    <n v="4224"/>
    <n v="1056"/>
    <n v="3168"/>
    <x v="269"/>
    <s v="Corporate &amp; Professional"/>
    <n v="10.585251392347548"/>
    <s v="Satisfied"/>
    <n v="10"/>
  </r>
  <r>
    <d v="2020-10-13T00:00:00"/>
    <s v="20-4179"/>
    <s v="P018"/>
    <x v="4"/>
    <n v="108"/>
    <n v="54"/>
    <n v="216"/>
    <n v="108"/>
    <n v="108"/>
    <x v="178"/>
    <s v="Education"/>
    <n v="14.760829371220243"/>
    <s v="Satisfied"/>
    <n v="10"/>
  </r>
  <r>
    <d v="2020-10-14T00:00:00"/>
    <s v="20-3242"/>
    <s v="P001"/>
    <x v="11"/>
    <n v="108"/>
    <n v="36"/>
    <n v="1728"/>
    <n v="576"/>
    <n v="1152"/>
    <x v="84"/>
    <s v="Corporate &amp; Professional"/>
    <n v="11.428575823958646"/>
    <s v="Neither"/>
    <n v="5"/>
  </r>
  <r>
    <d v="2020-10-15T00:00:00"/>
    <s v="20-3803"/>
    <s v="P070"/>
    <x v="3"/>
    <n v="84"/>
    <n v="21"/>
    <n v="336"/>
    <n v="84"/>
    <n v="252"/>
    <x v="142"/>
    <s v="Healthcare &amp; Safety"/>
    <n v="13.574227261506472"/>
    <s v="Dissatisfied"/>
    <n v="1"/>
  </r>
  <r>
    <d v="2020-10-16T00:00:00"/>
    <s v="20-3455"/>
    <s v="P018"/>
    <x v="17"/>
    <n v="108"/>
    <n v="54"/>
    <n v="108"/>
    <n v="54"/>
    <n v="54"/>
    <x v="137"/>
    <s v="Facilities &amp; Services"/>
    <n v="15.861056998489449"/>
    <s v="Satisfied"/>
    <n v="10"/>
  </r>
  <r>
    <d v="2020-10-17T00:00:00"/>
    <s v="20-4319"/>
    <s v="P035"/>
    <x v="2"/>
    <n v="144"/>
    <n v="48"/>
    <n v="1872"/>
    <n v="624"/>
    <n v="1248"/>
    <x v="100"/>
    <s v="Sports &amp; Recreation"/>
    <n v="10.132922049221957"/>
    <s v="Neither"/>
    <n v="5"/>
  </r>
  <r>
    <d v="2020-10-18T00:00:00"/>
    <s v="20-3476"/>
    <s v="P090"/>
    <x v="6"/>
    <n v="57"/>
    <n v="19"/>
    <n v="342"/>
    <n v="114"/>
    <n v="228"/>
    <x v="216"/>
    <s v="Corporate &amp; Professional"/>
    <n v="9.1057685343725456"/>
    <s v="Dissatisfied"/>
    <n v="1"/>
  </r>
  <r>
    <d v="2020-10-19T00:00:00"/>
    <s v="20-1048"/>
    <s v="P076"/>
    <x v="18"/>
    <n v="94"/>
    <n v="47"/>
    <n v="1692"/>
    <n v="846"/>
    <n v="846"/>
    <x v="165"/>
    <s v="Creative &amp; Technology"/>
    <n v="13.929237493388955"/>
    <s v="Satisfied"/>
    <n v="10"/>
  </r>
  <r>
    <d v="2020-10-20T00:00:00"/>
    <s v="20-2272"/>
    <s v="P056"/>
    <x v="9"/>
    <n v="72"/>
    <n v="36"/>
    <n v="1440"/>
    <n v="720"/>
    <n v="720"/>
    <x v="220"/>
    <s v="Education"/>
    <n v="13.392447352247808"/>
    <s v="Neither"/>
    <n v="5"/>
  </r>
  <r>
    <d v="2020-10-21T00:00:00"/>
    <s v="20-1147"/>
    <s v="P095"/>
    <x v="5"/>
    <n v="116"/>
    <n v="29"/>
    <n v="348"/>
    <n v="87"/>
    <n v="261"/>
    <x v="182"/>
    <s v="Sports &amp; Recreation"/>
    <n v="12.564315242820944"/>
    <s v="Dissatisfied"/>
    <n v="1"/>
  </r>
  <r>
    <d v="2020-10-22T00:00:00"/>
    <s v="20-3897"/>
    <s v="P069"/>
    <x v="2"/>
    <n v="150"/>
    <n v="75"/>
    <n v="1950"/>
    <n v="975"/>
    <n v="975"/>
    <x v="215"/>
    <s v="Facilities &amp; Services"/>
    <n v="14.817898176328208"/>
    <s v="Neither"/>
    <n v="5"/>
  </r>
  <r>
    <d v="2020-10-23T00:00:00"/>
    <s v="20-1684"/>
    <s v="P086"/>
    <x v="5"/>
    <n v="352"/>
    <n v="88"/>
    <n v="1056"/>
    <n v="264"/>
    <n v="792"/>
    <x v="274"/>
    <s v="Creative &amp; Technology"/>
    <n v="10.524491192521829"/>
    <s v="Neither"/>
    <n v="5"/>
  </r>
  <r>
    <d v="2020-10-24T00:00:00"/>
    <s v="20-2999"/>
    <s v="P061"/>
    <x v="3"/>
    <n v="264"/>
    <n v="88"/>
    <n v="1056"/>
    <n v="352"/>
    <n v="704"/>
    <x v="265"/>
    <s v="Corporate &amp; Professional"/>
    <n v="12.55774399806273"/>
    <s v="Neither"/>
    <n v="5"/>
  </r>
  <r>
    <d v="2020-10-25T00:00:00"/>
    <s v="20-2687"/>
    <s v="P092"/>
    <x v="12"/>
    <n v="124"/>
    <n v="62"/>
    <n v="868"/>
    <n v="434"/>
    <n v="434"/>
    <x v="97"/>
    <s v="Corporate &amp; Professional"/>
    <n v="12.545140403858928"/>
    <s v="Neither"/>
    <n v="5"/>
  </r>
  <r>
    <d v="2020-10-26T00:00:00"/>
    <s v="20-1497"/>
    <s v="P053"/>
    <x v="12"/>
    <n v="50"/>
    <n v="25"/>
    <n v="350"/>
    <n v="175"/>
    <n v="175"/>
    <x v="188"/>
    <s v="Healthcare &amp; Safety"/>
    <n v="9.8892508156549788"/>
    <s v="Neither"/>
    <n v="5"/>
  </r>
  <r>
    <d v="2020-10-27T00:00:00"/>
    <s v="20-1505"/>
    <s v="P080"/>
    <x v="6"/>
    <n v="57"/>
    <n v="19"/>
    <n v="342"/>
    <n v="114"/>
    <n v="228"/>
    <x v="291"/>
    <s v="Facilities &amp; Services"/>
    <n v="11.375127981841125"/>
    <s v="Dissatisfied"/>
    <n v="1"/>
  </r>
  <r>
    <d v="2020-10-28T00:00:00"/>
    <s v="20-4240"/>
    <s v="P011"/>
    <x v="8"/>
    <n v="264"/>
    <n v="88"/>
    <n v="3696"/>
    <n v="1232"/>
    <n v="2464"/>
    <x v="150"/>
    <s v="Education"/>
    <n v="12.889576147248359"/>
    <s v="Satisfied"/>
    <n v="10"/>
  </r>
  <r>
    <d v="2020-10-29T00:00:00"/>
    <s v="20-2439"/>
    <s v="P003"/>
    <x v="2"/>
    <n v="189"/>
    <n v="63"/>
    <n v="2457"/>
    <n v="819"/>
    <n v="1638"/>
    <x v="217"/>
    <s v="Education"/>
    <n v="11.862005526237752"/>
    <s v="Satisfied"/>
    <n v="10"/>
  </r>
  <r>
    <d v="2020-10-30T00:00:00"/>
    <s v="20-3557"/>
    <s v="P018"/>
    <x v="17"/>
    <n v="108"/>
    <n v="54"/>
    <n v="108"/>
    <n v="54"/>
    <n v="54"/>
    <x v="19"/>
    <s v="Community &amp; Government"/>
    <n v="15.140903556171683"/>
    <s v="Neither"/>
    <n v="5"/>
  </r>
  <r>
    <d v="2020-10-31T00:00:00"/>
    <s v="20-3357"/>
    <s v="P082"/>
    <x v="2"/>
    <n v="312"/>
    <n v="78"/>
    <n v="4056"/>
    <n v="1014"/>
    <n v="3042"/>
    <x v="268"/>
    <s v="Sports &amp; Recreation"/>
    <n v="11.593991859287692"/>
    <s v="Neither"/>
    <n v="5"/>
  </r>
  <r>
    <d v="2020-11-01T00:00:00"/>
    <s v="20-4697"/>
    <s v="P044"/>
    <x v="13"/>
    <n v="368"/>
    <n v="92"/>
    <n v="3680"/>
    <n v="920"/>
    <n v="2760"/>
    <x v="201"/>
    <s v="Community &amp; Government"/>
    <n v="8.1628930629234038"/>
    <s v="Dissatisfied"/>
    <n v="1"/>
  </r>
  <r>
    <d v="2020-11-02T00:00:00"/>
    <s v="20-2944"/>
    <s v="P034"/>
    <x v="15"/>
    <n v="114"/>
    <n v="57"/>
    <n v="1938"/>
    <n v="969"/>
    <n v="969"/>
    <x v="30"/>
    <s v="Corporate &amp; Professional"/>
    <n v="12.844063202784817"/>
    <s v="Neither"/>
    <n v="5"/>
  </r>
  <r>
    <d v="2020-11-03T00:00:00"/>
    <s v="20-3306"/>
    <s v="P064"/>
    <x v="13"/>
    <n v="231"/>
    <n v="77"/>
    <n v="2310"/>
    <n v="770"/>
    <n v="1540"/>
    <x v="278"/>
    <s v="Facilities &amp; Services"/>
    <n v="12.427459362224146"/>
    <s v="Neither"/>
    <n v="5"/>
  </r>
  <r>
    <d v="2020-11-04T00:00:00"/>
    <s v="20-3911"/>
    <s v="P087"/>
    <x v="0"/>
    <n v="176"/>
    <n v="88"/>
    <n v="2640"/>
    <n v="1320"/>
    <n v="1320"/>
    <x v="134"/>
    <s v="Sports &amp; Recreation"/>
    <n v="12.532428411174646"/>
    <s v="Dissatisfied"/>
    <n v="1"/>
  </r>
  <r>
    <d v="2020-11-05T00:00:00"/>
    <s v="20-4938"/>
    <s v="P009"/>
    <x v="15"/>
    <n v="255"/>
    <n v="85"/>
    <n v="4335"/>
    <n v="1445"/>
    <n v="2890"/>
    <x v="192"/>
    <s v="Healthcare &amp; Safety"/>
    <n v="8.7741864171993527"/>
    <s v="Neither"/>
    <n v="5"/>
  </r>
  <r>
    <d v="2020-11-06T00:00:00"/>
    <s v="20-3717"/>
    <s v="P047"/>
    <x v="2"/>
    <n v="72"/>
    <n v="36"/>
    <n v="936"/>
    <n v="468"/>
    <n v="468"/>
    <x v="136"/>
    <s v="Creative &amp; Technology"/>
    <n v="16.429355109701351"/>
    <s v="Satisfied"/>
    <n v="10"/>
  </r>
  <r>
    <d v="2020-11-07T00:00:00"/>
    <s v="20-1286"/>
    <s v="P047"/>
    <x v="15"/>
    <n v="72"/>
    <n v="36"/>
    <n v="1224"/>
    <n v="612"/>
    <n v="612"/>
    <x v="107"/>
    <s v="Community &amp; Government"/>
    <n v="11.986565560885863"/>
    <s v="Neither"/>
    <n v="5"/>
  </r>
  <r>
    <d v="2020-11-08T00:00:00"/>
    <s v="20-1738"/>
    <s v="P069"/>
    <x v="17"/>
    <n v="150"/>
    <n v="75"/>
    <n v="150"/>
    <n v="75"/>
    <n v="75"/>
    <x v="208"/>
    <s v="Community &amp; Government"/>
    <n v="12.658317415198635"/>
    <s v="Satisfied"/>
    <n v="10"/>
  </r>
  <r>
    <d v="2020-11-09T00:00:00"/>
    <s v="20-2629"/>
    <s v="P063"/>
    <x v="6"/>
    <n v="261"/>
    <n v="87"/>
    <n v="1566"/>
    <n v="522"/>
    <n v="1044"/>
    <x v="152"/>
    <s v="Sports &amp; Recreation"/>
    <n v="11.249825090458803"/>
    <s v="Neither"/>
    <n v="5"/>
  </r>
  <r>
    <d v="2020-11-10T00:00:00"/>
    <s v="20-1941"/>
    <s v="P081"/>
    <x v="8"/>
    <n v="50"/>
    <n v="25"/>
    <n v="700"/>
    <n v="350"/>
    <n v="350"/>
    <x v="16"/>
    <s v="Sports &amp; Recreation"/>
    <n v="12.865074657680612"/>
    <s v="Satisfied"/>
    <n v="10"/>
  </r>
  <r>
    <d v="2020-11-11T00:00:00"/>
    <s v="20-1395"/>
    <s v="P029"/>
    <x v="1"/>
    <n v="300"/>
    <n v="75"/>
    <n v="2400"/>
    <n v="600"/>
    <n v="1800"/>
    <x v="63"/>
    <s v="Sports &amp; Recreation"/>
    <n v="14.030594525378042"/>
    <s v="Satisfied"/>
    <n v="10"/>
  </r>
  <r>
    <d v="2020-11-12T00:00:00"/>
    <s v="20-4696"/>
    <s v="P084"/>
    <x v="9"/>
    <n v="154"/>
    <n v="77"/>
    <n v="3080"/>
    <n v="1540"/>
    <n v="1540"/>
    <x v="169"/>
    <s v="Healthcare &amp; Safety"/>
    <n v="14.341195386574373"/>
    <s v="Dissatisfied"/>
    <n v="1"/>
  </r>
  <r>
    <d v="2020-11-13T00:00:00"/>
    <s v="20-2105"/>
    <s v="P064"/>
    <x v="2"/>
    <n v="231"/>
    <n v="77"/>
    <n v="3003"/>
    <n v="1001"/>
    <n v="2002"/>
    <x v="114"/>
    <s v="Healthcare &amp; Safety"/>
    <n v="14.423322704129969"/>
    <s v="Dissatisfied"/>
    <n v="1"/>
  </r>
  <r>
    <d v="2020-11-14T00:00:00"/>
    <s v="20-2356"/>
    <s v="P070"/>
    <x v="7"/>
    <n v="84"/>
    <n v="21"/>
    <n v="924"/>
    <n v="231"/>
    <n v="693"/>
    <x v="13"/>
    <s v="Sports &amp; Recreation"/>
    <n v="12.163730387337393"/>
    <s v="Neither"/>
    <n v="5"/>
  </r>
  <r>
    <d v="2020-11-15T00:00:00"/>
    <s v="20-2323"/>
    <s v="P018"/>
    <x v="11"/>
    <n v="108"/>
    <n v="54"/>
    <n v="1728"/>
    <n v="864"/>
    <n v="864"/>
    <x v="168"/>
    <s v="Healthcare &amp; Safety"/>
    <n v="9.74650548941427"/>
    <s v="Satisfied"/>
    <n v="10"/>
  </r>
  <r>
    <d v="2020-11-16T00:00:00"/>
    <s v="20-1940"/>
    <s v="P060"/>
    <x v="15"/>
    <n v="300"/>
    <n v="75"/>
    <n v="5100"/>
    <n v="1275"/>
    <n v="3825"/>
    <x v="193"/>
    <s v="Corporate &amp; Professional"/>
    <n v="12.275875773922367"/>
    <s v="Neither"/>
    <n v="5"/>
  </r>
  <r>
    <d v="2020-11-17T00:00:00"/>
    <s v="20-3271"/>
    <s v="P017"/>
    <x v="10"/>
    <n v="120"/>
    <n v="30"/>
    <n v="600"/>
    <n v="150"/>
    <n v="450"/>
    <x v="110"/>
    <s v="Sports &amp; Recreation"/>
    <n v="14.690198582365463"/>
    <s v="Dissatisfied"/>
    <n v="1"/>
  </r>
  <r>
    <d v="2020-11-18T00:00:00"/>
    <s v="20-3862"/>
    <s v="P014"/>
    <x v="18"/>
    <n v="166"/>
    <n v="83"/>
    <n v="2988"/>
    <n v="1494"/>
    <n v="1494"/>
    <x v="147"/>
    <s v="Corporate &amp; Professional"/>
    <n v="9.629298039722805"/>
    <s v="Satisfied"/>
    <n v="10"/>
  </r>
  <r>
    <d v="2020-11-19T00:00:00"/>
    <s v="20-2065"/>
    <s v="P029"/>
    <x v="8"/>
    <n v="300"/>
    <n v="75"/>
    <n v="4200"/>
    <n v="1050"/>
    <n v="3150"/>
    <x v="68"/>
    <s v="Sports &amp; Recreation"/>
    <n v="12.200533931675887"/>
    <s v="Satisfied"/>
    <n v="10"/>
  </r>
  <r>
    <d v="2020-11-20T00:00:00"/>
    <s v="20-4298"/>
    <s v="P100"/>
    <x v="5"/>
    <n v="46"/>
    <n v="23"/>
    <n v="138"/>
    <n v="69"/>
    <n v="69"/>
    <x v="187"/>
    <s v="Creative &amp; Technology"/>
    <n v="13.259563298324382"/>
    <s v="Neither"/>
    <n v="5"/>
  </r>
  <r>
    <d v="2020-11-21T00:00:00"/>
    <s v="20-2546"/>
    <s v="P089"/>
    <x v="7"/>
    <n v="102"/>
    <n v="51"/>
    <n v="1122"/>
    <n v="561"/>
    <n v="561"/>
    <x v="217"/>
    <s v="Education"/>
    <n v="11.862005526237752"/>
    <s v="Dissatisfied"/>
    <n v="1"/>
  </r>
  <r>
    <d v="2020-11-22T00:00:00"/>
    <s v="20-3058"/>
    <s v="P062"/>
    <x v="12"/>
    <n v="348"/>
    <n v="87"/>
    <n v="2436"/>
    <n v="609"/>
    <n v="1827"/>
    <x v="189"/>
    <s v="Community &amp; Government"/>
    <n v="12.954911944548844"/>
    <s v="Satisfied"/>
    <n v="10"/>
  </r>
  <r>
    <d v="2020-11-23T00:00:00"/>
    <s v="20-4854"/>
    <s v="P018"/>
    <x v="4"/>
    <n v="108"/>
    <n v="54"/>
    <n v="216"/>
    <n v="108"/>
    <n v="108"/>
    <x v="53"/>
    <s v="Education"/>
    <n v="13.288482149665386"/>
    <s v="Neither"/>
    <n v="5"/>
  </r>
  <r>
    <d v="2020-11-24T00:00:00"/>
    <s v="20-4632"/>
    <s v="P065"/>
    <x v="13"/>
    <n v="50"/>
    <n v="25"/>
    <n v="500"/>
    <n v="250"/>
    <n v="250"/>
    <x v="162"/>
    <s v="Creative &amp; Technology"/>
    <n v="14.064516999204997"/>
    <s v="Neither"/>
    <n v="5"/>
  </r>
  <r>
    <d v="2020-11-25T00:00:00"/>
    <s v="20-2427"/>
    <s v="P049"/>
    <x v="11"/>
    <n v="356"/>
    <n v="89"/>
    <n v="5696"/>
    <n v="1424"/>
    <n v="4272"/>
    <x v="249"/>
    <s v="Corporate &amp; Professional"/>
    <n v="13.397308081757757"/>
    <s v="Neither"/>
    <n v="5"/>
  </r>
  <r>
    <d v="2020-11-26T00:00:00"/>
    <s v="20-4603"/>
    <s v="P017"/>
    <x v="19"/>
    <n v="120"/>
    <n v="30"/>
    <n v="2280"/>
    <n v="570"/>
    <n v="1710"/>
    <x v="245"/>
    <s v="Sports &amp; Recreation"/>
    <n v="11.816651848338852"/>
    <s v="Satisfied"/>
    <n v="10"/>
  </r>
  <r>
    <d v="2020-11-27T00:00:00"/>
    <s v="20-2901"/>
    <s v="P031"/>
    <x v="5"/>
    <n v="146"/>
    <n v="73"/>
    <n v="438"/>
    <n v="219"/>
    <n v="219"/>
    <x v="281"/>
    <s v="Community &amp; Government"/>
    <n v="13.811876869930865"/>
    <s v="Dissatisfied"/>
    <n v="1"/>
  </r>
  <r>
    <d v="2020-11-28T00:00:00"/>
    <s v="20-3188"/>
    <s v="P008"/>
    <x v="15"/>
    <n v="225"/>
    <n v="75"/>
    <n v="3825"/>
    <n v="1275"/>
    <n v="2550"/>
    <x v="231"/>
    <s v="Facilities &amp; Services"/>
    <n v="14.060995290679429"/>
    <s v="Neither"/>
    <n v="5"/>
  </r>
  <r>
    <d v="2020-11-29T00:00:00"/>
    <s v="20-4400"/>
    <s v="P022"/>
    <x v="10"/>
    <n v="153"/>
    <n v="51"/>
    <n v="765"/>
    <n v="255"/>
    <n v="510"/>
    <x v="259"/>
    <s v="Education"/>
    <n v="15.268550004010105"/>
    <s v="Dissatisfied"/>
    <n v="1"/>
  </r>
  <r>
    <d v="2020-11-30T00:00:00"/>
    <s v="20-4281"/>
    <s v="P048"/>
    <x v="18"/>
    <n v="252"/>
    <n v="63"/>
    <n v="4536"/>
    <n v="1134"/>
    <n v="3402"/>
    <x v="180"/>
    <s v="Community &amp; Government"/>
    <n v="12.045339240427111"/>
    <s v="Satisfied"/>
    <n v="10"/>
  </r>
  <r>
    <d v="2020-12-01T00:00:00"/>
    <s v="20-3085"/>
    <s v="P072"/>
    <x v="12"/>
    <n v="132"/>
    <n v="44"/>
    <n v="924"/>
    <n v="308"/>
    <n v="616"/>
    <x v="133"/>
    <s v="Corporate &amp; Professional"/>
    <n v="5.9872353338051019"/>
    <s v="Dissatisfied"/>
    <n v="1"/>
  </r>
  <r>
    <d v="2020-12-02T00:00:00"/>
    <s v="20-1325"/>
    <s v="P048"/>
    <x v="7"/>
    <n v="252"/>
    <n v="63"/>
    <n v="2772"/>
    <n v="693"/>
    <n v="2079"/>
    <x v="238"/>
    <s v="Education"/>
    <n v="13.275355576494196"/>
    <s v="Satisfied"/>
    <n v="10"/>
  </r>
  <r>
    <d v="2020-12-03T00:00:00"/>
    <s v="20-2127"/>
    <s v="P072"/>
    <x v="4"/>
    <n v="132"/>
    <n v="44"/>
    <n v="264"/>
    <n v="88"/>
    <n v="176"/>
    <x v="217"/>
    <s v="Education"/>
    <n v="11.862005526237752"/>
    <s v="Neither"/>
    <n v="5"/>
  </r>
  <r>
    <d v="2020-12-04T00:00:00"/>
    <s v="20-4205"/>
    <s v="P095"/>
    <x v="12"/>
    <n v="116"/>
    <n v="29"/>
    <n v="812"/>
    <n v="203"/>
    <n v="609"/>
    <x v="169"/>
    <s v="Healthcare &amp; Safety"/>
    <n v="14.341195386574373"/>
    <s v="Dissatisfied"/>
    <n v="1"/>
  </r>
  <r>
    <d v="2020-12-05T00:00:00"/>
    <s v="20-1636"/>
    <s v="P013"/>
    <x v="9"/>
    <n v="58"/>
    <n v="29"/>
    <n v="1160"/>
    <n v="580"/>
    <n v="580"/>
    <x v="290"/>
    <s v="Community &amp; Government"/>
    <n v="15.239568994601312"/>
    <s v="Dissatisfied"/>
    <n v="1"/>
  </r>
  <r>
    <d v="2020-12-06T00:00:00"/>
    <s v="20-2956"/>
    <s v="P012"/>
    <x v="11"/>
    <n v="30"/>
    <n v="15"/>
    <n v="480"/>
    <n v="240"/>
    <n v="240"/>
    <x v="72"/>
    <s v="Community &amp; Government"/>
    <n v="15.458859683514467"/>
    <s v="Neither"/>
    <n v="5"/>
  </r>
  <r>
    <d v="2020-12-07T00:00:00"/>
    <s v="20-1888"/>
    <s v="P083"/>
    <x v="5"/>
    <n v="90"/>
    <n v="45"/>
    <n v="270"/>
    <n v="135"/>
    <n v="135"/>
    <x v="88"/>
    <s v="Facilities &amp; Services"/>
    <n v="14.906846445071711"/>
    <s v="Neither"/>
    <n v="5"/>
  </r>
  <r>
    <d v="2020-12-08T00:00:00"/>
    <s v="20-1418"/>
    <s v="P056"/>
    <x v="9"/>
    <n v="72"/>
    <n v="36"/>
    <n v="1440"/>
    <n v="720"/>
    <n v="720"/>
    <x v="151"/>
    <s v="Sports &amp; Recreation"/>
    <n v="9.458617986208397"/>
    <s v="Satisfied"/>
    <n v="10"/>
  </r>
  <r>
    <d v="2020-12-09T00:00:00"/>
    <s v="20-1582"/>
    <s v="P044"/>
    <x v="8"/>
    <n v="368"/>
    <n v="92"/>
    <n v="5152"/>
    <n v="1288"/>
    <n v="3864"/>
    <x v="110"/>
    <s v="Sports &amp; Recreation"/>
    <n v="14.690198582365463"/>
    <s v="Neither"/>
    <n v="5"/>
  </r>
  <r>
    <d v="2020-12-10T00:00:00"/>
    <s v="20-3237"/>
    <s v="P025"/>
    <x v="7"/>
    <n v="210"/>
    <n v="70"/>
    <n v="2310"/>
    <n v="770"/>
    <n v="1540"/>
    <x v="13"/>
    <s v="Sports &amp; Recreation"/>
    <n v="12.163730387337393"/>
    <s v="Neither"/>
    <n v="5"/>
  </r>
  <r>
    <d v="2020-12-11T00:00:00"/>
    <s v="20-2002"/>
    <s v="P035"/>
    <x v="19"/>
    <n v="144"/>
    <n v="48"/>
    <n v="2736"/>
    <n v="912"/>
    <n v="1824"/>
    <x v="26"/>
    <s v="Sports &amp; Recreation"/>
    <n v="14.16303548174143"/>
    <s v="Neither"/>
    <n v="5"/>
  </r>
  <r>
    <d v="2020-12-12T00:00:00"/>
    <s v="20-1066"/>
    <s v="P080"/>
    <x v="5"/>
    <n v="57"/>
    <n v="19"/>
    <n v="171"/>
    <n v="57"/>
    <n v="114"/>
    <x v="14"/>
    <s v="Creative &amp; Technology"/>
    <n v="13.45980057156361"/>
    <s v="Satisfied"/>
    <n v="10"/>
  </r>
  <r>
    <d v="2020-12-13T00:00:00"/>
    <s v="20-4691"/>
    <s v="P014"/>
    <x v="14"/>
    <n v="166"/>
    <n v="83"/>
    <n v="1992"/>
    <n v="996"/>
    <n v="996"/>
    <x v="285"/>
    <s v="Healthcare &amp; Safety"/>
    <n v="13.2671922973198"/>
    <s v="Satisfied"/>
    <n v="10"/>
  </r>
  <r>
    <d v="2020-12-14T00:00:00"/>
    <s v="20-2793"/>
    <s v="P075"/>
    <x v="17"/>
    <n v="160"/>
    <n v="80"/>
    <n v="160"/>
    <n v="80"/>
    <n v="80"/>
    <x v="36"/>
    <s v="Creative &amp; Technology"/>
    <n v="8.1085102757869372"/>
    <s v="Satisfied"/>
    <n v="10"/>
  </r>
  <r>
    <d v="2020-12-15T00:00:00"/>
    <s v="20-1142"/>
    <s v="P023"/>
    <x v="17"/>
    <n v="126"/>
    <n v="42"/>
    <n v="126"/>
    <n v="42"/>
    <n v="84"/>
    <x v="225"/>
    <s v="Healthcare &amp; Safety"/>
    <n v="9.4608554813364627"/>
    <s v="Neither"/>
    <n v="5"/>
  </r>
  <r>
    <d v="2020-12-16T00:00:00"/>
    <s v="20-3757"/>
    <s v="P082"/>
    <x v="18"/>
    <n v="312"/>
    <n v="78"/>
    <n v="5616"/>
    <n v="1404"/>
    <n v="4212"/>
    <x v="137"/>
    <s v="Facilities &amp; Services"/>
    <n v="15.861056998489449"/>
    <s v="Satisfied"/>
    <n v="10"/>
  </r>
  <r>
    <d v="2020-12-17T00:00:00"/>
    <s v="20-1878"/>
    <s v="P075"/>
    <x v="6"/>
    <n v="160"/>
    <n v="80"/>
    <n v="960"/>
    <n v="480"/>
    <n v="480"/>
    <x v="38"/>
    <s v="Facilities &amp; Services"/>
    <n v="13.378080355059918"/>
    <s v="Neither"/>
    <n v="5"/>
  </r>
  <r>
    <d v="2020-12-18T00:00:00"/>
    <s v="20-2564"/>
    <s v="P070"/>
    <x v="16"/>
    <n v="84"/>
    <n v="21"/>
    <n v="756"/>
    <n v="189"/>
    <n v="567"/>
    <x v="50"/>
    <s v="Creative &amp; Technology"/>
    <n v="12.551203838971933"/>
    <s v="Dissatisfied"/>
    <n v="1"/>
  </r>
  <r>
    <d v="2020-12-19T00:00:00"/>
    <s v="20-3353"/>
    <s v="P057"/>
    <x v="6"/>
    <n v="252"/>
    <n v="63"/>
    <n v="1512"/>
    <n v="378"/>
    <n v="1134"/>
    <x v="72"/>
    <s v="Community &amp; Government"/>
    <n v="15.458859683514467"/>
    <s v="Satisfied"/>
    <n v="10"/>
  </r>
  <r>
    <d v="2020-12-20T00:00:00"/>
    <s v="20-2018"/>
    <s v="P042"/>
    <x v="14"/>
    <n v="50"/>
    <n v="25"/>
    <n v="600"/>
    <n v="300"/>
    <n v="300"/>
    <x v="227"/>
    <s v="Creative &amp; Technology"/>
    <n v="14.308257477047373"/>
    <s v="Dissatisfied"/>
    <n v="1"/>
  </r>
  <r>
    <d v="2020-12-21T00:00:00"/>
    <s v="20-1326"/>
    <s v="P089"/>
    <x v="17"/>
    <n v="102"/>
    <n v="51"/>
    <n v="102"/>
    <n v="51"/>
    <n v="51"/>
    <x v="249"/>
    <s v="Corporate &amp; Professional"/>
    <n v="13.397308081757757"/>
    <s v="Satisfied"/>
    <n v="10"/>
  </r>
  <r>
    <d v="2020-12-22T00:00:00"/>
    <s v="20-3351"/>
    <s v="P071"/>
    <x v="15"/>
    <n v="210"/>
    <n v="70"/>
    <n v="3570"/>
    <n v="1190"/>
    <n v="2380"/>
    <x v="79"/>
    <s v="Facilities &amp; Services"/>
    <n v="12.661538237835474"/>
    <s v="Dissatisfied"/>
    <n v="1"/>
  </r>
  <r>
    <d v="2020-12-23T00:00:00"/>
    <s v="20-3993"/>
    <s v="P031"/>
    <x v="2"/>
    <n v="146"/>
    <n v="73"/>
    <n v="1898"/>
    <n v="949"/>
    <n v="949"/>
    <x v="130"/>
    <s v="Healthcare &amp; Safety"/>
    <n v="13.923194761258239"/>
    <s v="Neither"/>
    <n v="5"/>
  </r>
  <r>
    <d v="2020-12-24T00:00:00"/>
    <s v="20-1482"/>
    <s v="P016"/>
    <x v="19"/>
    <n v="110"/>
    <n v="55"/>
    <n v="2090"/>
    <n v="1045"/>
    <n v="1045"/>
    <x v="109"/>
    <s v="Sports &amp; Recreation"/>
    <n v="13.092530646074781"/>
    <s v="Satisfied"/>
    <n v="10"/>
  </r>
  <r>
    <d v="2020-12-25T00:00:00"/>
    <s v="20-2429"/>
    <s v="P045"/>
    <x v="6"/>
    <n v="100"/>
    <n v="25"/>
    <n v="600"/>
    <n v="150"/>
    <n v="450"/>
    <x v="260"/>
    <s v="Creative &amp; Technology"/>
    <n v="10.588336269016523"/>
    <s v="Dissatisfied"/>
    <n v="1"/>
  </r>
  <r>
    <d v="2020-12-26T00:00:00"/>
    <s v="20-3528"/>
    <s v="P026"/>
    <x v="2"/>
    <n v="280"/>
    <n v="70"/>
    <n v="3640"/>
    <n v="910"/>
    <n v="2730"/>
    <x v="61"/>
    <s v="Education"/>
    <n v="13.697485557052493"/>
    <s v="Neither"/>
    <n v="5"/>
  </r>
  <r>
    <d v="2020-12-27T00:00:00"/>
    <s v="20-3210"/>
    <s v="P006"/>
    <x v="17"/>
    <n v="38"/>
    <n v="19"/>
    <n v="38"/>
    <n v="19"/>
    <n v="19"/>
    <x v="222"/>
    <s v="Community &amp; Government"/>
    <n v="13.095446915421235"/>
    <s v="Neither"/>
    <n v="5"/>
  </r>
  <r>
    <d v="2020-12-28T00:00:00"/>
    <s v="20-3630"/>
    <s v="P058"/>
    <x v="17"/>
    <n v="356"/>
    <n v="89"/>
    <n v="356"/>
    <n v="89"/>
    <n v="267"/>
    <x v="286"/>
    <s v="Community &amp; Government"/>
    <n v="10.826646539963521"/>
    <s v="Satisfied"/>
    <n v="10"/>
  </r>
  <r>
    <d v="2020-12-29T00:00:00"/>
    <s v="20-3243"/>
    <s v="P012"/>
    <x v="11"/>
    <n v="30"/>
    <n v="15"/>
    <n v="480"/>
    <n v="240"/>
    <n v="240"/>
    <x v="257"/>
    <s v="Creative &amp; Technology"/>
    <n v="9.9471686551317795"/>
    <s v="Satisfied"/>
    <n v="10"/>
  </r>
  <r>
    <d v="2020-12-30T00:00:00"/>
    <s v="20-2220"/>
    <s v="P043"/>
    <x v="3"/>
    <n v="184"/>
    <n v="92"/>
    <n v="736"/>
    <n v="368"/>
    <n v="368"/>
    <x v="292"/>
    <s v="Creative &amp; Technology"/>
    <n v="13.537350739681813"/>
    <s v="Dissatisfied"/>
    <n v="1"/>
  </r>
  <r>
    <d v="2020-12-31T00:00:00"/>
    <s v="20-3777"/>
    <s v="P052"/>
    <x v="5"/>
    <n v="352"/>
    <n v="88"/>
    <n v="1056"/>
    <n v="264"/>
    <n v="792"/>
    <x v="154"/>
    <s v="Sports &amp; Recreation"/>
    <n v="8.8878868765808274"/>
    <s v="Neither"/>
    <n v="5"/>
  </r>
  <r>
    <d v="2021-01-01T00:00:00"/>
    <s v="21-1037"/>
    <s v="P025"/>
    <x v="9"/>
    <n v="210"/>
    <n v="70"/>
    <n v="4200"/>
    <n v="1400"/>
    <n v="2800"/>
    <x v="62"/>
    <s v="Education"/>
    <n v="12.396052160428608"/>
    <s v="Satisfied"/>
    <n v="10"/>
  </r>
  <r>
    <d v="2021-01-02T00:00:00"/>
    <s v="21-1746"/>
    <s v="P012"/>
    <x v="15"/>
    <n v="30"/>
    <n v="15"/>
    <n v="510"/>
    <n v="255"/>
    <n v="255"/>
    <x v="27"/>
    <s v="Healthcare &amp; Safety"/>
    <n v="10.42743035829395"/>
    <s v="Dissatisfied"/>
    <n v="1"/>
  </r>
  <r>
    <d v="2021-01-03T00:00:00"/>
    <s v="21-4128"/>
    <s v="P012"/>
    <x v="4"/>
    <n v="30"/>
    <n v="15"/>
    <n v="60"/>
    <n v="30"/>
    <n v="30"/>
    <x v="279"/>
    <s v="Corporate &amp; Professional"/>
    <n v="6.221489120484736"/>
    <s v="Dissatisfied"/>
    <n v="1"/>
  </r>
  <r>
    <d v="2021-01-04T00:00:00"/>
    <s v="21-3624"/>
    <s v="P043"/>
    <x v="15"/>
    <n v="184"/>
    <n v="92"/>
    <n v="3128"/>
    <n v="1564"/>
    <n v="1564"/>
    <x v="2"/>
    <s v="Facilities &amp; Services"/>
    <n v="9.3226775515721787"/>
    <s v="Neither"/>
    <n v="5"/>
  </r>
  <r>
    <d v="2021-01-05T00:00:00"/>
    <s v="21-1653"/>
    <s v="P001"/>
    <x v="14"/>
    <n v="108"/>
    <n v="36"/>
    <n v="1296"/>
    <n v="432"/>
    <n v="864"/>
    <x v="275"/>
    <s v="Healthcare &amp; Safety"/>
    <n v="10.428287009858728"/>
    <s v="Neither"/>
    <n v="5"/>
  </r>
  <r>
    <d v="2021-01-06T00:00:00"/>
    <s v="21-3233"/>
    <s v="P050"/>
    <x v="19"/>
    <n v="108"/>
    <n v="36"/>
    <n v="2052"/>
    <n v="684"/>
    <n v="1368"/>
    <x v="13"/>
    <s v="Sports &amp; Recreation"/>
    <n v="12.163730387337393"/>
    <s v="Neither"/>
    <n v="5"/>
  </r>
  <r>
    <d v="2021-01-07T00:00:00"/>
    <s v="21-2113"/>
    <s v="P037"/>
    <x v="4"/>
    <n v="160"/>
    <n v="80"/>
    <n v="320"/>
    <n v="160"/>
    <n v="160"/>
    <x v="2"/>
    <s v="Facilities &amp; Services"/>
    <n v="9.3226775515721787"/>
    <s v="Neither"/>
    <n v="5"/>
  </r>
  <r>
    <d v="2021-01-08T00:00:00"/>
    <s v="21-2091"/>
    <s v="P020"/>
    <x v="4"/>
    <n v="180"/>
    <n v="45"/>
    <n v="360"/>
    <n v="90"/>
    <n v="270"/>
    <x v="288"/>
    <s v="Sports &amp; Recreation"/>
    <n v="10.78374703625888"/>
    <s v="Neither"/>
    <n v="5"/>
  </r>
  <r>
    <d v="2021-01-09T00:00:00"/>
    <s v="21-3995"/>
    <s v="P041"/>
    <x v="7"/>
    <n v="144"/>
    <n v="36"/>
    <n v="1584"/>
    <n v="396"/>
    <n v="1188"/>
    <x v="46"/>
    <s v="Healthcare &amp; Safety"/>
    <n v="11.36085047138285"/>
    <s v="Dissatisfied"/>
    <n v="1"/>
  </r>
  <r>
    <d v="2021-01-10T00:00:00"/>
    <s v="21-4572"/>
    <s v="P056"/>
    <x v="1"/>
    <n v="72"/>
    <n v="36"/>
    <n v="576"/>
    <n v="288"/>
    <n v="288"/>
    <x v="188"/>
    <s v="Healthcare &amp; Safety"/>
    <n v="9.8892508156549788"/>
    <s v="Satisfied"/>
    <n v="10"/>
  </r>
  <r>
    <d v="2021-01-11T00:00:00"/>
    <s v="21-3495"/>
    <s v="P078"/>
    <x v="6"/>
    <n v="225"/>
    <n v="75"/>
    <n v="1350"/>
    <n v="450"/>
    <n v="900"/>
    <x v="119"/>
    <s v="Education"/>
    <n v="12.456740895640767"/>
    <s v="Neither"/>
    <n v="5"/>
  </r>
  <r>
    <d v="2021-01-12T00:00:00"/>
    <s v="21-3972"/>
    <s v="P009"/>
    <x v="18"/>
    <n v="255"/>
    <n v="85"/>
    <n v="4590"/>
    <n v="1530"/>
    <n v="3060"/>
    <x v="245"/>
    <s v="Sports &amp; Recreation"/>
    <n v="11.816651848338852"/>
    <s v="Dissatisfied"/>
    <n v="1"/>
  </r>
  <r>
    <d v="2021-01-13T00:00:00"/>
    <s v="21-2949"/>
    <s v="P031"/>
    <x v="5"/>
    <n v="146"/>
    <n v="73"/>
    <n v="438"/>
    <n v="219"/>
    <n v="219"/>
    <x v="36"/>
    <s v="Creative &amp; Technology"/>
    <n v="8.1085102757869372"/>
    <s v="Neither"/>
    <n v="5"/>
  </r>
  <r>
    <d v="2021-01-14T00:00:00"/>
    <s v="21-4018"/>
    <s v="P097"/>
    <x v="4"/>
    <n v="92"/>
    <n v="46"/>
    <n v="184"/>
    <n v="92"/>
    <n v="92"/>
    <x v="157"/>
    <s v="Corporate &amp; Professional"/>
    <n v="13.917704159139552"/>
    <s v="Satisfied"/>
    <n v="10"/>
  </r>
  <r>
    <d v="2021-01-15T00:00:00"/>
    <s v="21-1354"/>
    <s v="P072"/>
    <x v="6"/>
    <n v="132"/>
    <n v="44"/>
    <n v="792"/>
    <n v="264"/>
    <n v="528"/>
    <x v="226"/>
    <s v="Community &amp; Government"/>
    <n v="11.927799225928501"/>
    <s v="Neither"/>
    <n v="5"/>
  </r>
  <r>
    <d v="2021-01-16T00:00:00"/>
    <s v="21-1596"/>
    <s v="P031"/>
    <x v="0"/>
    <n v="146"/>
    <n v="73"/>
    <n v="2190"/>
    <n v="1095"/>
    <n v="1095"/>
    <x v="234"/>
    <s v="Creative &amp; Technology"/>
    <n v="12.990345718839325"/>
    <s v="Neither"/>
    <n v="5"/>
  </r>
  <r>
    <d v="2021-01-17T00:00:00"/>
    <s v="21-4477"/>
    <s v="P072"/>
    <x v="18"/>
    <n v="132"/>
    <n v="44"/>
    <n v="2376"/>
    <n v="792"/>
    <n v="1584"/>
    <x v="137"/>
    <s v="Facilities &amp; Services"/>
    <n v="15.861056998489449"/>
    <s v="Neither"/>
    <n v="5"/>
  </r>
  <r>
    <d v="2021-01-18T00:00:00"/>
    <s v="21-1386"/>
    <s v="P040"/>
    <x v="2"/>
    <n v="160"/>
    <n v="80"/>
    <n v="2080"/>
    <n v="1040"/>
    <n v="1040"/>
    <x v="211"/>
    <s v="Healthcare &amp; Safety"/>
    <n v="13.106678263594747"/>
    <s v="Neither"/>
    <n v="5"/>
  </r>
  <r>
    <d v="2021-01-19T00:00:00"/>
    <s v="21-3091"/>
    <s v="P091"/>
    <x v="7"/>
    <n v="204"/>
    <n v="51"/>
    <n v="2244"/>
    <n v="561"/>
    <n v="1683"/>
    <x v="100"/>
    <s v="Sports &amp; Recreation"/>
    <n v="10.132922049221957"/>
    <s v="Satisfied"/>
    <n v="10"/>
  </r>
  <r>
    <d v="2021-01-20T00:00:00"/>
    <s v="21-2544"/>
    <s v="P015"/>
    <x v="10"/>
    <n v="176"/>
    <n v="88"/>
    <n v="880"/>
    <n v="440"/>
    <n v="440"/>
    <x v="172"/>
    <s v="Healthcare &amp; Safety"/>
    <n v="11.563724686003232"/>
    <s v="Neither"/>
    <n v="5"/>
  </r>
  <r>
    <d v="2021-01-21T00:00:00"/>
    <s v="21-4229"/>
    <s v="P014"/>
    <x v="0"/>
    <n v="166"/>
    <n v="83"/>
    <n v="2490"/>
    <n v="1245"/>
    <n v="1245"/>
    <x v="177"/>
    <s v="Creative &amp; Technology"/>
    <n v="14.66147716237918"/>
    <s v="Neither"/>
    <n v="5"/>
  </r>
  <r>
    <d v="2021-01-22T00:00:00"/>
    <s v="21-2181"/>
    <s v="P012"/>
    <x v="16"/>
    <n v="30"/>
    <n v="15"/>
    <n v="270"/>
    <n v="135"/>
    <n v="135"/>
    <x v="165"/>
    <s v="Creative &amp; Technology"/>
    <n v="13.929237493388955"/>
    <s v="Dissatisfied"/>
    <n v="1"/>
  </r>
  <r>
    <d v="2021-01-23T00:00:00"/>
    <s v="21-3362"/>
    <s v="P053"/>
    <x v="9"/>
    <n v="50"/>
    <n v="25"/>
    <n v="1000"/>
    <n v="500"/>
    <n v="500"/>
    <x v="66"/>
    <s v="Facilities &amp; Services"/>
    <n v="12.172922939334034"/>
    <s v="Neither"/>
    <n v="5"/>
  </r>
  <r>
    <d v="2021-01-24T00:00:00"/>
    <s v="21-4036"/>
    <s v="P033"/>
    <x v="5"/>
    <n v="57"/>
    <n v="19"/>
    <n v="171"/>
    <n v="57"/>
    <n v="114"/>
    <x v="236"/>
    <s v="Creative &amp; Technology"/>
    <n v="13.827196127590291"/>
    <s v="Dissatisfied"/>
    <n v="1"/>
  </r>
  <r>
    <d v="2021-01-25T00:00:00"/>
    <s v="21-3859"/>
    <s v="P098"/>
    <x v="16"/>
    <n v="201"/>
    <n v="67"/>
    <n v="1809"/>
    <n v="603"/>
    <n v="1206"/>
    <x v="290"/>
    <s v="Community &amp; Government"/>
    <n v="15.239568994601312"/>
    <s v="Dissatisfied"/>
    <n v="1"/>
  </r>
  <r>
    <d v="2021-01-26T00:00:00"/>
    <s v="21-1104"/>
    <s v="P074"/>
    <x v="5"/>
    <n v="352"/>
    <n v="88"/>
    <n v="1056"/>
    <n v="264"/>
    <n v="792"/>
    <x v="260"/>
    <s v="Creative &amp; Technology"/>
    <n v="10.588336269016523"/>
    <s v="Neither"/>
    <n v="5"/>
  </r>
  <r>
    <d v="2021-01-27T00:00:00"/>
    <s v="21-2675"/>
    <s v="P001"/>
    <x v="15"/>
    <n v="108"/>
    <n v="36"/>
    <n v="1836"/>
    <n v="612"/>
    <n v="1224"/>
    <x v="166"/>
    <s v="Healthcare &amp; Safety"/>
    <n v="10.112765954734209"/>
    <s v="Neither"/>
    <n v="5"/>
  </r>
  <r>
    <d v="2021-01-28T00:00:00"/>
    <s v="21-4526"/>
    <s v="P045"/>
    <x v="5"/>
    <n v="100"/>
    <n v="25"/>
    <n v="300"/>
    <n v="75"/>
    <n v="225"/>
    <x v="234"/>
    <s v="Creative &amp; Technology"/>
    <n v="12.990345718839325"/>
    <s v="Neither"/>
    <n v="5"/>
  </r>
  <r>
    <d v="2021-01-29T00:00:00"/>
    <s v="21-1784"/>
    <s v="P020"/>
    <x v="2"/>
    <n v="180"/>
    <n v="45"/>
    <n v="2340"/>
    <n v="585"/>
    <n v="1755"/>
    <x v="66"/>
    <s v="Facilities &amp; Services"/>
    <n v="12.172922939334034"/>
    <s v="Dissatisfied"/>
    <n v="1"/>
  </r>
  <r>
    <d v="2021-01-30T00:00:00"/>
    <s v="21-1443"/>
    <s v="P021"/>
    <x v="7"/>
    <n v="207"/>
    <n v="69"/>
    <n v="2277"/>
    <n v="759"/>
    <n v="1518"/>
    <x v="167"/>
    <s v="Healthcare &amp; Safety"/>
    <n v="16.695690968264284"/>
    <s v="Neither"/>
    <n v="5"/>
  </r>
  <r>
    <d v="2021-01-31T00:00:00"/>
    <s v="21-1361"/>
    <s v="P041"/>
    <x v="8"/>
    <n v="144"/>
    <n v="36"/>
    <n v="2016"/>
    <n v="504"/>
    <n v="1512"/>
    <x v="73"/>
    <s v="Creative &amp; Technology"/>
    <n v="15.234329552872023"/>
    <s v="Neither"/>
    <n v="5"/>
  </r>
  <r>
    <d v="2021-02-01T00:00:00"/>
    <s v="21-3825"/>
    <s v="P041"/>
    <x v="19"/>
    <n v="144"/>
    <n v="36"/>
    <n v="2736"/>
    <n v="684"/>
    <n v="2052"/>
    <x v="206"/>
    <s v="Community &amp; Government"/>
    <n v="12.699042739101285"/>
    <s v="Dissatisfied"/>
    <n v="1"/>
  </r>
  <r>
    <d v="2021-02-02T00:00:00"/>
    <s v="21-3023"/>
    <s v="P073"/>
    <x v="16"/>
    <n v="48"/>
    <n v="24"/>
    <n v="432"/>
    <n v="216"/>
    <n v="216"/>
    <x v="217"/>
    <s v="Education"/>
    <n v="11.862005526237752"/>
    <s v="Neither"/>
    <n v="5"/>
  </r>
  <r>
    <d v="2021-02-03T00:00:00"/>
    <s v="21-3616"/>
    <s v="P061"/>
    <x v="19"/>
    <n v="264"/>
    <n v="88"/>
    <n v="5016"/>
    <n v="1672"/>
    <n v="3344"/>
    <x v="145"/>
    <s v="Sports &amp; Recreation"/>
    <n v="7.9963422143733238"/>
    <s v="Neither"/>
    <n v="5"/>
  </r>
  <r>
    <d v="2021-02-04T00:00:00"/>
    <s v="21-2324"/>
    <s v="P094"/>
    <x v="15"/>
    <n v="80"/>
    <n v="20"/>
    <n v="1360"/>
    <n v="340"/>
    <n v="1020"/>
    <x v="170"/>
    <s v="Sports &amp; Recreation"/>
    <n v="10.037135914792184"/>
    <s v="Neither"/>
    <n v="5"/>
  </r>
  <r>
    <d v="2021-02-05T00:00:00"/>
    <s v="21-4742"/>
    <s v="P063"/>
    <x v="0"/>
    <n v="261"/>
    <n v="87"/>
    <n v="3915"/>
    <n v="1305"/>
    <n v="2610"/>
    <x v="33"/>
    <s v="Healthcare &amp; Safety"/>
    <n v="7.1104128275166252"/>
    <s v="Neither"/>
    <n v="5"/>
  </r>
  <r>
    <d v="2021-02-06T00:00:00"/>
    <s v="21-1086"/>
    <s v="P034"/>
    <x v="13"/>
    <n v="114"/>
    <n v="57"/>
    <n v="1140"/>
    <n v="570"/>
    <n v="570"/>
    <x v="40"/>
    <s v="Corporate &amp; Professional"/>
    <n v="14.370283356317486"/>
    <s v="Satisfied"/>
    <n v="10"/>
  </r>
  <r>
    <d v="2021-02-07T00:00:00"/>
    <s v="21-3140"/>
    <s v="P033"/>
    <x v="10"/>
    <n v="57"/>
    <n v="19"/>
    <n v="285"/>
    <n v="95"/>
    <n v="190"/>
    <x v="10"/>
    <s v="Education"/>
    <n v="12.957303170959879"/>
    <s v="Neither"/>
    <n v="5"/>
  </r>
  <r>
    <d v="2021-02-08T00:00:00"/>
    <s v="21-2064"/>
    <s v="P066"/>
    <x v="6"/>
    <n v="34"/>
    <n v="17"/>
    <n v="204"/>
    <n v="102"/>
    <n v="102"/>
    <x v="21"/>
    <s v="Facilities &amp; Services"/>
    <n v="13.717776078041958"/>
    <s v="Neither"/>
    <n v="5"/>
  </r>
  <r>
    <d v="2021-02-09T00:00:00"/>
    <s v="21-3401"/>
    <s v="P081"/>
    <x v="12"/>
    <n v="50"/>
    <n v="25"/>
    <n v="350"/>
    <n v="175"/>
    <n v="175"/>
    <x v="18"/>
    <s v="Sports &amp; Recreation"/>
    <n v="12.072414596936037"/>
    <s v="Dissatisfied"/>
    <n v="1"/>
  </r>
  <r>
    <d v="2021-02-10T00:00:00"/>
    <s v="21-1286"/>
    <s v="P006"/>
    <x v="11"/>
    <n v="38"/>
    <n v="19"/>
    <n v="608"/>
    <n v="304"/>
    <n v="304"/>
    <x v="169"/>
    <s v="Healthcare &amp; Safety"/>
    <n v="14.341195386574373"/>
    <s v="Neither"/>
    <n v="5"/>
  </r>
  <r>
    <d v="2021-02-11T00:00:00"/>
    <s v="21-1919"/>
    <s v="P018"/>
    <x v="15"/>
    <n v="108"/>
    <n v="54"/>
    <n v="1836"/>
    <n v="918"/>
    <n v="918"/>
    <x v="231"/>
    <s v="Facilities &amp; Services"/>
    <n v="14.060995290679429"/>
    <s v="Neither"/>
    <n v="5"/>
  </r>
  <r>
    <d v="2021-02-12T00:00:00"/>
    <s v="21-4906"/>
    <s v="P009"/>
    <x v="10"/>
    <n v="255"/>
    <n v="85"/>
    <n v="1275"/>
    <n v="425"/>
    <n v="850"/>
    <x v="0"/>
    <s v="Corporate &amp; Professional"/>
    <n v="10.278063859084313"/>
    <s v="Neither"/>
    <n v="5"/>
  </r>
  <r>
    <d v="2021-02-13T00:00:00"/>
    <s v="21-3407"/>
    <s v="P038"/>
    <x v="6"/>
    <n v="240"/>
    <n v="80"/>
    <n v="1440"/>
    <n v="480"/>
    <n v="960"/>
    <x v="221"/>
    <s v="Community &amp; Government"/>
    <n v="13.611804647345796"/>
    <s v="Neither"/>
    <n v="5"/>
  </r>
  <r>
    <d v="2021-02-14T00:00:00"/>
    <s v="21-4256"/>
    <s v="P084"/>
    <x v="9"/>
    <n v="154"/>
    <n v="77"/>
    <n v="3080"/>
    <n v="1540"/>
    <n v="1540"/>
    <x v="196"/>
    <s v="Community &amp; Government"/>
    <n v="12.869841591513939"/>
    <s v="Neither"/>
    <n v="5"/>
  </r>
  <r>
    <d v="2021-02-15T00:00:00"/>
    <s v="21-1930"/>
    <s v="P046"/>
    <x v="8"/>
    <n v="38"/>
    <n v="19"/>
    <n v="532"/>
    <n v="266"/>
    <n v="266"/>
    <x v="21"/>
    <s v="Facilities &amp; Services"/>
    <n v="13.717776078041958"/>
    <s v="Satisfied"/>
    <n v="10"/>
  </r>
  <r>
    <d v="2021-02-16T00:00:00"/>
    <s v="21-2875"/>
    <s v="P069"/>
    <x v="0"/>
    <n v="150"/>
    <n v="75"/>
    <n v="2250"/>
    <n v="1125"/>
    <n v="1125"/>
    <x v="24"/>
    <s v="Sports &amp; Recreation"/>
    <n v="14.697745043716761"/>
    <s v="Satisfied"/>
    <n v="10"/>
  </r>
  <r>
    <d v="2021-02-17T00:00:00"/>
    <s v="21-2182"/>
    <s v="P016"/>
    <x v="14"/>
    <n v="110"/>
    <n v="55"/>
    <n v="1320"/>
    <n v="660"/>
    <n v="660"/>
    <x v="210"/>
    <s v="Corporate &amp; Professional"/>
    <n v="10.411813357023924"/>
    <s v="Neither"/>
    <n v="5"/>
  </r>
  <r>
    <d v="2021-02-18T00:00:00"/>
    <s v="21-4165"/>
    <s v="P090"/>
    <x v="14"/>
    <n v="57"/>
    <n v="19"/>
    <n v="684"/>
    <n v="228"/>
    <n v="456"/>
    <x v="140"/>
    <s v="Education"/>
    <n v="13.332534707865639"/>
    <s v="Neither"/>
    <n v="5"/>
  </r>
  <r>
    <d v="2021-02-19T00:00:00"/>
    <s v="21-2173"/>
    <s v="P034"/>
    <x v="16"/>
    <n v="114"/>
    <n v="57"/>
    <n v="1026"/>
    <n v="513"/>
    <n v="513"/>
    <x v="260"/>
    <s v="Creative &amp; Technology"/>
    <n v="10.588336269016523"/>
    <s v="Satisfied"/>
    <n v="10"/>
  </r>
  <r>
    <d v="2021-02-20T00:00:00"/>
    <s v="21-2105"/>
    <s v="P047"/>
    <x v="10"/>
    <n v="72"/>
    <n v="36"/>
    <n v="360"/>
    <n v="180"/>
    <n v="180"/>
    <x v="276"/>
    <s v="Education"/>
    <n v="10.518436853046438"/>
    <s v="Neither"/>
    <n v="5"/>
  </r>
  <r>
    <d v="2021-02-21T00:00:00"/>
    <s v="21-4195"/>
    <s v="P002"/>
    <x v="1"/>
    <n v="144"/>
    <n v="36"/>
    <n v="1152"/>
    <n v="288"/>
    <n v="864"/>
    <x v="39"/>
    <s v="Creative &amp; Technology"/>
    <n v="11.841063669683448"/>
    <s v="Satisfied"/>
    <n v="10"/>
  </r>
  <r>
    <d v="2021-02-22T00:00:00"/>
    <s v="21-2511"/>
    <s v="P083"/>
    <x v="8"/>
    <n v="90"/>
    <n v="45"/>
    <n v="1260"/>
    <n v="630"/>
    <n v="630"/>
    <x v="23"/>
    <s v="Healthcare &amp; Safety"/>
    <n v="13.407340878370247"/>
    <s v="Neither"/>
    <n v="5"/>
  </r>
  <r>
    <d v="2021-02-23T00:00:00"/>
    <s v="21-2145"/>
    <s v="P051"/>
    <x v="16"/>
    <n v="135"/>
    <n v="45"/>
    <n v="1215"/>
    <n v="405"/>
    <n v="810"/>
    <x v="232"/>
    <s v="Corporate &amp; Professional"/>
    <n v="11.816654396440285"/>
    <s v="Neither"/>
    <n v="5"/>
  </r>
  <r>
    <d v="2021-02-24T00:00:00"/>
    <s v="21-1634"/>
    <s v="P001"/>
    <x v="18"/>
    <n v="108"/>
    <n v="36"/>
    <n v="1944"/>
    <n v="648"/>
    <n v="1296"/>
    <x v="71"/>
    <s v="Corporate &amp; Professional"/>
    <n v="11.274864741138284"/>
    <s v="Neither"/>
    <n v="5"/>
  </r>
  <r>
    <d v="2021-02-25T00:00:00"/>
    <s v="21-2808"/>
    <s v="P050"/>
    <x v="6"/>
    <n v="108"/>
    <n v="36"/>
    <n v="648"/>
    <n v="216"/>
    <n v="432"/>
    <x v="130"/>
    <s v="Healthcare &amp; Safety"/>
    <n v="13.923194761258239"/>
    <s v="Neither"/>
    <n v="5"/>
  </r>
  <r>
    <d v="2021-02-26T00:00:00"/>
    <s v="21-3382"/>
    <s v="P052"/>
    <x v="10"/>
    <n v="352"/>
    <n v="88"/>
    <n v="1760"/>
    <n v="440"/>
    <n v="1320"/>
    <x v="44"/>
    <s v="Corporate &amp; Professional"/>
    <n v="9.9311000381363836"/>
    <s v="Satisfied"/>
    <n v="10"/>
  </r>
  <r>
    <d v="2021-02-27T00:00:00"/>
    <s v="21-2816"/>
    <s v="P059"/>
    <x v="10"/>
    <n v="267"/>
    <n v="89"/>
    <n v="1335"/>
    <n v="445"/>
    <n v="890"/>
    <x v="205"/>
    <s v="Facilities &amp; Services"/>
    <n v="10.434860153112215"/>
    <s v="Neither"/>
    <n v="5"/>
  </r>
  <r>
    <d v="2021-02-28T00:00:00"/>
    <s v="21-1802"/>
    <s v="P100"/>
    <x v="10"/>
    <n v="46"/>
    <n v="23"/>
    <n v="230"/>
    <n v="115"/>
    <n v="115"/>
    <x v="88"/>
    <s v="Facilities &amp; Services"/>
    <n v="14.906846445071711"/>
    <s v="Dissatisfied"/>
    <n v="1"/>
  </r>
  <r>
    <d v="2021-03-01T00:00:00"/>
    <s v="21-3748"/>
    <s v="P050"/>
    <x v="5"/>
    <n v="108"/>
    <n v="36"/>
    <n v="324"/>
    <n v="108"/>
    <n v="216"/>
    <x v="18"/>
    <s v="Sports &amp; Recreation"/>
    <n v="12.072414596936037"/>
    <s v="Dissatisfied"/>
    <n v="1"/>
  </r>
  <r>
    <d v="2021-03-02T00:00:00"/>
    <s v="21-3867"/>
    <s v="P083"/>
    <x v="13"/>
    <n v="90"/>
    <n v="45"/>
    <n v="900"/>
    <n v="450"/>
    <n v="450"/>
    <x v="88"/>
    <s v="Facilities &amp; Services"/>
    <n v="14.906846445071711"/>
    <s v="Neither"/>
    <n v="5"/>
  </r>
  <r>
    <d v="2021-03-03T00:00:00"/>
    <s v="21-1700"/>
    <s v="P034"/>
    <x v="3"/>
    <n v="114"/>
    <n v="57"/>
    <n v="456"/>
    <n v="228"/>
    <n v="228"/>
    <x v="94"/>
    <s v="Corporate &amp; Professional"/>
    <n v="9.0350666811770921"/>
    <s v="Neither"/>
    <n v="5"/>
  </r>
  <r>
    <d v="2021-03-04T00:00:00"/>
    <s v="21-2760"/>
    <s v="P088"/>
    <x v="16"/>
    <n v="192"/>
    <n v="96"/>
    <n v="1728"/>
    <n v="864"/>
    <n v="864"/>
    <x v="264"/>
    <s v="Education"/>
    <n v="10.818241047231139"/>
    <s v="Neither"/>
    <n v="5"/>
  </r>
  <r>
    <d v="2021-03-05T00:00:00"/>
    <s v="21-4027"/>
    <s v="P018"/>
    <x v="11"/>
    <n v="108"/>
    <n v="54"/>
    <n v="1728"/>
    <n v="864"/>
    <n v="864"/>
    <x v="163"/>
    <s v="Corporate &amp; Professional"/>
    <n v="14.554851510602212"/>
    <s v="Satisfied"/>
    <n v="10"/>
  </r>
  <r>
    <d v="2021-03-06T00:00:00"/>
    <s v="21-4516"/>
    <s v="P098"/>
    <x v="18"/>
    <n v="201"/>
    <n v="67"/>
    <n v="3618"/>
    <n v="1206"/>
    <n v="2412"/>
    <x v="99"/>
    <s v="Healthcare &amp; Safety"/>
    <n v="12.148236977735172"/>
    <s v="Neither"/>
    <n v="5"/>
  </r>
  <r>
    <d v="2021-03-07T00:00:00"/>
    <s v="21-3681"/>
    <s v="P067"/>
    <x v="15"/>
    <n v="144"/>
    <n v="36"/>
    <n v="2448"/>
    <n v="612"/>
    <n v="1836"/>
    <x v="212"/>
    <s v="Sports &amp; Recreation"/>
    <n v="11.443503623244197"/>
    <s v="Dissatisfied"/>
    <n v="1"/>
  </r>
  <r>
    <d v="2021-03-08T00:00:00"/>
    <s v="21-4310"/>
    <s v="P040"/>
    <x v="19"/>
    <n v="160"/>
    <n v="80"/>
    <n v="3040"/>
    <n v="1520"/>
    <n v="1520"/>
    <x v="154"/>
    <s v="Sports &amp; Recreation"/>
    <n v="8.8878868765808274"/>
    <s v="Neither"/>
    <n v="5"/>
  </r>
  <r>
    <d v="2021-03-09T00:00:00"/>
    <s v="21-4457"/>
    <s v="P066"/>
    <x v="19"/>
    <n v="34"/>
    <n v="17"/>
    <n v="646"/>
    <n v="323"/>
    <n v="323"/>
    <x v="66"/>
    <s v="Facilities &amp; Services"/>
    <n v="12.172922939334034"/>
    <s v="Neither"/>
    <n v="5"/>
  </r>
  <r>
    <d v="2021-03-10T00:00:00"/>
    <s v="21-1181"/>
    <s v="P052"/>
    <x v="6"/>
    <n v="352"/>
    <n v="88"/>
    <n v="2112"/>
    <n v="528"/>
    <n v="1584"/>
    <x v="120"/>
    <s v="Education"/>
    <n v="9.4239783062860578"/>
    <s v="Neither"/>
    <n v="5"/>
  </r>
  <r>
    <d v="2021-03-11T00:00:00"/>
    <s v="21-4957"/>
    <s v="P043"/>
    <x v="2"/>
    <n v="184"/>
    <n v="92"/>
    <n v="2392"/>
    <n v="1196"/>
    <n v="1196"/>
    <x v="59"/>
    <s v="Creative &amp; Technology"/>
    <n v="10.980884286450312"/>
    <s v="Dissatisfied"/>
    <n v="1"/>
  </r>
  <r>
    <d v="2021-03-12T00:00:00"/>
    <s v="21-3689"/>
    <s v="P079"/>
    <x v="12"/>
    <n v="188"/>
    <n v="94"/>
    <n v="1316"/>
    <n v="658"/>
    <n v="658"/>
    <x v="204"/>
    <s v="Corporate &amp; Professional"/>
    <n v="10.248947386022252"/>
    <s v="Neither"/>
    <n v="5"/>
  </r>
  <r>
    <d v="2021-03-13T00:00:00"/>
    <s v="21-2364"/>
    <s v="P099"/>
    <x v="11"/>
    <n v="132"/>
    <n v="33"/>
    <n v="2112"/>
    <n v="528"/>
    <n v="1584"/>
    <x v="107"/>
    <s v="Community &amp; Government"/>
    <n v="11.986565560885863"/>
    <s v="Neither"/>
    <n v="5"/>
  </r>
  <r>
    <d v="2021-03-14T00:00:00"/>
    <s v="21-1790"/>
    <s v="P033"/>
    <x v="11"/>
    <n v="57"/>
    <n v="19"/>
    <n v="912"/>
    <n v="304"/>
    <n v="608"/>
    <x v="126"/>
    <s v="Creative &amp; Technology"/>
    <n v="12.399050786131125"/>
    <s v="Neither"/>
    <n v="5"/>
  </r>
  <r>
    <d v="2021-03-15T00:00:00"/>
    <s v="21-4775"/>
    <s v="P058"/>
    <x v="18"/>
    <n v="356"/>
    <n v="89"/>
    <n v="6408"/>
    <n v="1602"/>
    <n v="4806"/>
    <x v="28"/>
    <s v="Sports &amp; Recreation"/>
    <n v="11.006397834696006"/>
    <s v="Dissatisfied"/>
    <n v="1"/>
  </r>
  <r>
    <d v="2021-03-16T00:00:00"/>
    <s v="21-4079"/>
    <s v="P093"/>
    <x v="3"/>
    <n v="384"/>
    <n v="96"/>
    <n v="1536"/>
    <n v="384"/>
    <n v="1152"/>
    <x v="226"/>
    <s v="Community &amp; Government"/>
    <n v="11.927799225928501"/>
    <s v="Neither"/>
    <n v="5"/>
  </r>
  <r>
    <d v="2021-03-17T00:00:00"/>
    <s v="21-2885"/>
    <s v="P067"/>
    <x v="17"/>
    <n v="144"/>
    <n v="36"/>
    <n v="144"/>
    <n v="36"/>
    <n v="108"/>
    <x v="194"/>
    <s v="Community &amp; Government"/>
    <n v="9.879282537628514"/>
    <s v="Neither"/>
    <n v="5"/>
  </r>
  <r>
    <d v="2021-03-18T00:00:00"/>
    <s v="21-2134"/>
    <s v="P041"/>
    <x v="15"/>
    <n v="144"/>
    <n v="36"/>
    <n v="2448"/>
    <n v="612"/>
    <n v="1836"/>
    <x v="18"/>
    <s v="Sports &amp; Recreation"/>
    <n v="12.072414596936037"/>
    <s v="Satisfied"/>
    <n v="10"/>
  </r>
  <r>
    <d v="2021-03-19T00:00:00"/>
    <s v="21-1177"/>
    <s v="P057"/>
    <x v="2"/>
    <n v="252"/>
    <n v="63"/>
    <n v="3276"/>
    <n v="819"/>
    <n v="2457"/>
    <x v="15"/>
    <s v="Community &amp; Government"/>
    <n v="11.631646244583138"/>
    <s v="Neither"/>
    <n v="5"/>
  </r>
  <r>
    <d v="2021-03-20T00:00:00"/>
    <s v="21-2644"/>
    <s v="P098"/>
    <x v="5"/>
    <n v="201"/>
    <n v="67"/>
    <n v="603"/>
    <n v="201"/>
    <n v="402"/>
    <x v="42"/>
    <s v="Community &amp; Government"/>
    <n v="10.216282609482219"/>
    <s v="Dissatisfied"/>
    <n v="1"/>
  </r>
  <r>
    <d v="2021-03-21T00:00:00"/>
    <s v="21-1267"/>
    <s v="P019"/>
    <x v="4"/>
    <n v="308"/>
    <n v="77"/>
    <n v="616"/>
    <n v="154"/>
    <n v="462"/>
    <x v="78"/>
    <s v="Education"/>
    <n v="11.756374828790458"/>
    <s v="Neither"/>
    <n v="5"/>
  </r>
  <r>
    <d v="2021-03-22T00:00:00"/>
    <s v="21-1383"/>
    <s v="P052"/>
    <x v="4"/>
    <n v="352"/>
    <n v="88"/>
    <n v="704"/>
    <n v="176"/>
    <n v="528"/>
    <x v="245"/>
    <s v="Sports &amp; Recreation"/>
    <n v="11.816651848338852"/>
    <s v="Satisfied"/>
    <n v="10"/>
  </r>
  <r>
    <d v="2021-03-23T00:00:00"/>
    <s v="21-3768"/>
    <s v="P067"/>
    <x v="18"/>
    <n v="144"/>
    <n v="36"/>
    <n v="2592"/>
    <n v="648"/>
    <n v="1944"/>
    <x v="69"/>
    <s v="Healthcare &amp; Safety"/>
    <n v="9.3014286057233697"/>
    <s v="Neither"/>
    <n v="5"/>
  </r>
  <r>
    <d v="2021-03-24T00:00:00"/>
    <s v="21-4674"/>
    <s v="P083"/>
    <x v="14"/>
    <n v="90"/>
    <n v="45"/>
    <n v="1080"/>
    <n v="540"/>
    <n v="540"/>
    <x v="76"/>
    <s v="Community &amp; Government"/>
    <n v="12.796588406005421"/>
    <s v="Neither"/>
    <n v="5"/>
  </r>
  <r>
    <d v="2021-03-25T00:00:00"/>
    <s v="21-3259"/>
    <s v="P010"/>
    <x v="8"/>
    <n v="144"/>
    <n v="36"/>
    <n v="2016"/>
    <n v="504"/>
    <n v="1512"/>
    <x v="213"/>
    <s v="Healthcare &amp; Safety"/>
    <n v="16.148992525516267"/>
    <s v="Neither"/>
    <n v="5"/>
  </r>
  <r>
    <d v="2021-03-26T00:00:00"/>
    <s v="21-2984"/>
    <s v="P005"/>
    <x v="16"/>
    <n v="76"/>
    <n v="19"/>
    <n v="684"/>
    <n v="171"/>
    <n v="513"/>
    <x v="47"/>
    <s v="Healthcare &amp; Safety"/>
    <n v="11.727497850343074"/>
    <s v="Satisfied"/>
    <n v="10"/>
  </r>
  <r>
    <d v="2021-03-27T00:00:00"/>
    <s v="21-1576"/>
    <s v="P065"/>
    <x v="15"/>
    <n v="50"/>
    <n v="25"/>
    <n v="850"/>
    <n v="425"/>
    <n v="425"/>
    <x v="12"/>
    <s v="Creative &amp; Technology"/>
    <n v="9.8384363471888783"/>
    <s v="Dissatisfied"/>
    <n v="1"/>
  </r>
  <r>
    <d v="2021-03-28T00:00:00"/>
    <s v="21-2046"/>
    <s v="P051"/>
    <x v="7"/>
    <n v="135"/>
    <n v="45"/>
    <n v="1485"/>
    <n v="495"/>
    <n v="990"/>
    <x v="280"/>
    <s v="Education"/>
    <n v="9.1264071155960682"/>
    <s v="Dissatisfied"/>
    <n v="1"/>
  </r>
  <r>
    <d v="2021-03-29T00:00:00"/>
    <s v="21-4197"/>
    <s v="P004"/>
    <x v="3"/>
    <n v="189"/>
    <n v="63"/>
    <n v="756"/>
    <n v="252"/>
    <n v="504"/>
    <x v="114"/>
    <s v="Healthcare &amp; Safety"/>
    <n v="14.423322704129969"/>
    <s v="Neither"/>
    <n v="5"/>
  </r>
  <r>
    <d v="2021-03-30T00:00:00"/>
    <s v="21-4284"/>
    <s v="P022"/>
    <x v="5"/>
    <n v="153"/>
    <n v="51"/>
    <n v="459"/>
    <n v="153"/>
    <n v="306"/>
    <x v="229"/>
    <s v="Sports &amp; Recreation"/>
    <n v="11.417996201106442"/>
    <s v="Neither"/>
    <n v="5"/>
  </r>
  <r>
    <d v="2021-03-31T00:00:00"/>
    <s v="21-4721"/>
    <s v="P079"/>
    <x v="17"/>
    <n v="188"/>
    <n v="94"/>
    <n v="188"/>
    <n v="94"/>
    <n v="94"/>
    <x v="174"/>
    <s v="Corporate &amp; Professional"/>
    <n v="12.921682080641304"/>
    <s v="Satisfied"/>
    <n v="10"/>
  </r>
  <r>
    <d v="2021-04-01T00:00:00"/>
    <s v="21-1612"/>
    <s v="P032"/>
    <x v="8"/>
    <n v="92"/>
    <n v="46"/>
    <n v="1288"/>
    <n v="644"/>
    <n v="644"/>
    <x v="139"/>
    <s v="Creative &amp; Technology"/>
    <n v="15.770846827234339"/>
    <s v="Satisfied"/>
    <n v="10"/>
  </r>
  <r>
    <d v="2021-04-02T00:00:00"/>
    <s v="21-3268"/>
    <s v="P057"/>
    <x v="13"/>
    <n v="252"/>
    <n v="63"/>
    <n v="2520"/>
    <n v="630"/>
    <n v="1890"/>
    <x v="92"/>
    <s v="Education"/>
    <n v="11.99399163482429"/>
    <s v="Neither"/>
    <n v="5"/>
  </r>
  <r>
    <d v="2021-04-03T00:00:00"/>
    <s v="21-4679"/>
    <s v="P066"/>
    <x v="4"/>
    <n v="34"/>
    <n v="17"/>
    <n v="68"/>
    <n v="34"/>
    <n v="34"/>
    <x v="69"/>
    <s v="Healthcare &amp; Safety"/>
    <n v="9.3014286057233697"/>
    <s v="Neither"/>
    <n v="5"/>
  </r>
  <r>
    <d v="2021-04-04T00:00:00"/>
    <s v="21-4426"/>
    <s v="P040"/>
    <x v="2"/>
    <n v="160"/>
    <n v="80"/>
    <n v="2080"/>
    <n v="1040"/>
    <n v="1040"/>
    <x v="130"/>
    <s v="Healthcare &amp; Safety"/>
    <n v="13.923194761258239"/>
    <s v="Neither"/>
    <n v="5"/>
  </r>
  <r>
    <d v="2021-04-05T00:00:00"/>
    <s v="21-3506"/>
    <s v="P081"/>
    <x v="3"/>
    <n v="50"/>
    <n v="25"/>
    <n v="200"/>
    <n v="100"/>
    <n v="100"/>
    <x v="264"/>
    <s v="Education"/>
    <n v="10.818241047231139"/>
    <s v="Satisfied"/>
    <n v="10"/>
  </r>
  <r>
    <d v="2021-04-06T00:00:00"/>
    <s v="21-3950"/>
    <s v="P048"/>
    <x v="0"/>
    <n v="252"/>
    <n v="63"/>
    <n v="3780"/>
    <n v="945"/>
    <n v="2835"/>
    <x v="223"/>
    <s v="Education"/>
    <n v="11.661237375491201"/>
    <s v="Neither"/>
    <n v="5"/>
  </r>
  <r>
    <d v="2021-04-07T00:00:00"/>
    <s v="21-1162"/>
    <s v="P094"/>
    <x v="19"/>
    <n v="80"/>
    <n v="20"/>
    <n v="1520"/>
    <n v="380"/>
    <n v="1140"/>
    <x v="160"/>
    <s v="Creative &amp; Technology"/>
    <n v="8.8514729234790472"/>
    <s v="Neither"/>
    <n v="5"/>
  </r>
  <r>
    <d v="2021-04-08T00:00:00"/>
    <s v="21-1311"/>
    <s v="P049"/>
    <x v="19"/>
    <n v="356"/>
    <n v="89"/>
    <n v="6764"/>
    <n v="1691"/>
    <n v="5073"/>
    <x v="83"/>
    <s v="Sports &amp; Recreation"/>
    <n v="11.504886852416154"/>
    <s v="Dissatisfied"/>
    <n v="1"/>
  </r>
  <r>
    <d v="2021-04-09T00:00:00"/>
    <s v="21-1587"/>
    <s v="P030"/>
    <x v="13"/>
    <n v="81"/>
    <n v="27"/>
    <n v="810"/>
    <n v="270"/>
    <n v="540"/>
    <x v="46"/>
    <s v="Healthcare &amp; Safety"/>
    <n v="11.36085047138285"/>
    <s v="Neither"/>
    <n v="5"/>
  </r>
  <r>
    <d v="2021-04-10T00:00:00"/>
    <s v="21-4222"/>
    <s v="P003"/>
    <x v="8"/>
    <n v="189"/>
    <n v="63"/>
    <n v="2646"/>
    <n v="882"/>
    <n v="1764"/>
    <x v="200"/>
    <s v="Community &amp; Government"/>
    <n v="12.460490918487697"/>
    <s v="Neither"/>
    <n v="5"/>
  </r>
  <r>
    <d v="2021-04-11T00:00:00"/>
    <s v="21-1732"/>
    <s v="P085"/>
    <x v="6"/>
    <n v="320"/>
    <n v="80"/>
    <n v="1920"/>
    <n v="480"/>
    <n v="1440"/>
    <x v="69"/>
    <s v="Healthcare &amp; Safety"/>
    <n v="9.3014286057233697"/>
    <s v="Neither"/>
    <n v="5"/>
  </r>
  <r>
    <d v="2021-04-12T00:00:00"/>
    <s v="21-2471"/>
    <s v="P039"/>
    <x v="17"/>
    <n v="270"/>
    <n v="90"/>
    <n v="270"/>
    <n v="90"/>
    <n v="180"/>
    <x v="20"/>
    <s v="Education"/>
    <n v="15.12637675023732"/>
    <s v="Neither"/>
    <n v="5"/>
  </r>
  <r>
    <d v="2021-04-13T00:00:00"/>
    <s v="21-1916"/>
    <s v="P011"/>
    <x v="19"/>
    <n v="264"/>
    <n v="88"/>
    <n v="5016"/>
    <n v="1672"/>
    <n v="3344"/>
    <x v="237"/>
    <s v="Creative &amp; Technology"/>
    <n v="11.485823039755857"/>
    <s v="Satisfied"/>
    <n v="10"/>
  </r>
  <r>
    <d v="2021-04-14T00:00:00"/>
    <s v="21-1972"/>
    <s v="P099"/>
    <x v="5"/>
    <n v="132"/>
    <n v="33"/>
    <n v="396"/>
    <n v="99"/>
    <n v="297"/>
    <x v="139"/>
    <s v="Creative &amp; Technology"/>
    <n v="15.770846827234339"/>
    <s v="Neither"/>
    <n v="5"/>
  </r>
  <r>
    <d v="2021-04-15T00:00:00"/>
    <s v="21-1426"/>
    <s v="P001"/>
    <x v="13"/>
    <n v="108"/>
    <n v="36"/>
    <n v="1080"/>
    <n v="360"/>
    <n v="720"/>
    <x v="273"/>
    <s v="Corporate &amp; Professional"/>
    <n v="11.971065679104063"/>
    <s v="Neither"/>
    <n v="5"/>
  </r>
  <r>
    <d v="2021-04-16T00:00:00"/>
    <s v="21-2087"/>
    <s v="P072"/>
    <x v="3"/>
    <n v="132"/>
    <n v="44"/>
    <n v="528"/>
    <n v="176"/>
    <n v="352"/>
    <x v="205"/>
    <s v="Facilities &amp; Services"/>
    <n v="10.434860153112215"/>
    <s v="Neither"/>
    <n v="5"/>
  </r>
  <r>
    <d v="2021-04-17T00:00:00"/>
    <s v="21-1459"/>
    <s v="P005"/>
    <x v="11"/>
    <n v="76"/>
    <n v="19"/>
    <n v="1216"/>
    <n v="304"/>
    <n v="912"/>
    <x v="162"/>
    <s v="Creative &amp; Technology"/>
    <n v="14.064516999204997"/>
    <s v="Dissatisfied"/>
    <n v="1"/>
  </r>
  <r>
    <d v="2021-04-18T00:00:00"/>
    <s v="21-4008"/>
    <s v="P009"/>
    <x v="3"/>
    <n v="255"/>
    <n v="85"/>
    <n v="1020"/>
    <n v="340"/>
    <n v="680"/>
    <x v="286"/>
    <s v="Community &amp; Government"/>
    <n v="10.826646539963521"/>
    <s v="Dissatisfied"/>
    <n v="1"/>
  </r>
  <r>
    <d v="2021-04-19T00:00:00"/>
    <s v="21-3837"/>
    <s v="P023"/>
    <x v="19"/>
    <n v="126"/>
    <n v="42"/>
    <n v="2394"/>
    <n v="798"/>
    <n v="1596"/>
    <x v="109"/>
    <s v="Sports &amp; Recreation"/>
    <n v="13.092530646074781"/>
    <s v="Dissatisfied"/>
    <n v="1"/>
  </r>
  <r>
    <d v="2021-04-20T00:00:00"/>
    <s v="21-2095"/>
    <s v="P018"/>
    <x v="11"/>
    <n v="108"/>
    <n v="54"/>
    <n v="1728"/>
    <n v="864"/>
    <n v="864"/>
    <x v="192"/>
    <s v="Healthcare &amp; Safety"/>
    <n v="8.7741864171993527"/>
    <s v="Neither"/>
    <n v="5"/>
  </r>
  <r>
    <d v="2021-04-21T00:00:00"/>
    <s v="21-1918"/>
    <s v="P093"/>
    <x v="12"/>
    <n v="384"/>
    <n v="96"/>
    <n v="2688"/>
    <n v="672"/>
    <n v="2016"/>
    <x v="158"/>
    <s v="Creative &amp; Technology"/>
    <n v="15.207985888346794"/>
    <s v="Neither"/>
    <n v="5"/>
  </r>
  <r>
    <d v="2021-04-22T00:00:00"/>
    <s v="21-4648"/>
    <s v="P019"/>
    <x v="16"/>
    <n v="308"/>
    <n v="77"/>
    <n v="2772"/>
    <n v="693"/>
    <n v="2079"/>
    <x v="219"/>
    <s v="Facilities &amp; Services"/>
    <n v="11.289144410898391"/>
    <s v="Neither"/>
    <n v="5"/>
  </r>
  <r>
    <d v="2021-04-23T00:00:00"/>
    <s v="21-1109"/>
    <s v="P077"/>
    <x v="8"/>
    <n v="162"/>
    <n v="54"/>
    <n v="2268"/>
    <n v="756"/>
    <n v="1512"/>
    <x v="231"/>
    <s v="Facilities &amp; Services"/>
    <n v="14.060995290679429"/>
    <s v="Neither"/>
    <n v="5"/>
  </r>
  <r>
    <d v="2021-04-24T00:00:00"/>
    <s v="21-4373"/>
    <s v="P001"/>
    <x v="8"/>
    <n v="108"/>
    <n v="36"/>
    <n v="1512"/>
    <n v="504"/>
    <n v="1008"/>
    <x v="285"/>
    <s v="Healthcare &amp; Safety"/>
    <n v="13.2671922973198"/>
    <s v="Neither"/>
    <n v="5"/>
  </r>
  <r>
    <d v="2021-04-25T00:00:00"/>
    <s v="21-3153"/>
    <s v="P044"/>
    <x v="3"/>
    <n v="368"/>
    <n v="92"/>
    <n v="1472"/>
    <n v="368"/>
    <n v="1104"/>
    <x v="92"/>
    <s v="Education"/>
    <n v="11.99399163482429"/>
    <s v="Dissatisfied"/>
    <n v="1"/>
  </r>
  <r>
    <d v="2021-04-26T00:00:00"/>
    <s v="21-1817"/>
    <s v="P085"/>
    <x v="0"/>
    <n v="320"/>
    <n v="80"/>
    <n v="4800"/>
    <n v="1200"/>
    <n v="3600"/>
    <x v="90"/>
    <s v="Healthcare &amp; Safety"/>
    <n v="7.0114620475168028"/>
    <s v="Neither"/>
    <n v="5"/>
  </r>
  <r>
    <d v="2021-04-27T00:00:00"/>
    <s v="21-3758"/>
    <s v="P090"/>
    <x v="17"/>
    <n v="57"/>
    <n v="19"/>
    <n v="57"/>
    <n v="19"/>
    <n v="38"/>
    <x v="50"/>
    <s v="Creative &amp; Technology"/>
    <n v="12.551203838971933"/>
    <s v="Neither"/>
    <n v="5"/>
  </r>
  <r>
    <d v="2021-04-28T00:00:00"/>
    <s v="21-1915"/>
    <s v="P077"/>
    <x v="2"/>
    <n v="162"/>
    <n v="54"/>
    <n v="2106"/>
    <n v="702"/>
    <n v="1404"/>
    <x v="153"/>
    <s v="Corporate &amp; Professional"/>
    <n v="11.799431383856128"/>
    <s v="Satisfied"/>
    <n v="10"/>
  </r>
  <r>
    <d v="2021-04-29T00:00:00"/>
    <s v="21-3423"/>
    <s v="P045"/>
    <x v="15"/>
    <n v="100"/>
    <n v="25"/>
    <n v="1700"/>
    <n v="425"/>
    <n v="1275"/>
    <x v="106"/>
    <s v="Facilities &amp; Services"/>
    <n v="13.518413464873573"/>
    <s v="Neither"/>
    <n v="5"/>
  </r>
  <r>
    <d v="2021-04-30T00:00:00"/>
    <s v="21-1787"/>
    <s v="P068"/>
    <x v="10"/>
    <n v="300"/>
    <n v="75"/>
    <n v="1500"/>
    <n v="375"/>
    <n v="1125"/>
    <x v="175"/>
    <s v="Creative &amp; Technology"/>
    <n v="13.150536103258979"/>
    <s v="Satisfied"/>
    <n v="10"/>
  </r>
  <r>
    <d v="2021-05-01T00:00:00"/>
    <s v="21-4747"/>
    <s v="P097"/>
    <x v="15"/>
    <n v="92"/>
    <n v="46"/>
    <n v="1564"/>
    <n v="782"/>
    <n v="782"/>
    <x v="7"/>
    <s v="Healthcare &amp; Safety"/>
    <n v="11.048444680405545"/>
    <s v="Dissatisfied"/>
    <n v="1"/>
  </r>
  <r>
    <d v="2021-05-02T00:00:00"/>
    <s v="21-1696"/>
    <s v="P008"/>
    <x v="2"/>
    <n v="225"/>
    <n v="75"/>
    <n v="2925"/>
    <n v="975"/>
    <n v="1950"/>
    <x v="117"/>
    <s v="Corporate &amp; Professional"/>
    <n v="11.687634894637348"/>
    <s v="Satisfied"/>
    <n v="10"/>
  </r>
  <r>
    <d v="2021-05-03T00:00:00"/>
    <s v="21-1393"/>
    <s v="P003"/>
    <x v="5"/>
    <n v="189"/>
    <n v="63"/>
    <n v="567"/>
    <n v="189"/>
    <n v="378"/>
    <x v="280"/>
    <s v="Education"/>
    <n v="9.1264071155960682"/>
    <s v="Satisfied"/>
    <n v="10"/>
  </r>
  <r>
    <d v="2021-05-04T00:00:00"/>
    <s v="21-2722"/>
    <s v="P012"/>
    <x v="5"/>
    <n v="30"/>
    <n v="15"/>
    <n v="90"/>
    <n v="45"/>
    <n v="45"/>
    <x v="92"/>
    <s v="Education"/>
    <n v="11.99399163482429"/>
    <s v="Neither"/>
    <n v="5"/>
  </r>
  <r>
    <d v="2021-05-05T00:00:00"/>
    <s v="21-2909"/>
    <s v="P001"/>
    <x v="16"/>
    <n v="108"/>
    <n v="36"/>
    <n v="972"/>
    <n v="324"/>
    <n v="648"/>
    <x v="156"/>
    <s v="Healthcare &amp; Safety"/>
    <n v="12.801144805697081"/>
    <s v="Neither"/>
    <n v="5"/>
  </r>
  <r>
    <d v="2021-05-06T00:00:00"/>
    <s v="21-3914"/>
    <s v="P037"/>
    <x v="14"/>
    <n v="160"/>
    <n v="80"/>
    <n v="1920"/>
    <n v="960"/>
    <n v="960"/>
    <x v="65"/>
    <s v="Healthcare &amp; Safety"/>
    <n v="14.377134310720955"/>
    <s v="Neither"/>
    <n v="5"/>
  </r>
  <r>
    <d v="2021-05-07T00:00:00"/>
    <s v="21-4978"/>
    <s v="P001"/>
    <x v="8"/>
    <n v="108"/>
    <n v="36"/>
    <n v="1512"/>
    <n v="504"/>
    <n v="1008"/>
    <x v="279"/>
    <s v="Corporate &amp; Professional"/>
    <n v="6.221489120484736"/>
    <s v="Dissatisfied"/>
    <n v="1"/>
  </r>
  <r>
    <d v="2021-05-08T00:00:00"/>
    <s v="21-2013"/>
    <s v="P052"/>
    <x v="2"/>
    <n v="352"/>
    <n v="88"/>
    <n v="4576"/>
    <n v="1144"/>
    <n v="3432"/>
    <x v="271"/>
    <s v="Sports &amp; Recreation"/>
    <n v="13.601235361661526"/>
    <s v="Satisfied"/>
    <n v="10"/>
  </r>
  <r>
    <d v="2021-05-09T00:00:00"/>
    <s v="21-3200"/>
    <s v="P087"/>
    <x v="4"/>
    <n v="176"/>
    <n v="88"/>
    <n v="352"/>
    <n v="176"/>
    <n v="176"/>
    <x v="9"/>
    <s v="Sports &amp; Recreation"/>
    <n v="15.602184182549776"/>
    <s v="Neither"/>
    <n v="5"/>
  </r>
  <r>
    <d v="2021-05-10T00:00:00"/>
    <s v="21-4645"/>
    <s v="P024"/>
    <x v="11"/>
    <n v="66"/>
    <n v="33"/>
    <n v="1056"/>
    <n v="528"/>
    <n v="528"/>
    <x v="157"/>
    <s v="Corporate &amp; Professional"/>
    <n v="13.917704159139552"/>
    <s v="Satisfied"/>
    <n v="10"/>
  </r>
  <r>
    <d v="2021-05-11T00:00:00"/>
    <s v="21-4306"/>
    <s v="P068"/>
    <x v="17"/>
    <n v="300"/>
    <n v="75"/>
    <n v="300"/>
    <n v="75"/>
    <n v="225"/>
    <x v="118"/>
    <s v="Community &amp; Government"/>
    <n v="15.60430546146185"/>
    <s v="Neither"/>
    <n v="5"/>
  </r>
  <r>
    <d v="2021-05-12T00:00:00"/>
    <s v="21-4186"/>
    <s v="P029"/>
    <x v="18"/>
    <n v="300"/>
    <n v="75"/>
    <n v="5400"/>
    <n v="1350"/>
    <n v="4050"/>
    <x v="145"/>
    <s v="Sports &amp; Recreation"/>
    <n v="7.9963422143733238"/>
    <s v="Dissatisfied"/>
    <n v="1"/>
  </r>
  <r>
    <d v="2021-05-13T00:00:00"/>
    <s v="21-3942"/>
    <s v="P074"/>
    <x v="8"/>
    <n v="352"/>
    <n v="88"/>
    <n v="4928"/>
    <n v="1232"/>
    <n v="3696"/>
    <x v="119"/>
    <s v="Education"/>
    <n v="12.456740895640767"/>
    <s v="Neither"/>
    <n v="5"/>
  </r>
  <r>
    <d v="2021-05-14T00:00:00"/>
    <s v="21-3096"/>
    <s v="P085"/>
    <x v="0"/>
    <n v="320"/>
    <n v="80"/>
    <n v="4800"/>
    <n v="1200"/>
    <n v="3600"/>
    <x v="30"/>
    <s v="Corporate &amp; Professional"/>
    <n v="12.844063202784817"/>
    <s v="Neither"/>
    <n v="5"/>
  </r>
  <r>
    <d v="2021-05-15T00:00:00"/>
    <s v="21-4609"/>
    <s v="P096"/>
    <x v="4"/>
    <n v="144"/>
    <n v="48"/>
    <n v="288"/>
    <n v="96"/>
    <n v="192"/>
    <x v="48"/>
    <s v="Creative &amp; Technology"/>
    <n v="11.939773463335372"/>
    <s v="Neither"/>
    <n v="5"/>
  </r>
  <r>
    <d v="2021-05-16T00:00:00"/>
    <s v="21-2042"/>
    <s v="P020"/>
    <x v="17"/>
    <n v="180"/>
    <n v="45"/>
    <n v="180"/>
    <n v="45"/>
    <n v="135"/>
    <x v="104"/>
    <s v="Facilities &amp; Services"/>
    <n v="11.769293993029555"/>
    <s v="Neither"/>
    <n v="5"/>
  </r>
  <r>
    <d v="2021-05-17T00:00:00"/>
    <s v="21-2509"/>
    <s v="P023"/>
    <x v="5"/>
    <n v="126"/>
    <n v="42"/>
    <n v="378"/>
    <n v="126"/>
    <n v="252"/>
    <x v="201"/>
    <s v="Community &amp; Government"/>
    <n v="8.1628930629234038"/>
    <s v="Neither"/>
    <n v="5"/>
  </r>
  <r>
    <d v="2021-05-18T00:00:00"/>
    <s v="21-2521"/>
    <s v="P005"/>
    <x v="17"/>
    <n v="76"/>
    <n v="19"/>
    <n v="76"/>
    <n v="19"/>
    <n v="57"/>
    <x v="69"/>
    <s v="Healthcare &amp; Safety"/>
    <n v="9.3014286057233697"/>
    <s v="Neither"/>
    <n v="5"/>
  </r>
  <r>
    <d v="2021-05-19T00:00:00"/>
    <s v="21-4807"/>
    <s v="P021"/>
    <x v="12"/>
    <n v="207"/>
    <n v="69"/>
    <n v="1449"/>
    <n v="483"/>
    <n v="966"/>
    <x v="217"/>
    <s v="Education"/>
    <n v="11.862005526237752"/>
    <s v="Satisfied"/>
    <n v="10"/>
  </r>
  <r>
    <d v="2021-05-20T00:00:00"/>
    <s v="21-2187"/>
    <s v="P088"/>
    <x v="11"/>
    <n v="192"/>
    <n v="96"/>
    <n v="3072"/>
    <n v="1536"/>
    <n v="1536"/>
    <x v="56"/>
    <s v="Corporate &amp; Professional"/>
    <n v="12.007834550770397"/>
    <s v="Neither"/>
    <n v="5"/>
  </r>
  <r>
    <d v="2021-05-21T00:00:00"/>
    <s v="21-2788"/>
    <s v="P080"/>
    <x v="7"/>
    <n v="57"/>
    <n v="19"/>
    <n v="627"/>
    <n v="209"/>
    <n v="418"/>
    <x v="6"/>
    <s v="Creative &amp; Technology"/>
    <n v="11.749993886708426"/>
    <s v="Neither"/>
    <n v="5"/>
  </r>
  <r>
    <d v="2021-05-22T00:00:00"/>
    <s v="21-4853"/>
    <s v="P023"/>
    <x v="14"/>
    <n v="126"/>
    <n v="42"/>
    <n v="1512"/>
    <n v="504"/>
    <n v="1008"/>
    <x v="189"/>
    <s v="Community &amp; Government"/>
    <n v="12.954911944548844"/>
    <s v="Satisfied"/>
    <n v="10"/>
  </r>
  <r>
    <d v="2021-05-23T00:00:00"/>
    <s v="21-4502"/>
    <s v="P053"/>
    <x v="7"/>
    <n v="50"/>
    <n v="25"/>
    <n v="550"/>
    <n v="275"/>
    <n v="275"/>
    <x v="34"/>
    <s v="Sports &amp; Recreation"/>
    <n v="11.406233913305266"/>
    <s v="Neither"/>
    <n v="5"/>
  </r>
  <r>
    <d v="2021-05-24T00:00:00"/>
    <s v="21-4449"/>
    <s v="P098"/>
    <x v="7"/>
    <n v="201"/>
    <n v="67"/>
    <n v="2211"/>
    <n v="737"/>
    <n v="1474"/>
    <x v="18"/>
    <s v="Sports &amp; Recreation"/>
    <n v="12.072414596936037"/>
    <s v="Neither"/>
    <n v="5"/>
  </r>
  <r>
    <d v="2021-05-25T00:00:00"/>
    <s v="21-1419"/>
    <s v="P089"/>
    <x v="12"/>
    <n v="102"/>
    <n v="51"/>
    <n v="714"/>
    <n v="357"/>
    <n v="357"/>
    <x v="88"/>
    <s v="Facilities &amp; Services"/>
    <n v="14.906846445071711"/>
    <s v="Neither"/>
    <n v="5"/>
  </r>
  <r>
    <d v="2021-05-26T00:00:00"/>
    <s v="21-2632"/>
    <s v="P025"/>
    <x v="7"/>
    <n v="210"/>
    <n v="70"/>
    <n v="2310"/>
    <n v="770"/>
    <n v="1540"/>
    <x v="240"/>
    <s v="Sports &amp; Recreation"/>
    <n v="12.701325659159139"/>
    <s v="Neither"/>
    <n v="5"/>
  </r>
  <r>
    <d v="2021-05-27T00:00:00"/>
    <s v="21-1059"/>
    <s v="P021"/>
    <x v="3"/>
    <n v="207"/>
    <n v="69"/>
    <n v="828"/>
    <n v="276"/>
    <n v="552"/>
    <x v="227"/>
    <s v="Creative &amp; Technology"/>
    <n v="14.308257477047373"/>
    <s v="Neither"/>
    <n v="5"/>
  </r>
  <r>
    <d v="2021-05-28T00:00:00"/>
    <s v="21-3055"/>
    <s v="P061"/>
    <x v="16"/>
    <n v="264"/>
    <n v="88"/>
    <n v="2376"/>
    <n v="792"/>
    <n v="1584"/>
    <x v="116"/>
    <s v="Education"/>
    <n v="12.299779975023837"/>
    <s v="Satisfied"/>
    <n v="10"/>
  </r>
  <r>
    <d v="2021-05-29T00:00:00"/>
    <s v="21-1428"/>
    <s v="P061"/>
    <x v="8"/>
    <n v="264"/>
    <n v="88"/>
    <n v="3696"/>
    <n v="1232"/>
    <n v="2464"/>
    <x v="10"/>
    <s v="Education"/>
    <n v="12.957303170959879"/>
    <s v="Neither"/>
    <n v="5"/>
  </r>
  <r>
    <d v="2021-05-30T00:00:00"/>
    <s v="21-4040"/>
    <s v="P046"/>
    <x v="3"/>
    <n v="38"/>
    <n v="19"/>
    <n v="152"/>
    <n v="76"/>
    <n v="76"/>
    <x v="137"/>
    <s v="Facilities &amp; Services"/>
    <n v="15.861056998489449"/>
    <s v="Neither"/>
    <n v="5"/>
  </r>
  <r>
    <d v="2021-05-31T00:00:00"/>
    <s v="21-4554"/>
    <s v="P091"/>
    <x v="11"/>
    <n v="204"/>
    <n v="51"/>
    <n v="3264"/>
    <n v="816"/>
    <n v="2448"/>
    <x v="172"/>
    <s v="Healthcare &amp; Safety"/>
    <n v="11.563724686003232"/>
    <s v="Neither"/>
    <n v="5"/>
  </r>
  <r>
    <d v="2021-06-01T00:00:00"/>
    <s v="21-2102"/>
    <s v="P066"/>
    <x v="9"/>
    <n v="34"/>
    <n v="17"/>
    <n v="680"/>
    <n v="340"/>
    <n v="340"/>
    <x v="175"/>
    <s v="Creative &amp; Technology"/>
    <n v="13.150536103258979"/>
    <s v="Neither"/>
    <n v="5"/>
  </r>
  <r>
    <d v="2021-06-02T00:00:00"/>
    <s v="21-1216"/>
    <s v="P070"/>
    <x v="8"/>
    <n v="84"/>
    <n v="21"/>
    <n v="1176"/>
    <n v="294"/>
    <n v="882"/>
    <x v="173"/>
    <s v="Education"/>
    <n v="12.147202500273634"/>
    <s v="Neither"/>
    <n v="5"/>
  </r>
  <r>
    <d v="2021-06-03T00:00:00"/>
    <s v="21-1871"/>
    <s v="P039"/>
    <x v="15"/>
    <n v="270"/>
    <n v="90"/>
    <n v="4590"/>
    <n v="1530"/>
    <n v="3060"/>
    <x v="129"/>
    <s v="Community &amp; Government"/>
    <n v="10.813269600021069"/>
    <s v="Neither"/>
    <n v="5"/>
  </r>
  <r>
    <d v="2021-06-04T00:00:00"/>
    <s v="21-3329"/>
    <s v="P023"/>
    <x v="17"/>
    <n v="126"/>
    <n v="42"/>
    <n v="126"/>
    <n v="42"/>
    <n v="84"/>
    <x v="34"/>
    <s v="Sports &amp; Recreation"/>
    <n v="11.406233913305266"/>
    <s v="Dissatisfied"/>
    <n v="1"/>
  </r>
  <r>
    <d v="2021-06-05T00:00:00"/>
    <s v="21-3027"/>
    <s v="P017"/>
    <x v="10"/>
    <n v="120"/>
    <n v="30"/>
    <n v="600"/>
    <n v="150"/>
    <n v="450"/>
    <x v="90"/>
    <s v="Healthcare &amp; Safety"/>
    <n v="7.0114620475168028"/>
    <s v="Dissatisfied"/>
    <n v="1"/>
  </r>
  <r>
    <d v="2021-06-06T00:00:00"/>
    <s v="21-4796"/>
    <s v="P050"/>
    <x v="19"/>
    <n v="108"/>
    <n v="36"/>
    <n v="2052"/>
    <n v="684"/>
    <n v="1368"/>
    <x v="178"/>
    <s v="Education"/>
    <n v="14.760829371220243"/>
    <s v="Neither"/>
    <n v="5"/>
  </r>
  <r>
    <d v="2021-06-07T00:00:00"/>
    <s v="21-3707"/>
    <s v="P013"/>
    <x v="17"/>
    <n v="58"/>
    <n v="29"/>
    <n v="58"/>
    <n v="29"/>
    <n v="29"/>
    <x v="290"/>
    <s v="Community &amp; Government"/>
    <n v="15.239568994601312"/>
    <s v="Satisfied"/>
    <n v="10"/>
  </r>
  <r>
    <d v="2021-06-08T00:00:00"/>
    <s v="21-1580"/>
    <s v="P058"/>
    <x v="14"/>
    <n v="356"/>
    <n v="89"/>
    <n v="4272"/>
    <n v="1068"/>
    <n v="3204"/>
    <x v="210"/>
    <s v="Corporate &amp; Professional"/>
    <n v="10.411813357023924"/>
    <s v="Satisfied"/>
    <n v="10"/>
  </r>
  <r>
    <d v="2021-06-09T00:00:00"/>
    <s v="21-2584"/>
    <s v="P097"/>
    <x v="15"/>
    <n v="92"/>
    <n v="46"/>
    <n v="1564"/>
    <n v="782"/>
    <n v="782"/>
    <x v="91"/>
    <s v="Creative &amp; Technology"/>
    <n v="11.03324198943719"/>
    <s v="Dissatisfied"/>
    <n v="1"/>
  </r>
  <r>
    <d v="2021-06-10T00:00:00"/>
    <s v="21-1875"/>
    <s v="P021"/>
    <x v="19"/>
    <n v="207"/>
    <n v="69"/>
    <n v="3933"/>
    <n v="1311"/>
    <n v="2622"/>
    <x v="137"/>
    <s v="Facilities &amp; Services"/>
    <n v="15.861056998489449"/>
    <s v="Neither"/>
    <n v="5"/>
  </r>
  <r>
    <d v="2021-06-11T00:00:00"/>
    <s v="21-1155"/>
    <s v="P015"/>
    <x v="4"/>
    <n v="176"/>
    <n v="88"/>
    <n v="352"/>
    <n v="176"/>
    <n v="176"/>
    <x v="161"/>
    <s v="Corporate &amp; Professional"/>
    <n v="11.003496633574638"/>
    <s v="Neither"/>
    <n v="5"/>
  </r>
  <r>
    <d v="2021-06-12T00:00:00"/>
    <s v="21-4041"/>
    <s v="P052"/>
    <x v="1"/>
    <n v="352"/>
    <n v="88"/>
    <n v="2816"/>
    <n v="704"/>
    <n v="2112"/>
    <x v="270"/>
    <s v="Education"/>
    <n v="14.129095302641241"/>
    <s v="Dissatisfied"/>
    <n v="1"/>
  </r>
  <r>
    <d v="2021-06-13T00:00:00"/>
    <s v="21-2658"/>
    <s v="P058"/>
    <x v="5"/>
    <n v="356"/>
    <n v="89"/>
    <n v="1068"/>
    <n v="267"/>
    <n v="801"/>
    <x v="209"/>
    <s v="Facilities &amp; Services"/>
    <n v="10.956589836772277"/>
    <s v="Neither"/>
    <n v="5"/>
  </r>
  <r>
    <d v="2021-06-14T00:00:00"/>
    <s v="21-2794"/>
    <s v="P038"/>
    <x v="4"/>
    <n v="240"/>
    <n v="80"/>
    <n v="480"/>
    <n v="160"/>
    <n v="320"/>
    <x v="5"/>
    <s v="Healthcare &amp; Safety"/>
    <n v="12.169266722245851"/>
    <s v="Neither"/>
    <n v="5"/>
  </r>
  <r>
    <d v="2021-06-15T00:00:00"/>
    <s v="21-4023"/>
    <s v="P032"/>
    <x v="19"/>
    <n v="92"/>
    <n v="46"/>
    <n v="1748"/>
    <n v="874"/>
    <n v="874"/>
    <x v="2"/>
    <s v="Facilities &amp; Services"/>
    <n v="9.3226775515721787"/>
    <s v="Satisfied"/>
    <n v="10"/>
  </r>
  <r>
    <d v="2021-06-16T00:00:00"/>
    <s v="21-3391"/>
    <s v="P073"/>
    <x v="14"/>
    <n v="48"/>
    <n v="24"/>
    <n v="576"/>
    <n v="288"/>
    <n v="288"/>
    <x v="280"/>
    <s v="Education"/>
    <n v="9.1264071155960682"/>
    <s v="Satisfied"/>
    <n v="10"/>
  </r>
  <r>
    <d v="2021-06-17T00:00:00"/>
    <s v="21-1310"/>
    <s v="P053"/>
    <x v="3"/>
    <n v="50"/>
    <n v="25"/>
    <n v="200"/>
    <n v="100"/>
    <n v="100"/>
    <x v="128"/>
    <s v="Healthcare &amp; Safety"/>
    <n v="10.96230865592911"/>
    <s v="Neither"/>
    <n v="5"/>
  </r>
  <r>
    <d v="2021-06-18T00:00:00"/>
    <s v="21-1085"/>
    <s v="P049"/>
    <x v="4"/>
    <n v="356"/>
    <n v="89"/>
    <n v="712"/>
    <n v="178"/>
    <n v="534"/>
    <x v="269"/>
    <s v="Corporate &amp; Professional"/>
    <n v="10.585251392347548"/>
    <s v="Satisfied"/>
    <n v="10"/>
  </r>
  <r>
    <d v="2021-06-19T00:00:00"/>
    <s v="21-3192"/>
    <s v="P014"/>
    <x v="16"/>
    <n v="166"/>
    <n v="83"/>
    <n v="1494"/>
    <n v="747"/>
    <n v="747"/>
    <x v="101"/>
    <s v="Sports &amp; Recreation"/>
    <n v="10.816866337473218"/>
    <s v="Neither"/>
    <n v="5"/>
  </r>
  <r>
    <d v="2021-06-20T00:00:00"/>
    <s v="21-2508"/>
    <s v="P007"/>
    <x v="10"/>
    <n v="225"/>
    <n v="75"/>
    <n v="1125"/>
    <n v="375"/>
    <n v="750"/>
    <x v="41"/>
    <s v="Community &amp; Government"/>
    <n v="12.452986387489583"/>
    <s v="Neither"/>
    <n v="5"/>
  </r>
  <r>
    <d v="2021-06-21T00:00:00"/>
    <s v="21-2019"/>
    <s v="P029"/>
    <x v="7"/>
    <n v="300"/>
    <n v="75"/>
    <n v="3300"/>
    <n v="825"/>
    <n v="2475"/>
    <x v="117"/>
    <s v="Corporate &amp; Professional"/>
    <n v="11.687634894637348"/>
    <s v="Satisfied"/>
    <n v="10"/>
  </r>
  <r>
    <d v="2021-06-22T00:00:00"/>
    <s v="21-2138"/>
    <s v="P088"/>
    <x v="14"/>
    <n v="192"/>
    <n v="96"/>
    <n v="2304"/>
    <n v="1152"/>
    <n v="1152"/>
    <x v="110"/>
    <s v="Sports &amp; Recreation"/>
    <n v="14.690198582365463"/>
    <s v="Satisfied"/>
    <n v="10"/>
  </r>
  <r>
    <d v="2021-06-23T00:00:00"/>
    <s v="21-4845"/>
    <s v="P010"/>
    <x v="14"/>
    <n v="144"/>
    <n v="36"/>
    <n v="1728"/>
    <n v="432"/>
    <n v="1296"/>
    <x v="161"/>
    <s v="Corporate &amp; Professional"/>
    <n v="11.003496633574638"/>
    <s v="Dissatisfied"/>
    <n v="1"/>
  </r>
  <r>
    <d v="2021-06-24T00:00:00"/>
    <s v="21-1527"/>
    <s v="P097"/>
    <x v="17"/>
    <n v="92"/>
    <n v="46"/>
    <n v="92"/>
    <n v="46"/>
    <n v="46"/>
    <x v="110"/>
    <s v="Sports &amp; Recreation"/>
    <n v="14.690198582365463"/>
    <s v="Neither"/>
    <n v="5"/>
  </r>
  <r>
    <d v="2021-06-25T00:00:00"/>
    <s v="21-2639"/>
    <s v="P047"/>
    <x v="10"/>
    <n v="72"/>
    <n v="36"/>
    <n v="360"/>
    <n v="180"/>
    <n v="180"/>
    <x v="59"/>
    <s v="Creative &amp; Technology"/>
    <n v="10.980884286450312"/>
    <s v="Neither"/>
    <n v="5"/>
  </r>
  <r>
    <d v="2021-06-26T00:00:00"/>
    <s v="21-4574"/>
    <s v="P001"/>
    <x v="7"/>
    <n v="108"/>
    <n v="36"/>
    <n v="1188"/>
    <n v="396"/>
    <n v="792"/>
    <x v="122"/>
    <s v="Creative &amp; Technology"/>
    <n v="11.082295381980092"/>
    <s v="Neither"/>
    <n v="5"/>
  </r>
  <r>
    <d v="2021-06-27T00:00:00"/>
    <s v="21-3984"/>
    <s v="P021"/>
    <x v="2"/>
    <n v="207"/>
    <n v="69"/>
    <n v="2691"/>
    <n v="897"/>
    <n v="1794"/>
    <x v="267"/>
    <s v="Healthcare &amp; Safety"/>
    <n v="10.28240320324797"/>
    <s v="Neither"/>
    <n v="5"/>
  </r>
  <r>
    <d v="2021-06-28T00:00:00"/>
    <s v="21-1662"/>
    <s v="P024"/>
    <x v="5"/>
    <n v="66"/>
    <n v="33"/>
    <n v="198"/>
    <n v="99"/>
    <n v="99"/>
    <x v="10"/>
    <s v="Education"/>
    <n v="12.957303170959879"/>
    <s v="Neither"/>
    <n v="5"/>
  </r>
  <r>
    <d v="2021-06-29T00:00:00"/>
    <s v="21-4394"/>
    <s v="P059"/>
    <x v="19"/>
    <n v="267"/>
    <n v="89"/>
    <n v="5073"/>
    <n v="1691"/>
    <n v="3382"/>
    <x v="136"/>
    <s v="Creative &amp; Technology"/>
    <n v="16.429355109701351"/>
    <s v="Neither"/>
    <n v="5"/>
  </r>
  <r>
    <d v="2021-06-30T00:00:00"/>
    <s v="21-4507"/>
    <s v="P034"/>
    <x v="7"/>
    <n v="114"/>
    <n v="57"/>
    <n v="1254"/>
    <n v="627"/>
    <n v="627"/>
    <x v="214"/>
    <s v="Corporate &amp; Professional"/>
    <n v="12.985332015423809"/>
    <s v="Neither"/>
    <n v="5"/>
  </r>
  <r>
    <d v="2021-07-01T00:00:00"/>
    <s v="21-2556"/>
    <s v="P095"/>
    <x v="2"/>
    <n v="116"/>
    <n v="29"/>
    <n v="1508"/>
    <n v="377"/>
    <n v="1131"/>
    <x v="199"/>
    <s v="Healthcare &amp; Safety"/>
    <n v="14.460020532456038"/>
    <s v="Satisfied"/>
    <n v="10"/>
  </r>
  <r>
    <d v="2021-07-02T00:00:00"/>
    <s v="21-3877"/>
    <s v="P024"/>
    <x v="2"/>
    <n v="66"/>
    <n v="33"/>
    <n v="858"/>
    <n v="429"/>
    <n v="429"/>
    <x v="66"/>
    <s v="Facilities &amp; Services"/>
    <n v="12.172922939334034"/>
    <s v="Neither"/>
    <n v="5"/>
  </r>
  <r>
    <d v="2021-07-03T00:00:00"/>
    <s v="21-2858"/>
    <s v="P045"/>
    <x v="15"/>
    <n v="100"/>
    <n v="25"/>
    <n v="1700"/>
    <n v="425"/>
    <n v="1275"/>
    <x v="13"/>
    <s v="Sports &amp; Recreation"/>
    <n v="12.163730387337393"/>
    <s v="Neither"/>
    <n v="5"/>
  </r>
  <r>
    <d v="2021-07-04T00:00:00"/>
    <s v="21-3703"/>
    <s v="P014"/>
    <x v="0"/>
    <n v="166"/>
    <n v="83"/>
    <n v="2490"/>
    <n v="1245"/>
    <n v="1245"/>
    <x v="57"/>
    <s v="Facilities &amp; Services"/>
    <n v="12.177709716438097"/>
    <s v="Neither"/>
    <n v="5"/>
  </r>
  <r>
    <d v="2021-07-05T00:00:00"/>
    <s v="21-3806"/>
    <s v="P066"/>
    <x v="11"/>
    <n v="34"/>
    <n v="17"/>
    <n v="544"/>
    <n v="272"/>
    <n v="272"/>
    <x v="86"/>
    <s v="Community &amp; Government"/>
    <n v="12.758430621858414"/>
    <s v="Neither"/>
    <n v="5"/>
  </r>
  <r>
    <d v="2021-07-06T00:00:00"/>
    <s v="21-3991"/>
    <s v="P017"/>
    <x v="14"/>
    <n v="120"/>
    <n v="30"/>
    <n v="1440"/>
    <n v="360"/>
    <n v="1080"/>
    <x v="93"/>
    <s v="Facilities &amp; Services"/>
    <n v="10.966283117837653"/>
    <s v="Neither"/>
    <n v="5"/>
  </r>
  <r>
    <d v="2021-07-07T00:00:00"/>
    <s v="21-2974"/>
    <s v="P048"/>
    <x v="9"/>
    <n v="252"/>
    <n v="63"/>
    <n v="5040"/>
    <n v="1260"/>
    <n v="3780"/>
    <x v="254"/>
    <s v="Corporate &amp; Professional"/>
    <n v="8.1743378387804331"/>
    <s v="Satisfied"/>
    <n v="10"/>
  </r>
  <r>
    <d v="2021-07-08T00:00:00"/>
    <s v="21-2148"/>
    <s v="P056"/>
    <x v="2"/>
    <n v="72"/>
    <n v="36"/>
    <n v="936"/>
    <n v="468"/>
    <n v="468"/>
    <x v="173"/>
    <s v="Education"/>
    <n v="12.147202500273634"/>
    <s v="Neither"/>
    <n v="5"/>
  </r>
  <r>
    <d v="2021-07-09T00:00:00"/>
    <s v="21-2069"/>
    <s v="P035"/>
    <x v="19"/>
    <n v="144"/>
    <n v="48"/>
    <n v="2736"/>
    <n v="912"/>
    <n v="1824"/>
    <x v="20"/>
    <s v="Education"/>
    <n v="15.12637675023732"/>
    <s v="Neither"/>
    <n v="5"/>
  </r>
  <r>
    <d v="2021-07-10T00:00:00"/>
    <s v="21-3755"/>
    <s v="P051"/>
    <x v="18"/>
    <n v="135"/>
    <n v="45"/>
    <n v="2430"/>
    <n v="810"/>
    <n v="1620"/>
    <x v="3"/>
    <s v="Facilities &amp; Services"/>
    <n v="10.06992029407844"/>
    <s v="Neither"/>
    <n v="5"/>
  </r>
  <r>
    <d v="2021-07-11T00:00:00"/>
    <s v="21-4735"/>
    <s v="P025"/>
    <x v="12"/>
    <n v="210"/>
    <n v="70"/>
    <n v="1470"/>
    <n v="490"/>
    <n v="980"/>
    <x v="109"/>
    <s v="Sports &amp; Recreation"/>
    <n v="13.092530646074781"/>
    <s v="Neither"/>
    <n v="5"/>
  </r>
  <r>
    <d v="2021-07-12T00:00:00"/>
    <s v="21-4968"/>
    <s v="P068"/>
    <x v="1"/>
    <n v="300"/>
    <n v="75"/>
    <n v="2400"/>
    <n v="600"/>
    <n v="1800"/>
    <x v="244"/>
    <s v="Creative &amp; Technology"/>
    <n v="11.78346750250795"/>
    <s v="Neither"/>
    <n v="5"/>
  </r>
  <r>
    <d v="2021-07-13T00:00:00"/>
    <s v="21-2076"/>
    <s v="P029"/>
    <x v="16"/>
    <n v="300"/>
    <n v="75"/>
    <n v="2700"/>
    <n v="675"/>
    <n v="2025"/>
    <x v="147"/>
    <s v="Corporate &amp; Professional"/>
    <n v="9.629298039722805"/>
    <s v="Neither"/>
    <n v="5"/>
  </r>
  <r>
    <d v="2021-07-14T00:00:00"/>
    <s v="21-1048"/>
    <s v="P078"/>
    <x v="2"/>
    <n v="225"/>
    <n v="75"/>
    <n v="2925"/>
    <n v="975"/>
    <n v="1950"/>
    <x v="119"/>
    <s v="Education"/>
    <n v="12.456740895640767"/>
    <s v="Neither"/>
    <n v="5"/>
  </r>
  <r>
    <d v="2021-07-15T00:00:00"/>
    <s v="21-1290"/>
    <s v="P035"/>
    <x v="17"/>
    <n v="144"/>
    <n v="48"/>
    <n v="144"/>
    <n v="48"/>
    <n v="96"/>
    <x v="222"/>
    <s v="Community &amp; Government"/>
    <n v="13.095446915421235"/>
    <s v="Neither"/>
    <n v="5"/>
  </r>
  <r>
    <d v="2021-07-16T00:00:00"/>
    <s v="21-1049"/>
    <s v="P005"/>
    <x v="7"/>
    <n v="76"/>
    <n v="19"/>
    <n v="836"/>
    <n v="209"/>
    <n v="627"/>
    <x v="196"/>
    <s v="Community &amp; Government"/>
    <n v="12.869841591513939"/>
    <s v="Neither"/>
    <n v="5"/>
  </r>
  <r>
    <d v="2021-07-17T00:00:00"/>
    <s v="21-1215"/>
    <s v="P047"/>
    <x v="8"/>
    <n v="72"/>
    <n v="36"/>
    <n v="1008"/>
    <n v="504"/>
    <n v="504"/>
    <x v="157"/>
    <s v="Corporate &amp; Professional"/>
    <n v="13.917704159139552"/>
    <s v="Neither"/>
    <n v="5"/>
  </r>
  <r>
    <d v="2021-07-18T00:00:00"/>
    <s v="21-2239"/>
    <s v="P074"/>
    <x v="1"/>
    <n v="352"/>
    <n v="88"/>
    <n v="2816"/>
    <n v="704"/>
    <n v="2112"/>
    <x v="216"/>
    <s v="Corporate &amp; Professional"/>
    <n v="9.1057685343725456"/>
    <s v="Neither"/>
    <n v="5"/>
  </r>
  <r>
    <d v="2021-07-19T00:00:00"/>
    <s v="21-3137"/>
    <s v="P059"/>
    <x v="3"/>
    <n v="267"/>
    <n v="89"/>
    <n v="1068"/>
    <n v="356"/>
    <n v="712"/>
    <x v="50"/>
    <s v="Creative &amp; Technology"/>
    <n v="12.551203838971933"/>
    <s v="Neither"/>
    <n v="5"/>
  </r>
  <r>
    <d v="2021-07-20T00:00:00"/>
    <s v="21-1255"/>
    <s v="P049"/>
    <x v="19"/>
    <n v="356"/>
    <n v="89"/>
    <n v="6764"/>
    <n v="1691"/>
    <n v="5073"/>
    <x v="281"/>
    <s v="Community &amp; Government"/>
    <n v="13.811876869930865"/>
    <s v="Neither"/>
    <n v="5"/>
  </r>
  <r>
    <d v="2021-07-21T00:00:00"/>
    <s v="21-3477"/>
    <s v="P033"/>
    <x v="16"/>
    <n v="57"/>
    <n v="19"/>
    <n v="513"/>
    <n v="171"/>
    <n v="342"/>
    <x v="266"/>
    <s v="Corporate &amp; Professional"/>
    <n v="9.8776671534059073"/>
    <s v="Neither"/>
    <n v="5"/>
  </r>
  <r>
    <d v="2021-07-22T00:00:00"/>
    <s v="21-4640"/>
    <s v="P045"/>
    <x v="10"/>
    <n v="100"/>
    <n v="25"/>
    <n v="500"/>
    <n v="125"/>
    <n v="375"/>
    <x v="238"/>
    <s v="Education"/>
    <n v="13.275355576494196"/>
    <s v="Dissatisfied"/>
    <n v="1"/>
  </r>
  <r>
    <d v="2021-07-23T00:00:00"/>
    <s v="21-1363"/>
    <s v="P002"/>
    <x v="17"/>
    <n v="144"/>
    <n v="36"/>
    <n v="144"/>
    <n v="36"/>
    <n v="108"/>
    <x v="143"/>
    <s v="Community &amp; Government"/>
    <n v="12.732640267350657"/>
    <s v="Neither"/>
    <n v="5"/>
  </r>
  <r>
    <d v="2021-07-24T00:00:00"/>
    <s v="21-3178"/>
    <s v="P010"/>
    <x v="16"/>
    <n v="144"/>
    <n v="36"/>
    <n v="1296"/>
    <n v="324"/>
    <n v="972"/>
    <x v="120"/>
    <s v="Education"/>
    <n v="9.4239783062860578"/>
    <s v="Satisfied"/>
    <n v="10"/>
  </r>
  <r>
    <d v="2021-07-25T00:00:00"/>
    <s v="21-3490"/>
    <s v="P021"/>
    <x v="0"/>
    <n v="207"/>
    <n v="69"/>
    <n v="3105"/>
    <n v="1035"/>
    <n v="2070"/>
    <x v="287"/>
    <s v="Community &amp; Government"/>
    <n v="14.412865837260112"/>
    <s v="Satisfied"/>
    <n v="10"/>
  </r>
  <r>
    <d v="2021-07-26T00:00:00"/>
    <s v="21-3196"/>
    <s v="P078"/>
    <x v="2"/>
    <n v="225"/>
    <n v="75"/>
    <n v="2925"/>
    <n v="975"/>
    <n v="1950"/>
    <x v="203"/>
    <s v="Creative &amp; Technology"/>
    <n v="13.486912834801583"/>
    <s v="Neither"/>
    <n v="5"/>
  </r>
  <r>
    <d v="2021-07-27T00:00:00"/>
    <s v="21-1137"/>
    <s v="P061"/>
    <x v="2"/>
    <n v="264"/>
    <n v="88"/>
    <n v="3432"/>
    <n v="1144"/>
    <n v="2288"/>
    <x v="7"/>
    <s v="Healthcare &amp; Safety"/>
    <n v="11.048444680405545"/>
    <s v="Neither"/>
    <n v="5"/>
  </r>
  <r>
    <d v="2021-07-28T00:00:00"/>
    <s v="21-3536"/>
    <s v="P064"/>
    <x v="7"/>
    <n v="231"/>
    <n v="77"/>
    <n v="2541"/>
    <n v="847"/>
    <n v="1694"/>
    <x v="184"/>
    <s v="Community &amp; Government"/>
    <n v="8.8169309002713945"/>
    <s v="Neither"/>
    <n v="5"/>
  </r>
  <r>
    <d v="2021-07-29T00:00:00"/>
    <s v="21-2146"/>
    <s v="P068"/>
    <x v="0"/>
    <n v="300"/>
    <n v="75"/>
    <n v="4500"/>
    <n v="1125"/>
    <n v="3375"/>
    <x v="77"/>
    <s v="Facilities &amp; Services"/>
    <n v="12.514998090845811"/>
    <s v="Satisfied"/>
    <n v="10"/>
  </r>
  <r>
    <d v="2021-07-30T00:00:00"/>
    <s v="21-1569"/>
    <s v="P033"/>
    <x v="8"/>
    <n v="57"/>
    <n v="19"/>
    <n v="798"/>
    <n v="266"/>
    <n v="532"/>
    <x v="247"/>
    <s v="Facilities &amp; Services"/>
    <n v="12.502346728827876"/>
    <s v="Neither"/>
    <n v="5"/>
  </r>
  <r>
    <d v="2021-07-31T00:00:00"/>
    <s v="21-3284"/>
    <s v="P067"/>
    <x v="10"/>
    <n v="144"/>
    <n v="36"/>
    <n v="720"/>
    <n v="180"/>
    <n v="540"/>
    <x v="79"/>
    <s v="Facilities &amp; Services"/>
    <n v="12.661538237835474"/>
    <s v="Dissatisfied"/>
    <n v="1"/>
  </r>
  <r>
    <d v="2021-08-01T00:00:00"/>
    <s v="21-1402"/>
    <s v="P011"/>
    <x v="16"/>
    <n v="264"/>
    <n v="88"/>
    <n v="2376"/>
    <n v="792"/>
    <n v="1584"/>
    <x v="84"/>
    <s v="Corporate &amp; Professional"/>
    <n v="11.428575823958646"/>
    <s v="Dissatisfied"/>
    <n v="1"/>
  </r>
  <r>
    <d v="2021-08-02T00:00:00"/>
    <s v="21-1439"/>
    <s v="P028"/>
    <x v="8"/>
    <n v="156"/>
    <n v="78"/>
    <n v="2184"/>
    <n v="1092"/>
    <n v="1092"/>
    <x v="216"/>
    <s v="Corporate &amp; Professional"/>
    <n v="9.1057685343725456"/>
    <s v="Neither"/>
    <n v="5"/>
  </r>
  <r>
    <d v="2021-08-03T00:00:00"/>
    <s v="21-4134"/>
    <s v="P022"/>
    <x v="18"/>
    <n v="153"/>
    <n v="51"/>
    <n v="2754"/>
    <n v="918"/>
    <n v="1836"/>
    <x v="186"/>
    <s v="Education"/>
    <n v="8.3272837771733244"/>
    <s v="Dissatisfied"/>
    <n v="1"/>
  </r>
  <r>
    <d v="2021-08-04T00:00:00"/>
    <s v="21-1995"/>
    <s v="P062"/>
    <x v="11"/>
    <n v="348"/>
    <n v="87"/>
    <n v="5568"/>
    <n v="1392"/>
    <n v="4176"/>
    <x v="99"/>
    <s v="Healthcare &amp; Safety"/>
    <n v="12.148236977735172"/>
    <s v="Neither"/>
    <n v="5"/>
  </r>
  <r>
    <d v="2021-08-05T00:00:00"/>
    <s v="21-1111"/>
    <s v="P051"/>
    <x v="16"/>
    <n v="135"/>
    <n v="45"/>
    <n v="1215"/>
    <n v="405"/>
    <n v="810"/>
    <x v="17"/>
    <s v="Education"/>
    <n v="9.8238489437106278"/>
    <s v="Neither"/>
    <n v="5"/>
  </r>
  <r>
    <d v="2021-08-06T00:00:00"/>
    <s v="21-1810"/>
    <s v="P001"/>
    <x v="4"/>
    <n v="108"/>
    <n v="36"/>
    <n v="216"/>
    <n v="72"/>
    <n v="144"/>
    <x v="70"/>
    <s v="Community &amp; Government"/>
    <n v="14.593670394271927"/>
    <s v="Neither"/>
    <n v="5"/>
  </r>
  <r>
    <d v="2021-08-07T00:00:00"/>
    <s v="21-4589"/>
    <s v="P050"/>
    <x v="1"/>
    <n v="108"/>
    <n v="36"/>
    <n v="864"/>
    <n v="288"/>
    <n v="576"/>
    <x v="232"/>
    <s v="Corporate &amp; Professional"/>
    <n v="11.816654396440285"/>
    <s v="Neither"/>
    <n v="5"/>
  </r>
  <r>
    <d v="2021-08-08T00:00:00"/>
    <s v="21-3641"/>
    <s v="P052"/>
    <x v="4"/>
    <n v="352"/>
    <n v="88"/>
    <n v="704"/>
    <n v="176"/>
    <n v="528"/>
    <x v="206"/>
    <s v="Community &amp; Government"/>
    <n v="12.699042739101285"/>
    <s v="Dissatisfied"/>
    <n v="1"/>
  </r>
  <r>
    <d v="2021-08-09T00:00:00"/>
    <s v="21-2361"/>
    <s v="P031"/>
    <x v="7"/>
    <n v="146"/>
    <n v="73"/>
    <n v="1606"/>
    <n v="803"/>
    <n v="803"/>
    <x v="135"/>
    <s v="Corporate &amp; Professional"/>
    <n v="10.408704992688252"/>
    <s v="Satisfied"/>
    <n v="10"/>
  </r>
  <r>
    <d v="2021-08-10T00:00:00"/>
    <s v="21-3315"/>
    <s v="P043"/>
    <x v="12"/>
    <n v="184"/>
    <n v="92"/>
    <n v="1288"/>
    <n v="644"/>
    <n v="644"/>
    <x v="56"/>
    <s v="Corporate &amp; Professional"/>
    <n v="12.007834550770397"/>
    <s v="Satisfied"/>
    <n v="10"/>
  </r>
  <r>
    <d v="2021-08-11T00:00:00"/>
    <s v="21-4591"/>
    <s v="P070"/>
    <x v="9"/>
    <n v="84"/>
    <n v="21"/>
    <n v="1680"/>
    <n v="420"/>
    <n v="1260"/>
    <x v="142"/>
    <s v="Healthcare &amp; Safety"/>
    <n v="13.574227261506472"/>
    <s v="Dissatisfied"/>
    <n v="1"/>
  </r>
  <r>
    <d v="2021-08-12T00:00:00"/>
    <s v="21-3794"/>
    <s v="P048"/>
    <x v="3"/>
    <n v="252"/>
    <n v="63"/>
    <n v="1008"/>
    <n v="252"/>
    <n v="756"/>
    <x v="238"/>
    <s v="Education"/>
    <n v="13.275355576494196"/>
    <s v="Neither"/>
    <n v="5"/>
  </r>
  <r>
    <d v="2021-08-13T00:00:00"/>
    <s v="21-3353"/>
    <s v="P065"/>
    <x v="19"/>
    <n v="50"/>
    <n v="25"/>
    <n v="950"/>
    <n v="475"/>
    <n v="475"/>
    <x v="240"/>
    <s v="Sports &amp; Recreation"/>
    <n v="12.701325659159139"/>
    <s v="Satisfied"/>
    <n v="10"/>
  </r>
  <r>
    <d v="2021-08-14T00:00:00"/>
    <s v="21-2246"/>
    <s v="P082"/>
    <x v="5"/>
    <n v="312"/>
    <n v="78"/>
    <n v="936"/>
    <n v="234"/>
    <n v="702"/>
    <x v="107"/>
    <s v="Community &amp; Government"/>
    <n v="11.986565560885863"/>
    <s v="Satisfied"/>
    <n v="10"/>
  </r>
  <r>
    <d v="2021-08-15T00:00:00"/>
    <s v="21-2858"/>
    <s v="P075"/>
    <x v="17"/>
    <n v="160"/>
    <n v="80"/>
    <n v="160"/>
    <n v="80"/>
    <n v="80"/>
    <x v="136"/>
    <s v="Creative &amp; Technology"/>
    <n v="16.429355109701351"/>
    <s v="Satisfied"/>
    <n v="10"/>
  </r>
  <r>
    <d v="2021-08-16T00:00:00"/>
    <s v="21-2184"/>
    <s v="P017"/>
    <x v="1"/>
    <n v="120"/>
    <n v="30"/>
    <n v="960"/>
    <n v="240"/>
    <n v="720"/>
    <x v="228"/>
    <s v="Corporate &amp; Professional"/>
    <n v="16.254955391951082"/>
    <s v="Neither"/>
    <n v="5"/>
  </r>
  <r>
    <d v="2021-08-17T00:00:00"/>
    <s v="21-1698"/>
    <s v="P063"/>
    <x v="0"/>
    <n v="261"/>
    <n v="87"/>
    <n v="3915"/>
    <n v="1305"/>
    <n v="2610"/>
    <x v="59"/>
    <s v="Creative &amp; Technology"/>
    <n v="10.980884286450312"/>
    <s v="Dissatisfied"/>
    <n v="1"/>
  </r>
  <r>
    <d v="2021-08-18T00:00:00"/>
    <s v="21-4854"/>
    <s v="P051"/>
    <x v="13"/>
    <n v="135"/>
    <n v="45"/>
    <n v="1350"/>
    <n v="450"/>
    <n v="900"/>
    <x v="32"/>
    <s v="Facilities &amp; Services"/>
    <n v="11.410471033945758"/>
    <s v="Neither"/>
    <n v="5"/>
  </r>
  <r>
    <d v="2021-08-19T00:00:00"/>
    <s v="21-2880"/>
    <s v="P086"/>
    <x v="14"/>
    <n v="352"/>
    <n v="88"/>
    <n v="4224"/>
    <n v="1056"/>
    <n v="3168"/>
    <x v="150"/>
    <s v="Education"/>
    <n v="12.889576147248359"/>
    <s v="Neither"/>
    <n v="5"/>
  </r>
  <r>
    <d v="2021-08-20T00:00:00"/>
    <s v="21-3393"/>
    <s v="P037"/>
    <x v="3"/>
    <n v="160"/>
    <n v="80"/>
    <n v="640"/>
    <n v="320"/>
    <n v="320"/>
    <x v="193"/>
    <s v="Corporate &amp; Professional"/>
    <n v="12.275875773922367"/>
    <s v="Satisfied"/>
    <n v="10"/>
  </r>
  <r>
    <d v="2021-08-21T00:00:00"/>
    <s v="21-2659"/>
    <s v="P093"/>
    <x v="12"/>
    <n v="384"/>
    <n v="96"/>
    <n v="2688"/>
    <n v="672"/>
    <n v="2016"/>
    <x v="148"/>
    <s v="Healthcare &amp; Safety"/>
    <n v="14.845213075061906"/>
    <s v="Neither"/>
    <n v="5"/>
  </r>
  <r>
    <d v="2021-08-22T00:00:00"/>
    <s v="21-2607"/>
    <s v="P062"/>
    <x v="11"/>
    <n v="348"/>
    <n v="87"/>
    <n v="5568"/>
    <n v="1392"/>
    <n v="4176"/>
    <x v="252"/>
    <s v="Community &amp; Government"/>
    <n v="10.968401424454578"/>
    <s v="Neither"/>
    <n v="5"/>
  </r>
  <r>
    <d v="2021-08-23T00:00:00"/>
    <s v="21-3007"/>
    <s v="P015"/>
    <x v="11"/>
    <n v="176"/>
    <n v="88"/>
    <n v="2816"/>
    <n v="1408"/>
    <n v="1408"/>
    <x v="184"/>
    <s v="Community &amp; Government"/>
    <n v="8.8169309002713945"/>
    <s v="Satisfied"/>
    <n v="10"/>
  </r>
  <r>
    <d v="2021-08-24T00:00:00"/>
    <s v="21-4584"/>
    <s v="P036"/>
    <x v="13"/>
    <n v="280"/>
    <n v="70"/>
    <n v="2800"/>
    <n v="700"/>
    <n v="2100"/>
    <x v="103"/>
    <s v="Education"/>
    <n v="14.687857652112591"/>
    <s v="Dissatisfied"/>
    <n v="1"/>
  </r>
  <r>
    <d v="2021-08-25T00:00:00"/>
    <s v="21-3980"/>
    <s v="P014"/>
    <x v="9"/>
    <n v="166"/>
    <n v="83"/>
    <n v="3320"/>
    <n v="1660"/>
    <n v="1660"/>
    <x v="139"/>
    <s v="Creative &amp; Technology"/>
    <n v="15.770846827234339"/>
    <s v="Neither"/>
    <n v="5"/>
  </r>
  <r>
    <d v="2021-08-26T00:00:00"/>
    <s v="21-3492"/>
    <s v="P078"/>
    <x v="19"/>
    <n v="225"/>
    <n v="75"/>
    <n v="4275"/>
    <n v="1425"/>
    <n v="2850"/>
    <x v="127"/>
    <s v="Facilities &amp; Services"/>
    <n v="11.644564584314265"/>
    <s v="Neither"/>
    <n v="5"/>
  </r>
  <r>
    <d v="2021-08-27T00:00:00"/>
    <s v="21-4314"/>
    <s v="P094"/>
    <x v="14"/>
    <n v="80"/>
    <n v="20"/>
    <n v="960"/>
    <n v="240"/>
    <n v="720"/>
    <x v="102"/>
    <s v="Facilities &amp; Services"/>
    <n v="9.8928038181361391"/>
    <s v="Dissatisfied"/>
    <n v="1"/>
  </r>
  <r>
    <d v="2021-08-28T00:00:00"/>
    <s v="21-2893"/>
    <s v="P096"/>
    <x v="5"/>
    <n v="144"/>
    <n v="48"/>
    <n v="432"/>
    <n v="144"/>
    <n v="288"/>
    <x v="260"/>
    <s v="Creative &amp; Technology"/>
    <n v="10.588336269016523"/>
    <s v="Neither"/>
    <n v="5"/>
  </r>
  <r>
    <d v="2021-08-29T00:00:00"/>
    <s v="21-4755"/>
    <s v="P071"/>
    <x v="14"/>
    <n v="210"/>
    <n v="70"/>
    <n v="2520"/>
    <n v="840"/>
    <n v="1680"/>
    <x v="69"/>
    <s v="Healthcare &amp; Safety"/>
    <n v="9.3014286057233697"/>
    <s v="Neither"/>
    <n v="5"/>
  </r>
  <r>
    <d v="2021-08-30T00:00:00"/>
    <s v="21-3527"/>
    <s v="P088"/>
    <x v="18"/>
    <n v="192"/>
    <n v="96"/>
    <n v="3456"/>
    <n v="1728"/>
    <n v="1728"/>
    <x v="220"/>
    <s v="Education"/>
    <n v="13.392447352247808"/>
    <s v="Neither"/>
    <n v="5"/>
  </r>
  <r>
    <d v="2021-08-31T00:00:00"/>
    <s v="21-2809"/>
    <s v="P092"/>
    <x v="14"/>
    <n v="124"/>
    <n v="62"/>
    <n v="1488"/>
    <n v="744"/>
    <n v="744"/>
    <x v="68"/>
    <s v="Sports &amp; Recreation"/>
    <n v="12.200533931675887"/>
    <s v="Neither"/>
    <n v="5"/>
  </r>
  <r>
    <d v="2021-09-01T00:00:00"/>
    <s v="21-4054"/>
    <s v="P079"/>
    <x v="3"/>
    <n v="188"/>
    <n v="94"/>
    <n v="752"/>
    <n v="376"/>
    <n v="376"/>
    <x v="62"/>
    <s v="Education"/>
    <n v="12.396052160428608"/>
    <s v="Neither"/>
    <n v="5"/>
  </r>
  <r>
    <d v="2021-09-02T00:00:00"/>
    <s v="21-3900"/>
    <s v="P039"/>
    <x v="7"/>
    <n v="270"/>
    <n v="90"/>
    <n v="2970"/>
    <n v="990"/>
    <n v="1980"/>
    <x v="50"/>
    <s v="Creative &amp; Technology"/>
    <n v="12.551203838971933"/>
    <s v="Neither"/>
    <n v="5"/>
  </r>
  <r>
    <d v="2021-09-03T00:00:00"/>
    <s v="21-4682"/>
    <s v="P025"/>
    <x v="18"/>
    <n v="210"/>
    <n v="70"/>
    <n v="3780"/>
    <n v="1260"/>
    <n v="2520"/>
    <x v="179"/>
    <s v="Creative &amp; Technology"/>
    <n v="12.207242573430314"/>
    <s v="Dissatisfied"/>
    <n v="1"/>
  </r>
  <r>
    <d v="2021-09-04T00:00:00"/>
    <s v="21-4981"/>
    <s v="P086"/>
    <x v="15"/>
    <n v="352"/>
    <n v="88"/>
    <n v="5984"/>
    <n v="1496"/>
    <n v="4488"/>
    <x v="43"/>
    <s v="Corporate &amp; Professional"/>
    <n v="15.121383064708469"/>
    <s v="Satisfied"/>
    <n v="10"/>
  </r>
  <r>
    <d v="2021-09-05T00:00:00"/>
    <s v="21-3203"/>
    <s v="P036"/>
    <x v="8"/>
    <n v="280"/>
    <n v="70"/>
    <n v="3920"/>
    <n v="980"/>
    <n v="2940"/>
    <x v="24"/>
    <s v="Sports &amp; Recreation"/>
    <n v="14.697745043716761"/>
    <s v="Dissatisfied"/>
    <n v="1"/>
  </r>
  <r>
    <d v="2021-09-06T00:00:00"/>
    <s v="21-1461"/>
    <s v="P012"/>
    <x v="10"/>
    <n v="30"/>
    <n v="15"/>
    <n v="150"/>
    <n v="75"/>
    <n v="75"/>
    <x v="278"/>
    <s v="Facilities &amp; Services"/>
    <n v="12.427459362224146"/>
    <s v="Dissatisfied"/>
    <n v="1"/>
  </r>
  <r>
    <d v="2021-09-07T00:00:00"/>
    <s v="21-1033"/>
    <s v="P024"/>
    <x v="1"/>
    <n v="66"/>
    <n v="33"/>
    <n v="528"/>
    <n v="264"/>
    <n v="264"/>
    <x v="263"/>
    <s v="Facilities &amp; Services"/>
    <n v="8.1352386075080023"/>
    <s v="Neither"/>
    <n v="5"/>
  </r>
  <r>
    <d v="2021-09-08T00:00:00"/>
    <s v="21-3708"/>
    <s v="P077"/>
    <x v="1"/>
    <n v="162"/>
    <n v="54"/>
    <n v="1296"/>
    <n v="432"/>
    <n v="864"/>
    <x v="251"/>
    <s v="Creative &amp; Technology"/>
    <n v="9.1591412531773226"/>
    <s v="Neither"/>
    <n v="5"/>
  </r>
  <r>
    <d v="2021-09-09T00:00:00"/>
    <s v="21-1188"/>
    <s v="P092"/>
    <x v="11"/>
    <n v="124"/>
    <n v="62"/>
    <n v="1984"/>
    <n v="992"/>
    <n v="992"/>
    <x v="264"/>
    <s v="Education"/>
    <n v="10.818241047231139"/>
    <s v="Satisfied"/>
    <n v="10"/>
  </r>
  <r>
    <d v="2021-09-10T00:00:00"/>
    <s v="21-4017"/>
    <s v="P006"/>
    <x v="5"/>
    <n v="38"/>
    <n v="19"/>
    <n v="114"/>
    <n v="57"/>
    <n v="57"/>
    <x v="264"/>
    <s v="Education"/>
    <n v="10.818241047231139"/>
    <s v="Neither"/>
    <n v="5"/>
  </r>
  <r>
    <d v="2021-09-11T00:00:00"/>
    <s v="21-2924"/>
    <s v="P038"/>
    <x v="9"/>
    <n v="240"/>
    <n v="80"/>
    <n v="4800"/>
    <n v="1600"/>
    <n v="3200"/>
    <x v="77"/>
    <s v="Facilities &amp; Services"/>
    <n v="12.514998090845811"/>
    <s v="Neither"/>
    <n v="5"/>
  </r>
  <r>
    <d v="2021-09-12T00:00:00"/>
    <s v="21-1828"/>
    <s v="P078"/>
    <x v="2"/>
    <n v="225"/>
    <n v="75"/>
    <n v="2925"/>
    <n v="975"/>
    <n v="1950"/>
    <x v="55"/>
    <s v="Creative &amp; Technology"/>
    <n v="13.765798454641494"/>
    <s v="Neither"/>
    <n v="5"/>
  </r>
  <r>
    <d v="2021-09-13T00:00:00"/>
    <s v="21-3541"/>
    <s v="P091"/>
    <x v="1"/>
    <n v="204"/>
    <n v="51"/>
    <n v="1632"/>
    <n v="408"/>
    <n v="1224"/>
    <x v="12"/>
    <s v="Creative &amp; Technology"/>
    <n v="9.8384363471888783"/>
    <s v="Dissatisfied"/>
    <n v="1"/>
  </r>
  <r>
    <d v="2021-09-14T00:00:00"/>
    <s v="21-2050"/>
    <s v="P085"/>
    <x v="13"/>
    <n v="320"/>
    <n v="80"/>
    <n v="3200"/>
    <n v="800"/>
    <n v="2400"/>
    <x v="91"/>
    <s v="Creative &amp; Technology"/>
    <n v="11.03324198943719"/>
    <s v="Satisfied"/>
    <n v="10"/>
  </r>
  <r>
    <d v="2021-09-15T00:00:00"/>
    <s v="21-4121"/>
    <s v="P031"/>
    <x v="10"/>
    <n v="146"/>
    <n v="73"/>
    <n v="730"/>
    <n v="365"/>
    <n v="365"/>
    <x v="94"/>
    <s v="Corporate &amp; Professional"/>
    <n v="9.0350666811770921"/>
    <s v="Satisfied"/>
    <n v="10"/>
  </r>
  <r>
    <d v="2021-09-16T00:00:00"/>
    <s v="21-3216"/>
    <s v="P023"/>
    <x v="1"/>
    <n v="126"/>
    <n v="42"/>
    <n v="1008"/>
    <n v="336"/>
    <n v="672"/>
    <x v="10"/>
    <s v="Education"/>
    <n v="12.957303170959879"/>
    <s v="Satisfied"/>
    <n v="10"/>
  </r>
  <r>
    <d v="2021-09-17T00:00:00"/>
    <s v="21-2848"/>
    <s v="P044"/>
    <x v="18"/>
    <n v="368"/>
    <n v="92"/>
    <n v="6624"/>
    <n v="1656"/>
    <n v="4968"/>
    <x v="230"/>
    <s v="Community &amp; Government"/>
    <n v="12.155895475340943"/>
    <s v="Neither"/>
    <n v="5"/>
  </r>
  <r>
    <d v="2021-09-18T00:00:00"/>
    <s v="21-3120"/>
    <s v="P034"/>
    <x v="17"/>
    <n v="114"/>
    <n v="57"/>
    <n v="114"/>
    <n v="57"/>
    <n v="57"/>
    <x v="68"/>
    <s v="Sports &amp; Recreation"/>
    <n v="12.200533931675887"/>
    <s v="Dissatisfied"/>
    <n v="1"/>
  </r>
  <r>
    <d v="2021-09-19T00:00:00"/>
    <s v="21-1730"/>
    <s v="P083"/>
    <x v="1"/>
    <n v="90"/>
    <n v="45"/>
    <n v="720"/>
    <n v="360"/>
    <n v="360"/>
    <x v="112"/>
    <s v="Creative &amp; Technology"/>
    <n v="12.004541523616258"/>
    <s v="Satisfied"/>
    <n v="10"/>
  </r>
  <r>
    <d v="2021-09-20T00:00:00"/>
    <s v="21-2892"/>
    <s v="P025"/>
    <x v="0"/>
    <n v="210"/>
    <n v="70"/>
    <n v="3150"/>
    <n v="1050"/>
    <n v="2100"/>
    <x v="135"/>
    <s v="Corporate &amp; Professional"/>
    <n v="10.408704992688252"/>
    <s v="Satisfied"/>
    <n v="10"/>
  </r>
  <r>
    <d v="2021-09-21T00:00:00"/>
    <s v="21-2798"/>
    <s v="P091"/>
    <x v="12"/>
    <n v="204"/>
    <n v="51"/>
    <n v="1428"/>
    <n v="357"/>
    <n v="1071"/>
    <x v="203"/>
    <s v="Creative &amp; Technology"/>
    <n v="13.486912834801583"/>
    <s v="Satisfied"/>
    <n v="10"/>
  </r>
  <r>
    <d v="2021-09-22T00:00:00"/>
    <s v="21-3445"/>
    <s v="P017"/>
    <x v="0"/>
    <n v="120"/>
    <n v="30"/>
    <n v="1800"/>
    <n v="450"/>
    <n v="1350"/>
    <x v="218"/>
    <s v="Facilities &amp; Services"/>
    <n v="14.376986923104601"/>
    <s v="Neither"/>
    <n v="5"/>
  </r>
  <r>
    <d v="2021-09-23T00:00:00"/>
    <s v="21-4600"/>
    <s v="P058"/>
    <x v="5"/>
    <n v="356"/>
    <n v="89"/>
    <n v="1068"/>
    <n v="267"/>
    <n v="801"/>
    <x v="41"/>
    <s v="Community &amp; Government"/>
    <n v="12.452986387489583"/>
    <s v="Satisfied"/>
    <n v="10"/>
  </r>
  <r>
    <d v="2021-09-24T00:00:00"/>
    <s v="21-1606"/>
    <s v="P047"/>
    <x v="17"/>
    <n v="72"/>
    <n v="36"/>
    <n v="72"/>
    <n v="36"/>
    <n v="36"/>
    <x v="201"/>
    <s v="Community &amp; Government"/>
    <n v="8.1628930629234038"/>
    <s v="Neither"/>
    <n v="5"/>
  </r>
  <r>
    <d v="2021-09-25T00:00:00"/>
    <s v="21-3148"/>
    <s v="P021"/>
    <x v="16"/>
    <n v="207"/>
    <n v="69"/>
    <n v="1863"/>
    <n v="621"/>
    <n v="1242"/>
    <x v="273"/>
    <s v="Corporate &amp; Professional"/>
    <n v="11.971065679104063"/>
    <s v="Satisfied"/>
    <n v="10"/>
  </r>
  <r>
    <d v="2021-09-26T00:00:00"/>
    <s v="21-4561"/>
    <s v="P093"/>
    <x v="18"/>
    <n v="384"/>
    <n v="96"/>
    <n v="6912"/>
    <n v="1728"/>
    <n v="5184"/>
    <x v="82"/>
    <s v="Creative &amp; Technology"/>
    <n v="11.883396013219548"/>
    <s v="Satisfied"/>
    <n v="10"/>
  </r>
  <r>
    <d v="2021-09-27T00:00:00"/>
    <s v="21-3287"/>
    <s v="P086"/>
    <x v="9"/>
    <n v="352"/>
    <n v="88"/>
    <n v="7040"/>
    <n v="1760"/>
    <n v="5280"/>
    <x v="1"/>
    <s v="Corporate &amp; Professional"/>
    <n v="13.299525114817991"/>
    <s v="Neither"/>
    <n v="5"/>
  </r>
  <r>
    <d v="2021-09-28T00:00:00"/>
    <s v="21-4613"/>
    <s v="P020"/>
    <x v="17"/>
    <n v="180"/>
    <n v="45"/>
    <n v="180"/>
    <n v="45"/>
    <n v="135"/>
    <x v="205"/>
    <s v="Facilities &amp; Services"/>
    <n v="10.434860153112215"/>
    <s v="Neither"/>
    <n v="5"/>
  </r>
  <r>
    <d v="2021-09-29T00:00:00"/>
    <s v="21-2878"/>
    <s v="P034"/>
    <x v="3"/>
    <n v="114"/>
    <n v="57"/>
    <n v="456"/>
    <n v="228"/>
    <n v="228"/>
    <x v="219"/>
    <s v="Facilities &amp; Services"/>
    <n v="11.289144410898391"/>
    <s v="Neither"/>
    <n v="5"/>
  </r>
  <r>
    <d v="2021-09-30T00:00:00"/>
    <s v="21-2902"/>
    <s v="P050"/>
    <x v="9"/>
    <n v="108"/>
    <n v="36"/>
    <n v="2160"/>
    <n v="720"/>
    <n v="1440"/>
    <x v="247"/>
    <s v="Facilities &amp; Services"/>
    <n v="12.502346728827876"/>
    <s v="Neither"/>
    <n v="5"/>
  </r>
  <r>
    <d v="2021-10-01T00:00:00"/>
    <s v="21-1742"/>
    <s v="P021"/>
    <x v="2"/>
    <n v="207"/>
    <n v="69"/>
    <n v="2691"/>
    <n v="897"/>
    <n v="1794"/>
    <x v="146"/>
    <s v="Creative &amp; Technology"/>
    <n v="10.764293826791503"/>
    <s v="Satisfied"/>
    <n v="10"/>
  </r>
  <r>
    <d v="2021-10-02T00:00:00"/>
    <s v="21-3583"/>
    <s v="P021"/>
    <x v="7"/>
    <n v="207"/>
    <n v="69"/>
    <n v="2277"/>
    <n v="759"/>
    <n v="1518"/>
    <x v="48"/>
    <s v="Creative &amp; Technology"/>
    <n v="11.939773463335372"/>
    <s v="Satisfied"/>
    <n v="10"/>
  </r>
  <r>
    <d v="2021-10-03T00:00:00"/>
    <s v="21-1366"/>
    <s v="P084"/>
    <x v="7"/>
    <n v="154"/>
    <n v="77"/>
    <n v="1694"/>
    <n v="847"/>
    <n v="847"/>
    <x v="236"/>
    <s v="Creative &amp; Technology"/>
    <n v="13.827196127590291"/>
    <s v="Neither"/>
    <n v="5"/>
  </r>
  <r>
    <d v="2021-10-04T00:00:00"/>
    <s v="21-1918"/>
    <s v="P027"/>
    <x v="11"/>
    <n v="140"/>
    <n v="70"/>
    <n v="2240"/>
    <n v="1120"/>
    <n v="1120"/>
    <x v="47"/>
    <s v="Healthcare &amp; Safety"/>
    <n v="11.727497850343074"/>
    <s v="Satisfied"/>
    <n v="10"/>
  </r>
  <r>
    <d v="2021-10-05T00:00:00"/>
    <s v="21-2360"/>
    <s v="P044"/>
    <x v="17"/>
    <n v="368"/>
    <n v="92"/>
    <n v="368"/>
    <n v="92"/>
    <n v="276"/>
    <x v="118"/>
    <s v="Community &amp; Government"/>
    <n v="15.60430546146185"/>
    <s v="Neither"/>
    <n v="5"/>
  </r>
  <r>
    <d v="2021-10-06T00:00:00"/>
    <s v="21-2526"/>
    <s v="P065"/>
    <x v="16"/>
    <n v="50"/>
    <n v="25"/>
    <n v="450"/>
    <n v="225"/>
    <n v="225"/>
    <x v="114"/>
    <s v="Healthcare &amp; Safety"/>
    <n v="14.423322704129969"/>
    <s v="Neither"/>
    <n v="5"/>
  </r>
  <r>
    <d v="2021-10-07T00:00:00"/>
    <s v="21-3646"/>
    <s v="P078"/>
    <x v="4"/>
    <n v="225"/>
    <n v="75"/>
    <n v="450"/>
    <n v="150"/>
    <n v="300"/>
    <x v="38"/>
    <s v="Facilities &amp; Services"/>
    <n v="13.378080355059918"/>
    <s v="Satisfied"/>
    <n v="10"/>
  </r>
  <r>
    <d v="2021-10-08T00:00:00"/>
    <s v="21-4240"/>
    <s v="P039"/>
    <x v="19"/>
    <n v="270"/>
    <n v="90"/>
    <n v="5130"/>
    <n v="1710"/>
    <n v="3420"/>
    <x v="35"/>
    <s v="Sports &amp; Recreation"/>
    <n v="12.487915239531313"/>
    <s v="Dissatisfied"/>
    <n v="1"/>
  </r>
  <r>
    <d v="2021-10-09T00:00:00"/>
    <s v="21-4060"/>
    <s v="P034"/>
    <x v="9"/>
    <n v="114"/>
    <n v="57"/>
    <n v="2280"/>
    <n v="1140"/>
    <n v="1140"/>
    <x v="37"/>
    <s v="Corporate &amp; Professional"/>
    <n v="11.749038185128619"/>
    <s v="Neither"/>
    <n v="5"/>
  </r>
  <r>
    <d v="2021-10-10T00:00:00"/>
    <s v="21-3553"/>
    <s v="P060"/>
    <x v="4"/>
    <n v="300"/>
    <n v="75"/>
    <n v="600"/>
    <n v="150"/>
    <n v="450"/>
    <x v="268"/>
    <s v="Sports &amp; Recreation"/>
    <n v="11.593991859287692"/>
    <s v="Neither"/>
    <n v="5"/>
  </r>
  <r>
    <d v="2021-10-11T00:00:00"/>
    <s v="21-1805"/>
    <s v="P028"/>
    <x v="18"/>
    <n v="156"/>
    <n v="78"/>
    <n v="2808"/>
    <n v="1404"/>
    <n v="1404"/>
    <x v="20"/>
    <s v="Education"/>
    <n v="15.12637675023732"/>
    <s v="Satisfied"/>
    <n v="10"/>
  </r>
  <r>
    <d v="2021-10-12T00:00:00"/>
    <s v="21-2425"/>
    <s v="P025"/>
    <x v="10"/>
    <n v="210"/>
    <n v="70"/>
    <n v="1050"/>
    <n v="350"/>
    <n v="700"/>
    <x v="257"/>
    <s v="Creative &amp; Technology"/>
    <n v="9.9471686551317795"/>
    <s v="Neither"/>
    <n v="5"/>
  </r>
  <r>
    <d v="2021-10-13T00:00:00"/>
    <s v="21-3216"/>
    <s v="P029"/>
    <x v="11"/>
    <n v="300"/>
    <n v="75"/>
    <n v="4800"/>
    <n v="1200"/>
    <n v="3600"/>
    <x v="87"/>
    <s v="Education"/>
    <n v="11.710935611749917"/>
    <s v="Neither"/>
    <n v="5"/>
  </r>
  <r>
    <d v="2021-10-14T00:00:00"/>
    <s v="21-1896"/>
    <s v="P052"/>
    <x v="17"/>
    <n v="352"/>
    <n v="88"/>
    <n v="352"/>
    <n v="88"/>
    <n v="264"/>
    <x v="241"/>
    <s v="Community &amp; Government"/>
    <n v="15.856807810268592"/>
    <s v="Dissatisfied"/>
    <n v="1"/>
  </r>
  <r>
    <d v="2021-10-15T00:00:00"/>
    <s v="21-1042"/>
    <s v="P099"/>
    <x v="0"/>
    <n v="132"/>
    <n v="33"/>
    <n v="1980"/>
    <n v="495"/>
    <n v="1485"/>
    <x v="287"/>
    <s v="Community &amp; Government"/>
    <n v="14.412865837260112"/>
    <s v="Neither"/>
    <n v="5"/>
  </r>
  <r>
    <d v="2021-10-16T00:00:00"/>
    <s v="21-2637"/>
    <s v="P050"/>
    <x v="8"/>
    <n v="108"/>
    <n v="36"/>
    <n v="1512"/>
    <n v="504"/>
    <n v="1008"/>
    <x v="267"/>
    <s v="Healthcare &amp; Safety"/>
    <n v="10.28240320324797"/>
    <s v="Neither"/>
    <n v="5"/>
  </r>
  <r>
    <d v="2021-10-17T00:00:00"/>
    <s v="21-3993"/>
    <s v="P052"/>
    <x v="16"/>
    <n v="352"/>
    <n v="88"/>
    <n v="3168"/>
    <n v="792"/>
    <n v="2376"/>
    <x v="264"/>
    <s v="Education"/>
    <n v="10.818241047231139"/>
    <s v="Neither"/>
    <n v="5"/>
  </r>
  <r>
    <d v="2021-10-18T00:00:00"/>
    <s v="21-1931"/>
    <s v="P088"/>
    <x v="2"/>
    <n v="192"/>
    <n v="96"/>
    <n v="2496"/>
    <n v="1248"/>
    <n v="1248"/>
    <x v="169"/>
    <s v="Healthcare &amp; Safety"/>
    <n v="14.341195386574373"/>
    <s v="Satisfied"/>
    <n v="10"/>
  </r>
  <r>
    <d v="2021-10-19T00:00:00"/>
    <s v="21-1499"/>
    <s v="P079"/>
    <x v="8"/>
    <n v="188"/>
    <n v="94"/>
    <n v="2632"/>
    <n v="1316"/>
    <n v="1316"/>
    <x v="115"/>
    <s v="Sports &amp; Recreation"/>
    <n v="11.416048240262977"/>
    <s v="Neither"/>
    <n v="5"/>
  </r>
  <r>
    <d v="2021-10-20T00:00:00"/>
    <s v="21-1702"/>
    <s v="P041"/>
    <x v="16"/>
    <n v="144"/>
    <n v="36"/>
    <n v="1296"/>
    <n v="324"/>
    <n v="972"/>
    <x v="275"/>
    <s v="Healthcare &amp; Safety"/>
    <n v="10.428287009858728"/>
    <s v="Dissatisfied"/>
    <n v="1"/>
  </r>
  <r>
    <d v="2021-10-21T00:00:00"/>
    <s v="21-4430"/>
    <s v="P086"/>
    <x v="6"/>
    <n v="352"/>
    <n v="88"/>
    <n v="2112"/>
    <n v="528"/>
    <n v="1584"/>
    <x v="235"/>
    <s v="Facilities &amp; Services"/>
    <n v="11.226611755437654"/>
    <s v="Neither"/>
    <n v="5"/>
  </r>
  <r>
    <d v="2021-10-22T00:00:00"/>
    <s v="21-2557"/>
    <s v="P069"/>
    <x v="8"/>
    <n v="150"/>
    <n v="75"/>
    <n v="2100"/>
    <n v="1050"/>
    <n v="1050"/>
    <x v="156"/>
    <s v="Healthcare &amp; Safety"/>
    <n v="12.801144805697081"/>
    <s v="Neither"/>
    <n v="5"/>
  </r>
  <r>
    <d v="2021-10-23T00:00:00"/>
    <s v="21-4353"/>
    <s v="P039"/>
    <x v="3"/>
    <n v="270"/>
    <n v="90"/>
    <n v="1080"/>
    <n v="360"/>
    <n v="720"/>
    <x v="125"/>
    <s v="Sports &amp; Recreation"/>
    <n v="12.682358648534777"/>
    <s v="Neither"/>
    <n v="5"/>
  </r>
  <r>
    <d v="2021-10-24T00:00:00"/>
    <s v="21-2997"/>
    <s v="P031"/>
    <x v="6"/>
    <n v="146"/>
    <n v="73"/>
    <n v="876"/>
    <n v="438"/>
    <n v="438"/>
    <x v="205"/>
    <s v="Facilities &amp; Services"/>
    <n v="10.434860153112215"/>
    <s v="Neither"/>
    <n v="5"/>
  </r>
  <r>
    <d v="2021-10-25T00:00:00"/>
    <s v="21-4966"/>
    <s v="P074"/>
    <x v="15"/>
    <n v="352"/>
    <n v="88"/>
    <n v="5984"/>
    <n v="1496"/>
    <n v="4488"/>
    <x v="126"/>
    <s v="Creative &amp; Technology"/>
    <n v="12.399050786131125"/>
    <s v="Satisfied"/>
    <n v="10"/>
  </r>
  <r>
    <d v="2021-10-26T00:00:00"/>
    <s v="21-3881"/>
    <s v="P013"/>
    <x v="10"/>
    <n v="58"/>
    <n v="29"/>
    <n v="290"/>
    <n v="145"/>
    <n v="145"/>
    <x v="67"/>
    <s v="Community &amp; Government"/>
    <n v="11.346510807401776"/>
    <s v="Neither"/>
    <n v="5"/>
  </r>
  <r>
    <d v="2021-10-27T00:00:00"/>
    <s v="21-4398"/>
    <s v="P045"/>
    <x v="13"/>
    <n v="100"/>
    <n v="25"/>
    <n v="1000"/>
    <n v="250"/>
    <n v="750"/>
    <x v="184"/>
    <s v="Community &amp; Government"/>
    <n v="8.8169309002713945"/>
    <s v="Neither"/>
    <n v="5"/>
  </r>
  <r>
    <d v="2021-10-28T00:00:00"/>
    <s v="21-3862"/>
    <s v="P017"/>
    <x v="4"/>
    <n v="120"/>
    <n v="30"/>
    <n v="240"/>
    <n v="60"/>
    <n v="180"/>
    <x v="2"/>
    <s v="Facilities &amp; Services"/>
    <n v="9.3226775515721787"/>
    <s v="Neither"/>
    <n v="5"/>
  </r>
  <r>
    <d v="2021-10-29T00:00:00"/>
    <s v="21-4336"/>
    <s v="P010"/>
    <x v="16"/>
    <n v="144"/>
    <n v="36"/>
    <n v="1296"/>
    <n v="324"/>
    <n v="972"/>
    <x v="203"/>
    <s v="Creative &amp; Technology"/>
    <n v="13.486912834801583"/>
    <s v="Neither"/>
    <n v="5"/>
  </r>
  <r>
    <d v="2021-10-30T00:00:00"/>
    <s v="21-3019"/>
    <s v="P087"/>
    <x v="11"/>
    <n v="176"/>
    <n v="88"/>
    <n v="2816"/>
    <n v="1408"/>
    <n v="1408"/>
    <x v="27"/>
    <s v="Healthcare &amp; Safety"/>
    <n v="10.42743035829395"/>
    <s v="Neither"/>
    <n v="5"/>
  </r>
  <r>
    <d v="2021-10-31T00:00:00"/>
    <s v="21-3583"/>
    <s v="P010"/>
    <x v="11"/>
    <n v="144"/>
    <n v="36"/>
    <n v="2304"/>
    <n v="576"/>
    <n v="1728"/>
    <x v="11"/>
    <s v="Creative &amp; Technology"/>
    <n v="8.2871811249429097"/>
    <s v="Satisfied"/>
    <n v="10"/>
  </r>
  <r>
    <d v="2021-11-01T00:00:00"/>
    <s v="21-4862"/>
    <s v="P100"/>
    <x v="7"/>
    <n v="46"/>
    <n v="23"/>
    <n v="506"/>
    <n v="253"/>
    <n v="253"/>
    <x v="283"/>
    <s v="Creative &amp; Technology"/>
    <n v="11.0700865530371"/>
    <s v="Neither"/>
    <n v="5"/>
  </r>
  <r>
    <d v="2021-11-02T00:00:00"/>
    <s v="21-1727"/>
    <s v="P096"/>
    <x v="6"/>
    <n v="144"/>
    <n v="48"/>
    <n v="864"/>
    <n v="288"/>
    <n v="576"/>
    <x v="173"/>
    <s v="Education"/>
    <n v="12.147202500273634"/>
    <s v="Neither"/>
    <n v="5"/>
  </r>
  <r>
    <d v="2021-11-03T00:00:00"/>
    <s v="21-2657"/>
    <s v="P060"/>
    <x v="12"/>
    <n v="300"/>
    <n v="75"/>
    <n v="2100"/>
    <n v="525"/>
    <n v="1575"/>
    <x v="124"/>
    <s v="Sports &amp; Recreation"/>
    <n v="13.115597690631557"/>
    <s v="Satisfied"/>
    <n v="10"/>
  </r>
  <r>
    <d v="2021-11-04T00:00:00"/>
    <s v="21-3488"/>
    <s v="P044"/>
    <x v="2"/>
    <n v="368"/>
    <n v="92"/>
    <n v="4784"/>
    <n v="1196"/>
    <n v="3588"/>
    <x v="244"/>
    <s v="Creative &amp; Technology"/>
    <n v="11.78346750250795"/>
    <s v="Dissatisfied"/>
    <n v="1"/>
  </r>
  <r>
    <d v="2021-11-05T00:00:00"/>
    <s v="21-3668"/>
    <s v="P014"/>
    <x v="14"/>
    <n v="166"/>
    <n v="83"/>
    <n v="1992"/>
    <n v="996"/>
    <n v="996"/>
    <x v="72"/>
    <s v="Community &amp; Government"/>
    <n v="15.458859683514467"/>
    <s v="Neither"/>
    <n v="5"/>
  </r>
  <r>
    <d v="2021-11-06T00:00:00"/>
    <s v="21-3855"/>
    <s v="P094"/>
    <x v="5"/>
    <n v="80"/>
    <n v="20"/>
    <n v="240"/>
    <n v="60"/>
    <n v="180"/>
    <x v="269"/>
    <s v="Corporate &amp; Professional"/>
    <n v="10.585251392347548"/>
    <s v="Neither"/>
    <n v="5"/>
  </r>
  <r>
    <d v="2021-11-07T00:00:00"/>
    <s v="21-4147"/>
    <s v="P069"/>
    <x v="0"/>
    <n v="150"/>
    <n v="75"/>
    <n v="2250"/>
    <n v="1125"/>
    <n v="1125"/>
    <x v="149"/>
    <s v="Facilities &amp; Services"/>
    <n v="11.311040680082275"/>
    <s v="Neither"/>
    <n v="5"/>
  </r>
  <r>
    <d v="2021-11-08T00:00:00"/>
    <s v="21-1024"/>
    <s v="P079"/>
    <x v="18"/>
    <n v="188"/>
    <n v="94"/>
    <n v="3384"/>
    <n v="1692"/>
    <n v="1692"/>
    <x v="169"/>
    <s v="Healthcare &amp; Safety"/>
    <n v="14.341195386574373"/>
    <s v="Satisfied"/>
    <n v="10"/>
  </r>
  <r>
    <d v="2021-11-09T00:00:00"/>
    <s v="21-2376"/>
    <s v="P017"/>
    <x v="3"/>
    <n v="120"/>
    <n v="30"/>
    <n v="480"/>
    <n v="120"/>
    <n v="360"/>
    <x v="1"/>
    <s v="Corporate &amp; Professional"/>
    <n v="13.299525114817991"/>
    <s v="Satisfied"/>
    <n v="10"/>
  </r>
  <r>
    <d v="2021-11-10T00:00:00"/>
    <s v="21-2661"/>
    <s v="P036"/>
    <x v="8"/>
    <n v="280"/>
    <n v="70"/>
    <n v="3920"/>
    <n v="980"/>
    <n v="2940"/>
    <x v="10"/>
    <s v="Education"/>
    <n v="12.957303170959879"/>
    <s v="Dissatisfied"/>
    <n v="1"/>
  </r>
  <r>
    <d v="2021-11-11T00:00:00"/>
    <s v="21-2036"/>
    <s v="P038"/>
    <x v="2"/>
    <n v="240"/>
    <n v="80"/>
    <n v="3120"/>
    <n v="1040"/>
    <n v="2080"/>
    <x v="174"/>
    <s v="Corporate &amp; Professional"/>
    <n v="12.921682080641304"/>
    <s v="Neither"/>
    <n v="5"/>
  </r>
  <r>
    <d v="2021-11-12T00:00:00"/>
    <s v="21-2964"/>
    <s v="P050"/>
    <x v="3"/>
    <n v="108"/>
    <n v="36"/>
    <n v="432"/>
    <n v="144"/>
    <n v="288"/>
    <x v="282"/>
    <s v="Community &amp; Government"/>
    <n v="14.157909724393564"/>
    <s v="Neither"/>
    <n v="5"/>
  </r>
  <r>
    <d v="2021-11-13T00:00:00"/>
    <s v="21-1889"/>
    <s v="P052"/>
    <x v="17"/>
    <n v="352"/>
    <n v="88"/>
    <n v="352"/>
    <n v="88"/>
    <n v="264"/>
    <x v="135"/>
    <s v="Corporate &amp; Professional"/>
    <n v="10.408704992688252"/>
    <s v="Neither"/>
    <n v="5"/>
  </r>
  <r>
    <d v="2021-11-14T00:00:00"/>
    <s v="21-4978"/>
    <s v="P100"/>
    <x v="3"/>
    <n v="46"/>
    <n v="23"/>
    <n v="184"/>
    <n v="92"/>
    <n v="92"/>
    <x v="202"/>
    <s v="Community &amp; Government"/>
    <n v="8.1595626482464514"/>
    <s v="Neither"/>
    <n v="5"/>
  </r>
  <r>
    <d v="2021-11-15T00:00:00"/>
    <s v="21-3340"/>
    <s v="P035"/>
    <x v="4"/>
    <n v="144"/>
    <n v="48"/>
    <n v="288"/>
    <n v="96"/>
    <n v="192"/>
    <x v="141"/>
    <s v="Facilities &amp; Services"/>
    <n v="13.104576594826185"/>
    <s v="Dissatisfied"/>
    <n v="1"/>
  </r>
  <r>
    <d v="2021-11-16T00:00:00"/>
    <s v="21-1511"/>
    <s v="P091"/>
    <x v="4"/>
    <n v="204"/>
    <n v="51"/>
    <n v="408"/>
    <n v="102"/>
    <n v="306"/>
    <x v="264"/>
    <s v="Education"/>
    <n v="10.818241047231139"/>
    <s v="Dissatisfied"/>
    <n v="1"/>
  </r>
  <r>
    <d v="2021-11-17T00:00:00"/>
    <s v="21-1760"/>
    <s v="P039"/>
    <x v="8"/>
    <n v="270"/>
    <n v="90"/>
    <n v="3780"/>
    <n v="1260"/>
    <n v="2520"/>
    <x v="14"/>
    <s v="Creative &amp; Technology"/>
    <n v="13.45980057156361"/>
    <s v="Dissatisfied"/>
    <n v="1"/>
  </r>
  <r>
    <d v="2021-11-18T00:00:00"/>
    <s v="21-3217"/>
    <s v="P068"/>
    <x v="10"/>
    <n v="300"/>
    <n v="75"/>
    <n v="1500"/>
    <n v="375"/>
    <n v="1125"/>
    <x v="144"/>
    <s v="Education"/>
    <n v="16.368863536738775"/>
    <s v="Neither"/>
    <n v="5"/>
  </r>
  <r>
    <d v="2021-11-19T00:00:00"/>
    <s v="21-1901"/>
    <s v="P073"/>
    <x v="14"/>
    <n v="48"/>
    <n v="24"/>
    <n v="576"/>
    <n v="288"/>
    <n v="288"/>
    <x v="117"/>
    <s v="Corporate &amp; Professional"/>
    <n v="11.687634894637348"/>
    <s v="Neither"/>
    <n v="5"/>
  </r>
  <r>
    <d v="2021-11-20T00:00:00"/>
    <s v="21-4911"/>
    <s v="P034"/>
    <x v="11"/>
    <n v="114"/>
    <n v="57"/>
    <n v="1824"/>
    <n v="912"/>
    <n v="912"/>
    <x v="84"/>
    <s v="Corporate &amp; Professional"/>
    <n v="11.428575823958646"/>
    <s v="Satisfied"/>
    <n v="10"/>
  </r>
  <r>
    <d v="2021-11-21T00:00:00"/>
    <s v="21-4541"/>
    <s v="P042"/>
    <x v="11"/>
    <n v="50"/>
    <n v="25"/>
    <n v="800"/>
    <n v="400"/>
    <n v="400"/>
    <x v="185"/>
    <s v="Education"/>
    <n v="13.466362789017223"/>
    <s v="Dissatisfied"/>
    <n v="1"/>
  </r>
  <r>
    <d v="2021-11-22T00:00:00"/>
    <s v="21-4247"/>
    <s v="P089"/>
    <x v="2"/>
    <n v="102"/>
    <n v="51"/>
    <n v="1326"/>
    <n v="663"/>
    <n v="663"/>
    <x v="115"/>
    <s v="Sports &amp; Recreation"/>
    <n v="11.416048240262977"/>
    <s v="Satisfied"/>
    <n v="10"/>
  </r>
  <r>
    <d v="2021-11-23T00:00:00"/>
    <s v="21-1632"/>
    <s v="P051"/>
    <x v="3"/>
    <n v="135"/>
    <n v="45"/>
    <n v="540"/>
    <n v="180"/>
    <n v="360"/>
    <x v="174"/>
    <s v="Corporate &amp; Professional"/>
    <n v="12.921682080641304"/>
    <s v="Satisfied"/>
    <n v="10"/>
  </r>
  <r>
    <d v="2021-11-24T00:00:00"/>
    <s v="21-1551"/>
    <s v="P047"/>
    <x v="15"/>
    <n v="72"/>
    <n v="36"/>
    <n v="1224"/>
    <n v="612"/>
    <n v="612"/>
    <x v="99"/>
    <s v="Healthcare &amp; Safety"/>
    <n v="12.148236977735172"/>
    <s v="Satisfied"/>
    <n v="10"/>
  </r>
  <r>
    <d v="2021-11-25T00:00:00"/>
    <s v="21-1767"/>
    <s v="P028"/>
    <x v="2"/>
    <n v="156"/>
    <n v="78"/>
    <n v="2028"/>
    <n v="1014"/>
    <n v="1014"/>
    <x v="50"/>
    <s v="Creative &amp; Technology"/>
    <n v="12.551203838971933"/>
    <s v="Neither"/>
    <n v="5"/>
  </r>
  <r>
    <d v="2021-11-26T00:00:00"/>
    <s v="21-2739"/>
    <s v="P017"/>
    <x v="19"/>
    <n v="120"/>
    <n v="30"/>
    <n v="2280"/>
    <n v="570"/>
    <n v="1710"/>
    <x v="142"/>
    <s v="Healthcare &amp; Safety"/>
    <n v="13.574227261506472"/>
    <s v="Neither"/>
    <n v="5"/>
  </r>
  <r>
    <d v="2021-11-27T00:00:00"/>
    <s v="21-3107"/>
    <s v="P075"/>
    <x v="1"/>
    <n v="160"/>
    <n v="80"/>
    <n v="1280"/>
    <n v="640"/>
    <n v="640"/>
    <x v="84"/>
    <s v="Corporate &amp; Professional"/>
    <n v="11.428575823958646"/>
    <s v="Dissatisfied"/>
    <n v="1"/>
  </r>
  <r>
    <d v="2021-11-28T00:00:00"/>
    <s v="21-2220"/>
    <s v="P014"/>
    <x v="1"/>
    <n v="166"/>
    <n v="83"/>
    <n v="1328"/>
    <n v="664"/>
    <n v="664"/>
    <x v="207"/>
    <s v="Education"/>
    <n v="11.779256317174871"/>
    <s v="Satisfied"/>
    <n v="10"/>
  </r>
  <r>
    <d v="2021-11-29T00:00:00"/>
    <s v="21-1677"/>
    <s v="P074"/>
    <x v="5"/>
    <n v="352"/>
    <n v="88"/>
    <n v="1056"/>
    <n v="264"/>
    <n v="792"/>
    <x v="104"/>
    <s v="Facilities &amp; Services"/>
    <n v="11.769293993029555"/>
    <s v="Satisfied"/>
    <n v="10"/>
  </r>
  <r>
    <d v="2021-11-30T00:00:00"/>
    <s v="21-2211"/>
    <s v="P095"/>
    <x v="3"/>
    <n v="116"/>
    <n v="29"/>
    <n v="464"/>
    <n v="116"/>
    <n v="348"/>
    <x v="239"/>
    <s v="Facilities &amp; Services"/>
    <n v="12.37474961859551"/>
    <s v="Neither"/>
    <n v="5"/>
  </r>
  <r>
    <d v="2021-12-01T00:00:00"/>
    <s v="21-1260"/>
    <s v="P033"/>
    <x v="1"/>
    <n v="57"/>
    <n v="19"/>
    <n v="456"/>
    <n v="152"/>
    <n v="304"/>
    <x v="193"/>
    <s v="Corporate &amp; Professional"/>
    <n v="12.275875773922367"/>
    <s v="Satisfied"/>
    <n v="10"/>
  </r>
  <r>
    <d v="2021-12-02T00:00:00"/>
    <s v="21-2384"/>
    <s v="P093"/>
    <x v="2"/>
    <n v="384"/>
    <n v="96"/>
    <n v="4992"/>
    <n v="1248"/>
    <n v="3744"/>
    <x v="121"/>
    <s v="Creative &amp; Technology"/>
    <n v="11.394777319422785"/>
    <s v="Dissatisfied"/>
    <n v="1"/>
  </r>
  <r>
    <d v="2021-12-03T00:00:00"/>
    <s v="21-1184"/>
    <s v="P030"/>
    <x v="16"/>
    <n v="81"/>
    <n v="27"/>
    <n v="729"/>
    <n v="243"/>
    <n v="486"/>
    <x v="274"/>
    <s v="Creative &amp; Technology"/>
    <n v="10.524491192521829"/>
    <s v="Satisfied"/>
    <n v="10"/>
  </r>
  <r>
    <d v="2021-12-04T00:00:00"/>
    <s v="21-2839"/>
    <s v="P061"/>
    <x v="9"/>
    <n v="264"/>
    <n v="88"/>
    <n v="5280"/>
    <n v="1760"/>
    <n v="3520"/>
    <x v="16"/>
    <s v="Sports &amp; Recreation"/>
    <n v="12.865074657680612"/>
    <s v="Neither"/>
    <n v="5"/>
  </r>
  <r>
    <d v="2021-12-05T00:00:00"/>
    <s v="21-2510"/>
    <s v="P014"/>
    <x v="0"/>
    <n v="166"/>
    <n v="83"/>
    <n v="2490"/>
    <n v="1245"/>
    <n v="1245"/>
    <x v="81"/>
    <s v="Community &amp; Government"/>
    <n v="9.821882845934784"/>
    <s v="Neither"/>
    <n v="5"/>
  </r>
  <r>
    <d v="2021-12-06T00:00:00"/>
    <s v="21-1836"/>
    <s v="P091"/>
    <x v="13"/>
    <n v="204"/>
    <n v="51"/>
    <n v="2040"/>
    <n v="510"/>
    <n v="1530"/>
    <x v="56"/>
    <s v="Corporate &amp; Professional"/>
    <n v="12.007834550770397"/>
    <s v="Neither"/>
    <n v="5"/>
  </r>
  <r>
    <d v="2021-12-07T00:00:00"/>
    <s v="21-4552"/>
    <s v="P087"/>
    <x v="18"/>
    <n v="176"/>
    <n v="88"/>
    <n v="3168"/>
    <n v="1584"/>
    <n v="1584"/>
    <x v="147"/>
    <s v="Corporate &amp; Professional"/>
    <n v="9.629298039722805"/>
    <s v="Satisfied"/>
    <n v="10"/>
  </r>
  <r>
    <d v="2021-12-08T00:00:00"/>
    <s v="21-3391"/>
    <s v="P074"/>
    <x v="1"/>
    <n v="352"/>
    <n v="88"/>
    <n v="2816"/>
    <n v="704"/>
    <n v="2112"/>
    <x v="197"/>
    <s v="Community &amp; Government"/>
    <n v="10.163794912095831"/>
    <s v="Satisfied"/>
    <n v="10"/>
  </r>
  <r>
    <d v="2021-12-09T00:00:00"/>
    <s v="21-2836"/>
    <s v="P028"/>
    <x v="3"/>
    <n v="156"/>
    <n v="78"/>
    <n v="624"/>
    <n v="312"/>
    <n v="312"/>
    <x v="76"/>
    <s v="Community &amp; Government"/>
    <n v="12.796588406005421"/>
    <s v="Neither"/>
    <n v="5"/>
  </r>
  <r>
    <d v="2021-12-10T00:00:00"/>
    <s v="21-4717"/>
    <s v="P060"/>
    <x v="11"/>
    <n v="300"/>
    <n v="75"/>
    <n v="4800"/>
    <n v="1200"/>
    <n v="3600"/>
    <x v="176"/>
    <s v="Corporate &amp; Professional"/>
    <n v="11.769937929618399"/>
    <s v="Neither"/>
    <n v="5"/>
  </r>
  <r>
    <d v="2021-12-11T00:00:00"/>
    <s v="21-1679"/>
    <s v="P088"/>
    <x v="5"/>
    <n v="192"/>
    <n v="96"/>
    <n v="576"/>
    <n v="288"/>
    <n v="288"/>
    <x v="176"/>
    <s v="Corporate &amp; Professional"/>
    <n v="11.769937929618399"/>
    <s v="Dissatisfied"/>
    <n v="1"/>
  </r>
  <r>
    <d v="2021-12-12T00:00:00"/>
    <s v="21-2324"/>
    <s v="P085"/>
    <x v="5"/>
    <n v="320"/>
    <n v="80"/>
    <n v="960"/>
    <n v="240"/>
    <n v="720"/>
    <x v="174"/>
    <s v="Corporate &amp; Professional"/>
    <n v="12.921682080641304"/>
    <s v="Satisfied"/>
    <n v="10"/>
  </r>
  <r>
    <d v="2021-12-13T00:00:00"/>
    <s v="21-1823"/>
    <s v="P006"/>
    <x v="14"/>
    <n v="38"/>
    <n v="19"/>
    <n v="456"/>
    <n v="228"/>
    <n v="228"/>
    <x v="10"/>
    <s v="Education"/>
    <n v="12.957303170959879"/>
    <s v="Satisfied"/>
    <n v="10"/>
  </r>
  <r>
    <d v="2021-12-14T00:00:00"/>
    <s v="21-3149"/>
    <s v="P044"/>
    <x v="16"/>
    <n v="368"/>
    <n v="92"/>
    <n v="3312"/>
    <n v="828"/>
    <n v="2484"/>
    <x v="80"/>
    <s v="Education"/>
    <n v="12.503632939408062"/>
    <s v="Neither"/>
    <n v="5"/>
  </r>
  <r>
    <d v="2021-12-15T00:00:00"/>
    <s v="21-2727"/>
    <s v="P049"/>
    <x v="12"/>
    <n v="356"/>
    <n v="89"/>
    <n v="2492"/>
    <n v="623"/>
    <n v="1869"/>
    <x v="133"/>
    <s v="Corporate &amp; Professional"/>
    <n v="5.9872353338051019"/>
    <s v="Dissatisfied"/>
    <n v="1"/>
  </r>
  <r>
    <d v="2021-12-16T00:00:00"/>
    <s v="21-3674"/>
    <s v="P005"/>
    <x v="11"/>
    <n v="76"/>
    <n v="19"/>
    <n v="1216"/>
    <n v="304"/>
    <n v="912"/>
    <x v="226"/>
    <s v="Community &amp; Government"/>
    <n v="11.927799225928501"/>
    <s v="Neither"/>
    <n v="5"/>
  </r>
  <r>
    <d v="2021-12-17T00:00:00"/>
    <s v="21-2310"/>
    <s v="P066"/>
    <x v="15"/>
    <n v="34"/>
    <n v="17"/>
    <n v="578"/>
    <n v="289"/>
    <n v="289"/>
    <x v="69"/>
    <s v="Healthcare &amp; Safety"/>
    <n v="9.3014286057233697"/>
    <s v="Neither"/>
    <n v="5"/>
  </r>
  <r>
    <d v="2021-12-18T00:00:00"/>
    <s v="21-4043"/>
    <s v="P069"/>
    <x v="2"/>
    <n v="150"/>
    <n v="75"/>
    <n v="1950"/>
    <n v="975"/>
    <n v="975"/>
    <x v="280"/>
    <s v="Education"/>
    <n v="9.1264071155960682"/>
    <s v="Neither"/>
    <n v="5"/>
  </r>
  <r>
    <d v="2021-12-19T00:00:00"/>
    <s v="21-1533"/>
    <s v="P089"/>
    <x v="14"/>
    <n v="102"/>
    <n v="51"/>
    <n v="1224"/>
    <n v="612"/>
    <n v="612"/>
    <x v="204"/>
    <s v="Corporate &amp; Professional"/>
    <n v="10.248947386022252"/>
    <s v="Satisfied"/>
    <n v="10"/>
  </r>
  <r>
    <d v="2021-12-20T00:00:00"/>
    <s v="21-4455"/>
    <s v="P021"/>
    <x v="0"/>
    <n v="207"/>
    <n v="69"/>
    <n v="3105"/>
    <n v="1035"/>
    <n v="2070"/>
    <x v="271"/>
    <s v="Sports &amp; Recreation"/>
    <n v="13.601235361661526"/>
    <s v="Dissatisfied"/>
    <n v="1"/>
  </r>
  <r>
    <d v="2021-12-21T00:00:00"/>
    <s v="21-3483"/>
    <s v="P080"/>
    <x v="8"/>
    <n v="57"/>
    <n v="19"/>
    <n v="798"/>
    <n v="266"/>
    <n v="532"/>
    <x v="206"/>
    <s v="Community &amp; Government"/>
    <n v="12.699042739101285"/>
    <s v="Neither"/>
    <n v="5"/>
  </r>
  <r>
    <d v="2021-12-22T00:00:00"/>
    <s v="21-1389"/>
    <s v="P080"/>
    <x v="11"/>
    <n v="57"/>
    <n v="19"/>
    <n v="912"/>
    <n v="304"/>
    <n v="608"/>
    <x v="162"/>
    <s v="Creative &amp; Technology"/>
    <n v="14.064516999204997"/>
    <s v="Satisfied"/>
    <n v="10"/>
  </r>
  <r>
    <d v="2021-12-23T00:00:00"/>
    <s v="21-4738"/>
    <s v="P098"/>
    <x v="19"/>
    <n v="201"/>
    <n v="67"/>
    <n v="3819"/>
    <n v="1273"/>
    <n v="2546"/>
    <x v="255"/>
    <s v="Community &amp; Government"/>
    <n v="12.392787515215366"/>
    <s v="Neither"/>
    <n v="5"/>
  </r>
  <r>
    <d v="2021-12-24T00:00:00"/>
    <s v="21-3275"/>
    <s v="P016"/>
    <x v="15"/>
    <n v="110"/>
    <n v="55"/>
    <n v="1870"/>
    <n v="935"/>
    <n v="935"/>
    <x v="217"/>
    <s v="Education"/>
    <n v="11.862005526237752"/>
    <s v="Neither"/>
    <n v="5"/>
  </r>
  <r>
    <d v="2021-12-25T00:00:00"/>
    <s v="21-4186"/>
    <s v="P068"/>
    <x v="6"/>
    <n v="300"/>
    <n v="75"/>
    <n v="1800"/>
    <n v="450"/>
    <n v="1350"/>
    <x v="60"/>
    <s v="Creative &amp; Technology"/>
    <n v="15.556812309269255"/>
    <s v="Satisfied"/>
    <n v="10"/>
  </r>
  <r>
    <d v="2021-12-26T00:00:00"/>
    <s v="21-2101"/>
    <s v="P040"/>
    <x v="12"/>
    <n v="160"/>
    <n v="80"/>
    <n v="1120"/>
    <n v="560"/>
    <n v="560"/>
    <x v="125"/>
    <s v="Sports &amp; Recreation"/>
    <n v="12.682358648534777"/>
    <s v="Neither"/>
    <n v="5"/>
  </r>
  <r>
    <d v="2021-12-27T00:00:00"/>
    <s v="21-4530"/>
    <s v="P021"/>
    <x v="11"/>
    <n v="207"/>
    <n v="69"/>
    <n v="3312"/>
    <n v="1104"/>
    <n v="2208"/>
    <x v="77"/>
    <s v="Facilities &amp; Services"/>
    <n v="12.514998090845811"/>
    <s v="Neither"/>
    <n v="5"/>
  </r>
  <r>
    <d v="2021-12-28T00:00:00"/>
    <s v="21-3886"/>
    <s v="P042"/>
    <x v="4"/>
    <n v="50"/>
    <n v="25"/>
    <n v="100"/>
    <n v="50"/>
    <n v="50"/>
    <x v="129"/>
    <s v="Community &amp; Government"/>
    <n v="10.813269600021069"/>
    <s v="Dissatisfied"/>
    <n v="1"/>
  </r>
  <r>
    <d v="2021-12-29T00:00:00"/>
    <s v="21-4717"/>
    <s v="P055"/>
    <x v="6"/>
    <n v="360"/>
    <n v="90"/>
    <n v="2160"/>
    <n v="540"/>
    <n v="1620"/>
    <x v="181"/>
    <s v="Sports &amp; Recreation"/>
    <n v="11.072271050116964"/>
    <s v="Neither"/>
    <n v="5"/>
  </r>
  <r>
    <d v="2021-12-30T00:00:00"/>
    <s v="21-2658"/>
    <s v="P064"/>
    <x v="10"/>
    <n v="231"/>
    <n v="77"/>
    <n v="1155"/>
    <n v="385"/>
    <n v="770"/>
    <x v="110"/>
    <s v="Sports &amp; Recreation"/>
    <n v="14.690198582365463"/>
    <s v="Neither"/>
    <n v="5"/>
  </r>
  <r>
    <d v="2021-12-31T00:00:00"/>
    <s v="21-1599"/>
    <s v="P028"/>
    <x v="2"/>
    <n v="156"/>
    <n v="78"/>
    <n v="2028"/>
    <n v="1014"/>
    <n v="1014"/>
    <x v="79"/>
    <s v="Facilities &amp; Services"/>
    <n v="12.661538237835474"/>
    <s v="Neither"/>
    <n v="5"/>
  </r>
  <r>
    <d v="2022-01-01T00:00:00"/>
    <s v="22-3387"/>
    <s v="P032"/>
    <x v="9"/>
    <n v="92"/>
    <n v="46"/>
    <n v="1840"/>
    <n v="920"/>
    <n v="920"/>
    <x v="100"/>
    <s v="Sports &amp; Recreation"/>
    <n v="10.132922049221957"/>
    <s v="Neither"/>
    <n v="5"/>
  </r>
  <r>
    <d v="2022-01-02T00:00:00"/>
    <s v="22-4971"/>
    <s v="P070"/>
    <x v="7"/>
    <n v="84"/>
    <n v="21"/>
    <n v="924"/>
    <n v="231"/>
    <n v="693"/>
    <x v="45"/>
    <s v="Sports &amp; Recreation"/>
    <n v="12.1334991293512"/>
    <s v="Dissatisfied"/>
    <n v="1"/>
  </r>
  <r>
    <d v="2022-01-03T00:00:00"/>
    <s v="22-1897"/>
    <s v="P077"/>
    <x v="10"/>
    <n v="162"/>
    <n v="54"/>
    <n v="810"/>
    <n v="270"/>
    <n v="540"/>
    <x v="154"/>
    <s v="Sports &amp; Recreation"/>
    <n v="8.8878868765808274"/>
    <s v="Neither"/>
    <n v="5"/>
  </r>
  <r>
    <d v="2022-01-04T00:00:00"/>
    <s v="22-3925"/>
    <s v="P091"/>
    <x v="12"/>
    <n v="204"/>
    <n v="51"/>
    <n v="1428"/>
    <n v="357"/>
    <n v="1071"/>
    <x v="113"/>
    <s v="Community &amp; Government"/>
    <n v="11.655355879643379"/>
    <s v="Neither"/>
    <n v="5"/>
  </r>
  <r>
    <d v="2022-01-05T00:00:00"/>
    <s v="22-4183"/>
    <s v="P066"/>
    <x v="19"/>
    <n v="34"/>
    <n v="17"/>
    <n v="646"/>
    <n v="323"/>
    <n v="323"/>
    <x v="262"/>
    <s v="Healthcare &amp; Safety"/>
    <n v="13.00553764131261"/>
    <s v="Dissatisfied"/>
    <n v="1"/>
  </r>
  <r>
    <d v="2022-01-06T00:00:00"/>
    <s v="22-2582"/>
    <s v="P031"/>
    <x v="16"/>
    <n v="146"/>
    <n v="73"/>
    <n v="1314"/>
    <n v="657"/>
    <n v="657"/>
    <x v="56"/>
    <s v="Corporate &amp; Professional"/>
    <n v="12.007834550770397"/>
    <s v="Dissatisfied"/>
    <n v="1"/>
  </r>
  <r>
    <d v="2022-01-07T00:00:00"/>
    <s v="22-3768"/>
    <s v="P096"/>
    <x v="17"/>
    <n v="144"/>
    <n v="48"/>
    <n v="144"/>
    <n v="48"/>
    <n v="96"/>
    <x v="217"/>
    <s v="Education"/>
    <n v="11.862005526237752"/>
    <s v="Neither"/>
    <n v="5"/>
  </r>
  <r>
    <d v="2022-01-08T00:00:00"/>
    <s v="22-3960"/>
    <s v="P093"/>
    <x v="0"/>
    <n v="384"/>
    <n v="96"/>
    <n v="5760"/>
    <n v="1440"/>
    <n v="4320"/>
    <x v="277"/>
    <s v="Sports &amp; Recreation"/>
    <n v="10.01033276255276"/>
    <s v="Satisfied"/>
    <n v="10"/>
  </r>
  <r>
    <d v="2022-01-09T00:00:00"/>
    <s v="22-1243"/>
    <s v="P037"/>
    <x v="16"/>
    <n v="160"/>
    <n v="80"/>
    <n v="1440"/>
    <n v="720"/>
    <n v="720"/>
    <x v="288"/>
    <s v="Sports &amp; Recreation"/>
    <n v="10.78374703625888"/>
    <s v="Neither"/>
    <n v="5"/>
  </r>
  <r>
    <d v="2022-01-10T00:00:00"/>
    <s v="22-1562"/>
    <s v="P037"/>
    <x v="4"/>
    <n v="160"/>
    <n v="80"/>
    <n v="320"/>
    <n v="160"/>
    <n v="160"/>
    <x v="207"/>
    <s v="Education"/>
    <n v="11.779256317174871"/>
    <s v="Satisfied"/>
    <n v="10"/>
  </r>
  <r>
    <d v="2022-01-11T00:00:00"/>
    <s v="22-2171"/>
    <s v="P010"/>
    <x v="0"/>
    <n v="144"/>
    <n v="36"/>
    <n v="2160"/>
    <n v="540"/>
    <n v="1620"/>
    <x v="206"/>
    <s v="Community &amp; Government"/>
    <n v="12.699042739101285"/>
    <s v="Neither"/>
    <n v="5"/>
  </r>
  <r>
    <d v="2022-01-12T00:00:00"/>
    <s v="22-2450"/>
    <s v="P089"/>
    <x v="9"/>
    <n v="102"/>
    <n v="51"/>
    <n v="2040"/>
    <n v="1020"/>
    <n v="1020"/>
    <x v="2"/>
    <s v="Facilities &amp; Services"/>
    <n v="9.3226775515721787"/>
    <s v="Neither"/>
    <n v="5"/>
  </r>
  <r>
    <d v="2022-01-13T00:00:00"/>
    <s v="22-1865"/>
    <s v="P088"/>
    <x v="13"/>
    <n v="192"/>
    <n v="96"/>
    <n v="1920"/>
    <n v="960"/>
    <n v="960"/>
    <x v="170"/>
    <s v="Sports &amp; Recreation"/>
    <n v="10.037135914792184"/>
    <s v="Neither"/>
    <n v="5"/>
  </r>
  <r>
    <d v="2022-01-14T00:00:00"/>
    <s v="22-1327"/>
    <s v="P043"/>
    <x v="13"/>
    <n v="184"/>
    <n v="92"/>
    <n v="1840"/>
    <n v="920"/>
    <n v="920"/>
    <x v="282"/>
    <s v="Community &amp; Government"/>
    <n v="14.157909724393564"/>
    <s v="Satisfied"/>
    <n v="10"/>
  </r>
  <r>
    <d v="2022-01-15T00:00:00"/>
    <s v="22-2751"/>
    <s v="P027"/>
    <x v="2"/>
    <n v="140"/>
    <n v="70"/>
    <n v="1820"/>
    <n v="910"/>
    <n v="910"/>
    <x v="93"/>
    <s v="Facilities &amp; Services"/>
    <n v="10.966283117837653"/>
    <s v="Dissatisfied"/>
    <n v="1"/>
  </r>
  <r>
    <d v="2022-01-16T00:00:00"/>
    <s v="22-2691"/>
    <s v="P018"/>
    <x v="13"/>
    <n v="108"/>
    <n v="54"/>
    <n v="1080"/>
    <n v="540"/>
    <n v="540"/>
    <x v="60"/>
    <s v="Creative &amp; Technology"/>
    <n v="15.556812309269255"/>
    <s v="Neither"/>
    <n v="5"/>
  </r>
  <r>
    <d v="2022-01-17T00:00:00"/>
    <s v="22-4880"/>
    <s v="P027"/>
    <x v="7"/>
    <n v="140"/>
    <n v="70"/>
    <n v="1540"/>
    <n v="770"/>
    <n v="770"/>
    <x v="112"/>
    <s v="Creative &amp; Technology"/>
    <n v="12.004541523616258"/>
    <s v="Satisfied"/>
    <n v="10"/>
  </r>
  <r>
    <d v="2022-01-18T00:00:00"/>
    <s v="22-4503"/>
    <s v="P022"/>
    <x v="8"/>
    <n v="153"/>
    <n v="51"/>
    <n v="2142"/>
    <n v="714"/>
    <n v="1428"/>
    <x v="127"/>
    <s v="Facilities &amp; Services"/>
    <n v="11.644564584314265"/>
    <s v="Neither"/>
    <n v="5"/>
  </r>
  <r>
    <d v="2022-01-19T00:00:00"/>
    <s v="22-2732"/>
    <s v="P041"/>
    <x v="10"/>
    <n v="144"/>
    <n v="36"/>
    <n v="720"/>
    <n v="180"/>
    <n v="540"/>
    <x v="151"/>
    <s v="Sports &amp; Recreation"/>
    <n v="9.458617986208397"/>
    <s v="Neither"/>
    <n v="5"/>
  </r>
  <r>
    <d v="2022-01-20T00:00:00"/>
    <s v="22-1861"/>
    <s v="P064"/>
    <x v="0"/>
    <n v="231"/>
    <n v="77"/>
    <n v="3465"/>
    <n v="1155"/>
    <n v="2310"/>
    <x v="286"/>
    <s v="Community &amp; Government"/>
    <n v="10.826646539963521"/>
    <s v="Neither"/>
    <n v="5"/>
  </r>
  <r>
    <d v="2022-01-21T00:00:00"/>
    <s v="22-4178"/>
    <s v="P091"/>
    <x v="19"/>
    <n v="204"/>
    <n v="51"/>
    <n v="3876"/>
    <n v="969"/>
    <n v="2907"/>
    <x v="197"/>
    <s v="Community &amp; Government"/>
    <n v="10.163794912095831"/>
    <s v="Dissatisfied"/>
    <n v="1"/>
  </r>
  <r>
    <d v="2022-01-22T00:00:00"/>
    <s v="22-2520"/>
    <s v="P054"/>
    <x v="5"/>
    <n v="144"/>
    <n v="48"/>
    <n v="432"/>
    <n v="144"/>
    <n v="288"/>
    <x v="234"/>
    <s v="Creative &amp; Technology"/>
    <n v="12.990345718839325"/>
    <s v="Neither"/>
    <n v="5"/>
  </r>
  <r>
    <d v="2022-01-23T00:00:00"/>
    <s v="22-4750"/>
    <s v="P048"/>
    <x v="5"/>
    <n v="252"/>
    <n v="63"/>
    <n v="756"/>
    <n v="189"/>
    <n v="567"/>
    <x v="81"/>
    <s v="Community &amp; Government"/>
    <n v="9.821882845934784"/>
    <s v="Dissatisfied"/>
    <n v="1"/>
  </r>
  <r>
    <d v="2022-01-24T00:00:00"/>
    <s v="22-2887"/>
    <s v="P047"/>
    <x v="11"/>
    <n v="72"/>
    <n v="36"/>
    <n v="1152"/>
    <n v="576"/>
    <n v="576"/>
    <x v="99"/>
    <s v="Healthcare &amp; Safety"/>
    <n v="12.148236977735172"/>
    <s v="Neither"/>
    <n v="5"/>
  </r>
  <r>
    <d v="2022-01-25T00:00:00"/>
    <s v="22-3757"/>
    <s v="P092"/>
    <x v="3"/>
    <n v="124"/>
    <n v="62"/>
    <n v="496"/>
    <n v="248"/>
    <n v="248"/>
    <x v="119"/>
    <s v="Education"/>
    <n v="12.456740895640767"/>
    <s v="Dissatisfied"/>
    <n v="1"/>
  </r>
  <r>
    <d v="2022-01-26T00:00:00"/>
    <s v="22-3256"/>
    <s v="P061"/>
    <x v="6"/>
    <n v="264"/>
    <n v="88"/>
    <n v="1584"/>
    <n v="528"/>
    <n v="1056"/>
    <x v="88"/>
    <s v="Facilities &amp; Services"/>
    <n v="14.906846445071711"/>
    <s v="Neither"/>
    <n v="5"/>
  </r>
  <r>
    <d v="2022-01-27T00:00:00"/>
    <s v="22-1507"/>
    <s v="P037"/>
    <x v="13"/>
    <n v="160"/>
    <n v="80"/>
    <n v="1600"/>
    <n v="800"/>
    <n v="800"/>
    <x v="191"/>
    <s v="Corporate &amp; Professional"/>
    <n v="12.131375018945562"/>
    <s v="Neither"/>
    <n v="5"/>
  </r>
  <r>
    <d v="2022-01-28T00:00:00"/>
    <s v="22-1925"/>
    <s v="P050"/>
    <x v="5"/>
    <n v="108"/>
    <n v="36"/>
    <n v="324"/>
    <n v="108"/>
    <n v="216"/>
    <x v="81"/>
    <s v="Community &amp; Government"/>
    <n v="9.821882845934784"/>
    <s v="Satisfied"/>
    <n v="10"/>
  </r>
  <r>
    <d v="2022-01-29T00:00:00"/>
    <s v="22-3896"/>
    <s v="P014"/>
    <x v="0"/>
    <n v="166"/>
    <n v="83"/>
    <n v="2490"/>
    <n v="1245"/>
    <n v="1245"/>
    <x v="235"/>
    <s v="Facilities &amp; Services"/>
    <n v="11.226611755437654"/>
    <s v="Neither"/>
    <n v="5"/>
  </r>
  <r>
    <d v="2022-01-30T00:00:00"/>
    <s v="22-2120"/>
    <s v="P098"/>
    <x v="0"/>
    <n v="201"/>
    <n v="67"/>
    <n v="3015"/>
    <n v="1005"/>
    <n v="2010"/>
    <x v="46"/>
    <s v="Healthcare &amp; Safety"/>
    <n v="11.36085047138285"/>
    <s v="Neither"/>
    <n v="5"/>
  </r>
  <r>
    <d v="2022-01-31T00:00:00"/>
    <s v="22-3483"/>
    <s v="P086"/>
    <x v="0"/>
    <n v="352"/>
    <n v="88"/>
    <n v="5280"/>
    <n v="1320"/>
    <n v="3960"/>
    <x v="6"/>
    <s v="Creative &amp; Technology"/>
    <n v="11.749993886708426"/>
    <s v="Neither"/>
    <n v="5"/>
  </r>
  <r>
    <d v="2022-02-01T00:00:00"/>
    <s v="22-4177"/>
    <s v="P100"/>
    <x v="3"/>
    <n v="46"/>
    <n v="23"/>
    <n v="184"/>
    <n v="92"/>
    <n v="92"/>
    <x v="68"/>
    <s v="Sports &amp; Recreation"/>
    <n v="12.200533931675887"/>
    <s v="Satisfied"/>
    <n v="10"/>
  </r>
  <r>
    <d v="2022-02-02T00:00:00"/>
    <s v="22-2044"/>
    <s v="P077"/>
    <x v="15"/>
    <n v="162"/>
    <n v="54"/>
    <n v="2754"/>
    <n v="918"/>
    <n v="1836"/>
    <x v="138"/>
    <s v="Healthcare &amp; Safety"/>
    <n v="12.85215703546821"/>
    <s v="Neither"/>
    <n v="5"/>
  </r>
  <r>
    <d v="2022-02-03T00:00:00"/>
    <s v="22-1304"/>
    <s v="P090"/>
    <x v="17"/>
    <n v="57"/>
    <n v="19"/>
    <n v="57"/>
    <n v="19"/>
    <n v="38"/>
    <x v="66"/>
    <s v="Facilities &amp; Services"/>
    <n v="12.172922939334034"/>
    <s v="Neither"/>
    <n v="5"/>
  </r>
  <r>
    <d v="2022-02-04T00:00:00"/>
    <s v="22-3552"/>
    <s v="P055"/>
    <x v="2"/>
    <n v="360"/>
    <n v="90"/>
    <n v="4680"/>
    <n v="1170"/>
    <n v="3510"/>
    <x v="252"/>
    <s v="Community &amp; Government"/>
    <n v="10.968401424454578"/>
    <s v="Neither"/>
    <n v="5"/>
  </r>
  <r>
    <d v="2022-02-05T00:00:00"/>
    <s v="22-4636"/>
    <s v="P007"/>
    <x v="5"/>
    <n v="225"/>
    <n v="75"/>
    <n v="675"/>
    <n v="225"/>
    <n v="450"/>
    <x v="291"/>
    <s v="Facilities &amp; Services"/>
    <n v="11.375127981841125"/>
    <s v="Neither"/>
    <n v="5"/>
  </r>
  <r>
    <d v="2022-02-06T00:00:00"/>
    <s v="22-4273"/>
    <s v="P050"/>
    <x v="12"/>
    <n v="108"/>
    <n v="36"/>
    <n v="756"/>
    <n v="252"/>
    <n v="504"/>
    <x v="147"/>
    <s v="Corporate &amp; Professional"/>
    <n v="9.629298039722805"/>
    <s v="Neither"/>
    <n v="5"/>
  </r>
  <r>
    <d v="2022-02-07T00:00:00"/>
    <s v="22-4500"/>
    <s v="P031"/>
    <x v="4"/>
    <n v="146"/>
    <n v="73"/>
    <n v="292"/>
    <n v="146"/>
    <n v="146"/>
    <x v="5"/>
    <s v="Healthcare &amp; Safety"/>
    <n v="12.169266722245851"/>
    <s v="Neither"/>
    <n v="5"/>
  </r>
  <r>
    <d v="2022-02-08T00:00:00"/>
    <s v="22-4642"/>
    <s v="P024"/>
    <x v="15"/>
    <n v="66"/>
    <n v="33"/>
    <n v="1122"/>
    <n v="561"/>
    <n v="561"/>
    <x v="61"/>
    <s v="Education"/>
    <n v="13.697485557052493"/>
    <s v="Satisfied"/>
    <n v="10"/>
  </r>
  <r>
    <d v="2022-02-09T00:00:00"/>
    <s v="22-1032"/>
    <s v="P096"/>
    <x v="1"/>
    <n v="144"/>
    <n v="48"/>
    <n v="1152"/>
    <n v="384"/>
    <n v="768"/>
    <x v="76"/>
    <s v="Community &amp; Government"/>
    <n v="12.796588406005421"/>
    <s v="Satisfied"/>
    <n v="10"/>
  </r>
  <r>
    <d v="2022-02-10T00:00:00"/>
    <s v="22-2726"/>
    <s v="P008"/>
    <x v="0"/>
    <n v="225"/>
    <n v="75"/>
    <n v="3375"/>
    <n v="1125"/>
    <n v="2250"/>
    <x v="185"/>
    <s v="Education"/>
    <n v="13.466362789017223"/>
    <s v="Dissatisfied"/>
    <n v="1"/>
  </r>
  <r>
    <d v="2022-02-11T00:00:00"/>
    <s v="22-3324"/>
    <s v="P059"/>
    <x v="7"/>
    <n v="267"/>
    <n v="89"/>
    <n v="2937"/>
    <n v="979"/>
    <n v="1958"/>
    <x v="154"/>
    <s v="Sports &amp; Recreation"/>
    <n v="8.8878868765808274"/>
    <s v="Satisfied"/>
    <n v="10"/>
  </r>
  <r>
    <d v="2022-02-12T00:00:00"/>
    <s v="22-2757"/>
    <s v="P004"/>
    <x v="6"/>
    <n v="189"/>
    <n v="63"/>
    <n v="1134"/>
    <n v="378"/>
    <n v="756"/>
    <x v="13"/>
    <s v="Sports &amp; Recreation"/>
    <n v="12.163730387337393"/>
    <s v="Neither"/>
    <n v="5"/>
  </r>
  <r>
    <d v="2022-02-13T00:00:00"/>
    <s v="22-1266"/>
    <s v="P019"/>
    <x v="13"/>
    <n v="308"/>
    <n v="77"/>
    <n v="3080"/>
    <n v="770"/>
    <n v="2310"/>
    <x v="236"/>
    <s v="Creative &amp; Technology"/>
    <n v="13.827196127590291"/>
    <s v="Dissatisfied"/>
    <n v="1"/>
  </r>
  <r>
    <d v="2022-02-14T00:00:00"/>
    <s v="22-4854"/>
    <s v="P013"/>
    <x v="15"/>
    <n v="58"/>
    <n v="29"/>
    <n v="986"/>
    <n v="493"/>
    <n v="493"/>
    <x v="135"/>
    <s v="Corporate &amp; Professional"/>
    <n v="10.408704992688252"/>
    <s v="Neither"/>
    <n v="5"/>
  </r>
  <r>
    <d v="2022-02-15T00:00:00"/>
    <s v="22-3222"/>
    <s v="P017"/>
    <x v="16"/>
    <n v="120"/>
    <n v="30"/>
    <n v="1080"/>
    <n v="270"/>
    <n v="810"/>
    <x v="109"/>
    <s v="Sports &amp; Recreation"/>
    <n v="13.092530646074781"/>
    <s v="Neither"/>
    <n v="5"/>
  </r>
  <r>
    <d v="2022-02-16T00:00:00"/>
    <s v="22-4663"/>
    <s v="P017"/>
    <x v="14"/>
    <n v="120"/>
    <n v="30"/>
    <n v="1440"/>
    <n v="360"/>
    <n v="1080"/>
    <x v="89"/>
    <s v="Community &amp; Government"/>
    <n v="10.317615395419679"/>
    <s v="Dissatisfied"/>
    <n v="1"/>
  </r>
  <r>
    <d v="2022-02-17T00:00:00"/>
    <s v="22-3693"/>
    <s v="P081"/>
    <x v="12"/>
    <n v="50"/>
    <n v="25"/>
    <n v="350"/>
    <n v="175"/>
    <n v="175"/>
    <x v="75"/>
    <s v="Healthcare &amp; Safety"/>
    <n v="13.918153610259502"/>
    <s v="Neither"/>
    <n v="5"/>
  </r>
  <r>
    <d v="2022-02-18T00:00:00"/>
    <s v="22-1211"/>
    <s v="P065"/>
    <x v="10"/>
    <n v="50"/>
    <n v="25"/>
    <n v="250"/>
    <n v="125"/>
    <n v="125"/>
    <x v="269"/>
    <s v="Corporate &amp; Professional"/>
    <n v="10.585251392347548"/>
    <s v="Satisfied"/>
    <n v="10"/>
  </r>
  <r>
    <d v="2022-02-19T00:00:00"/>
    <s v="22-2804"/>
    <s v="P071"/>
    <x v="12"/>
    <n v="210"/>
    <n v="70"/>
    <n v="1470"/>
    <n v="490"/>
    <n v="980"/>
    <x v="284"/>
    <s v="Facilities &amp; Services"/>
    <n v="8.6625575824723242"/>
    <s v="Neither"/>
    <n v="5"/>
  </r>
  <r>
    <d v="2022-02-20T00:00:00"/>
    <s v="22-3494"/>
    <s v="P076"/>
    <x v="18"/>
    <n v="94"/>
    <n v="47"/>
    <n v="1692"/>
    <n v="846"/>
    <n v="846"/>
    <x v="188"/>
    <s v="Healthcare &amp; Safety"/>
    <n v="9.8892508156549788"/>
    <s v="Neither"/>
    <n v="5"/>
  </r>
  <r>
    <d v="2022-02-21T00:00:00"/>
    <s v="22-1308"/>
    <s v="P008"/>
    <x v="19"/>
    <n v="225"/>
    <n v="75"/>
    <n v="4275"/>
    <n v="1425"/>
    <n v="2850"/>
    <x v="26"/>
    <s v="Sports &amp; Recreation"/>
    <n v="14.16303548174143"/>
    <s v="Neither"/>
    <n v="5"/>
  </r>
  <r>
    <d v="2022-02-22T00:00:00"/>
    <s v="22-2485"/>
    <s v="P038"/>
    <x v="3"/>
    <n v="240"/>
    <n v="80"/>
    <n v="960"/>
    <n v="320"/>
    <n v="640"/>
    <x v="242"/>
    <s v="Corporate &amp; Professional"/>
    <n v="13.062292798511226"/>
    <s v="Dissatisfied"/>
    <n v="1"/>
  </r>
  <r>
    <d v="2022-02-23T00:00:00"/>
    <s v="22-2253"/>
    <s v="P100"/>
    <x v="0"/>
    <n v="46"/>
    <n v="23"/>
    <n v="690"/>
    <n v="345"/>
    <n v="345"/>
    <x v="252"/>
    <s v="Community &amp; Government"/>
    <n v="10.968401424454578"/>
    <s v="Neither"/>
    <n v="5"/>
  </r>
  <r>
    <d v="2022-02-24T00:00:00"/>
    <s v="22-2371"/>
    <s v="P097"/>
    <x v="12"/>
    <n v="92"/>
    <n v="46"/>
    <n v="644"/>
    <n v="322"/>
    <n v="322"/>
    <x v="60"/>
    <s v="Creative &amp; Technology"/>
    <n v="15.556812309269255"/>
    <s v="Satisfied"/>
    <n v="10"/>
  </r>
  <r>
    <d v="2022-02-25T00:00:00"/>
    <s v="22-1214"/>
    <s v="P012"/>
    <x v="10"/>
    <n v="30"/>
    <n v="15"/>
    <n v="150"/>
    <n v="75"/>
    <n v="75"/>
    <x v="252"/>
    <s v="Community &amp; Government"/>
    <n v="10.968401424454578"/>
    <s v="Neither"/>
    <n v="5"/>
  </r>
  <r>
    <d v="2022-02-26T00:00:00"/>
    <s v="22-3049"/>
    <s v="P030"/>
    <x v="10"/>
    <n v="81"/>
    <n v="27"/>
    <n v="405"/>
    <n v="135"/>
    <n v="270"/>
    <x v="95"/>
    <s v="Facilities &amp; Services"/>
    <n v="7.7337149713827413"/>
    <s v="Neither"/>
    <n v="5"/>
  </r>
  <r>
    <d v="2022-02-27T00:00:00"/>
    <s v="22-1366"/>
    <s v="P047"/>
    <x v="8"/>
    <n v="72"/>
    <n v="36"/>
    <n v="1008"/>
    <n v="504"/>
    <n v="504"/>
    <x v="15"/>
    <s v="Community &amp; Government"/>
    <n v="11.631646244583138"/>
    <s v="Satisfied"/>
    <n v="10"/>
  </r>
  <r>
    <d v="2022-02-28T00:00:00"/>
    <s v="22-4089"/>
    <s v="P006"/>
    <x v="13"/>
    <n v="38"/>
    <n v="19"/>
    <n v="380"/>
    <n v="190"/>
    <n v="190"/>
    <x v="141"/>
    <s v="Facilities &amp; Services"/>
    <n v="13.104576594826185"/>
    <s v="Neither"/>
    <n v="5"/>
  </r>
  <r>
    <d v="2022-03-01T00:00:00"/>
    <s v="22-4031"/>
    <s v="P018"/>
    <x v="8"/>
    <n v="108"/>
    <n v="54"/>
    <n v="1512"/>
    <n v="756"/>
    <n v="756"/>
    <x v="222"/>
    <s v="Community &amp; Government"/>
    <n v="13.095446915421235"/>
    <s v="Dissatisfied"/>
    <n v="1"/>
  </r>
  <r>
    <d v="2022-03-02T00:00:00"/>
    <s v="22-3767"/>
    <s v="P012"/>
    <x v="7"/>
    <n v="30"/>
    <n v="15"/>
    <n v="330"/>
    <n v="165"/>
    <n v="165"/>
    <x v="172"/>
    <s v="Healthcare &amp; Safety"/>
    <n v="11.563724686003232"/>
    <s v="Neither"/>
    <n v="5"/>
  </r>
  <r>
    <d v="2022-03-03T00:00:00"/>
    <s v="22-1418"/>
    <s v="P069"/>
    <x v="13"/>
    <n v="150"/>
    <n v="75"/>
    <n v="1500"/>
    <n v="750"/>
    <n v="750"/>
    <x v="18"/>
    <s v="Sports &amp; Recreation"/>
    <n v="12.072414596936037"/>
    <s v="Dissatisfied"/>
    <n v="1"/>
  </r>
  <r>
    <d v="2022-03-04T00:00:00"/>
    <s v="22-3618"/>
    <s v="P095"/>
    <x v="10"/>
    <n v="116"/>
    <n v="29"/>
    <n v="580"/>
    <n v="145"/>
    <n v="435"/>
    <x v="252"/>
    <s v="Community &amp; Government"/>
    <n v="10.968401424454578"/>
    <s v="Neither"/>
    <n v="5"/>
  </r>
  <r>
    <d v="2022-03-05T00:00:00"/>
    <s v="22-3038"/>
    <s v="P008"/>
    <x v="0"/>
    <n v="225"/>
    <n v="75"/>
    <n v="3375"/>
    <n v="1125"/>
    <n v="2250"/>
    <x v="69"/>
    <s v="Healthcare &amp; Safety"/>
    <n v="9.3014286057233697"/>
    <s v="Satisfied"/>
    <n v="10"/>
  </r>
  <r>
    <d v="2022-03-06T00:00:00"/>
    <s v="22-1363"/>
    <s v="P068"/>
    <x v="17"/>
    <n v="300"/>
    <n v="75"/>
    <n v="300"/>
    <n v="75"/>
    <n v="225"/>
    <x v="209"/>
    <s v="Facilities &amp; Services"/>
    <n v="10.956589836772277"/>
    <s v="Satisfied"/>
    <n v="10"/>
  </r>
  <r>
    <d v="2022-03-07T00:00:00"/>
    <s v="22-1863"/>
    <s v="P064"/>
    <x v="13"/>
    <n v="231"/>
    <n v="77"/>
    <n v="2310"/>
    <n v="770"/>
    <n v="1540"/>
    <x v="74"/>
    <s v="Education"/>
    <n v="12.699346182652626"/>
    <s v="Neither"/>
    <n v="5"/>
  </r>
  <r>
    <d v="2022-03-08T00:00:00"/>
    <s v="22-1336"/>
    <s v="P011"/>
    <x v="17"/>
    <n v="264"/>
    <n v="88"/>
    <n v="264"/>
    <n v="88"/>
    <n v="176"/>
    <x v="149"/>
    <s v="Facilities &amp; Services"/>
    <n v="11.311040680082275"/>
    <s v="Neither"/>
    <n v="5"/>
  </r>
  <r>
    <d v="2022-03-09T00:00:00"/>
    <s v="22-2842"/>
    <s v="P054"/>
    <x v="11"/>
    <n v="144"/>
    <n v="48"/>
    <n v="2304"/>
    <n v="768"/>
    <n v="1536"/>
    <x v="183"/>
    <s v="Creative &amp; Technology"/>
    <n v="7.8974070387684714"/>
    <s v="Neither"/>
    <n v="5"/>
  </r>
  <r>
    <d v="2022-03-10T00:00:00"/>
    <s v="22-1633"/>
    <s v="P031"/>
    <x v="15"/>
    <n v="146"/>
    <n v="73"/>
    <n v="2482"/>
    <n v="1241"/>
    <n v="1241"/>
    <x v="202"/>
    <s v="Community &amp; Government"/>
    <n v="8.1595626482464514"/>
    <s v="Neither"/>
    <n v="5"/>
  </r>
  <r>
    <d v="2022-03-11T00:00:00"/>
    <s v="22-1717"/>
    <s v="P037"/>
    <x v="0"/>
    <n v="160"/>
    <n v="80"/>
    <n v="2400"/>
    <n v="1200"/>
    <n v="1200"/>
    <x v="193"/>
    <s v="Corporate &amp; Professional"/>
    <n v="12.275875773922367"/>
    <s v="Neither"/>
    <n v="5"/>
  </r>
  <r>
    <d v="2022-03-12T00:00:00"/>
    <s v="22-2846"/>
    <s v="P026"/>
    <x v="11"/>
    <n v="280"/>
    <n v="70"/>
    <n v="4480"/>
    <n v="1120"/>
    <n v="3360"/>
    <x v="164"/>
    <s v="Education"/>
    <n v="10.954865572729823"/>
    <s v="Neither"/>
    <n v="5"/>
  </r>
  <r>
    <d v="2022-03-13T00:00:00"/>
    <s v="22-3165"/>
    <s v="P095"/>
    <x v="2"/>
    <n v="116"/>
    <n v="29"/>
    <n v="1508"/>
    <n v="377"/>
    <n v="1131"/>
    <x v="274"/>
    <s v="Creative &amp; Technology"/>
    <n v="10.524491192521829"/>
    <s v="Neither"/>
    <n v="5"/>
  </r>
  <r>
    <d v="2022-03-14T00:00:00"/>
    <s v="22-4518"/>
    <s v="P098"/>
    <x v="0"/>
    <n v="201"/>
    <n v="67"/>
    <n v="3015"/>
    <n v="1005"/>
    <n v="2010"/>
    <x v="291"/>
    <s v="Facilities &amp; Services"/>
    <n v="11.375127981841125"/>
    <s v="Dissatisfied"/>
    <n v="1"/>
  </r>
  <r>
    <d v="2022-03-15T00:00:00"/>
    <s v="22-2471"/>
    <s v="P082"/>
    <x v="1"/>
    <n v="312"/>
    <n v="78"/>
    <n v="2496"/>
    <n v="624"/>
    <n v="1872"/>
    <x v="138"/>
    <s v="Healthcare &amp; Safety"/>
    <n v="12.85215703546821"/>
    <s v="Neither"/>
    <n v="5"/>
  </r>
  <r>
    <d v="2022-03-16T00:00:00"/>
    <s v="22-3243"/>
    <s v="P027"/>
    <x v="9"/>
    <n v="140"/>
    <n v="70"/>
    <n v="2800"/>
    <n v="1400"/>
    <n v="1400"/>
    <x v="269"/>
    <s v="Corporate &amp; Professional"/>
    <n v="10.585251392347548"/>
    <s v="Dissatisfied"/>
    <n v="1"/>
  </r>
  <r>
    <d v="2022-03-17T00:00:00"/>
    <s v="22-3099"/>
    <s v="P007"/>
    <x v="10"/>
    <n v="225"/>
    <n v="75"/>
    <n v="1125"/>
    <n v="375"/>
    <n v="750"/>
    <x v="112"/>
    <s v="Creative &amp; Technology"/>
    <n v="12.004541523616258"/>
    <s v="Neither"/>
    <n v="5"/>
  </r>
  <r>
    <d v="2022-03-18T00:00:00"/>
    <s v="22-2905"/>
    <s v="P044"/>
    <x v="16"/>
    <n v="368"/>
    <n v="92"/>
    <n v="3312"/>
    <n v="828"/>
    <n v="2484"/>
    <x v="159"/>
    <s v="Community &amp; Government"/>
    <n v="13.57003172959007"/>
    <s v="Neither"/>
    <n v="5"/>
  </r>
  <r>
    <d v="2022-03-19T00:00:00"/>
    <s v="22-1331"/>
    <s v="P094"/>
    <x v="17"/>
    <n v="80"/>
    <n v="20"/>
    <n v="80"/>
    <n v="20"/>
    <n v="60"/>
    <x v="287"/>
    <s v="Community &amp; Government"/>
    <n v="14.412865837260112"/>
    <s v="Neither"/>
    <n v="5"/>
  </r>
  <r>
    <d v="2022-03-20T00:00:00"/>
    <s v="22-1863"/>
    <s v="P062"/>
    <x v="14"/>
    <n v="348"/>
    <n v="87"/>
    <n v="4176"/>
    <n v="1044"/>
    <n v="3132"/>
    <x v="152"/>
    <s v="Sports &amp; Recreation"/>
    <n v="11.249825090458803"/>
    <s v="Satisfied"/>
    <n v="10"/>
  </r>
  <r>
    <d v="2022-03-21T00:00:00"/>
    <s v="22-2549"/>
    <s v="P053"/>
    <x v="14"/>
    <n v="50"/>
    <n v="25"/>
    <n v="600"/>
    <n v="300"/>
    <n v="300"/>
    <x v="271"/>
    <s v="Sports &amp; Recreation"/>
    <n v="13.601235361661526"/>
    <s v="Dissatisfied"/>
    <n v="1"/>
  </r>
  <r>
    <d v="2022-03-22T00:00:00"/>
    <s v="22-2042"/>
    <s v="P071"/>
    <x v="12"/>
    <n v="210"/>
    <n v="70"/>
    <n v="1470"/>
    <n v="490"/>
    <n v="980"/>
    <x v="215"/>
    <s v="Facilities &amp; Services"/>
    <n v="14.817898176328208"/>
    <s v="Satisfied"/>
    <n v="10"/>
  </r>
  <r>
    <d v="2022-03-23T00:00:00"/>
    <s v="22-3619"/>
    <s v="P091"/>
    <x v="2"/>
    <n v="204"/>
    <n v="51"/>
    <n v="2652"/>
    <n v="663"/>
    <n v="1989"/>
    <x v="230"/>
    <s v="Community &amp; Government"/>
    <n v="12.155895475340943"/>
    <s v="Neither"/>
    <n v="5"/>
  </r>
  <r>
    <d v="2022-03-24T00:00:00"/>
    <s v="22-2916"/>
    <s v="P050"/>
    <x v="12"/>
    <n v="108"/>
    <n v="36"/>
    <n v="756"/>
    <n v="252"/>
    <n v="504"/>
    <x v="248"/>
    <s v="Creative &amp; Technology"/>
    <n v="11.130819205617987"/>
    <s v="Neither"/>
    <n v="5"/>
  </r>
  <r>
    <d v="2022-03-25T00:00:00"/>
    <s v="22-3991"/>
    <s v="P021"/>
    <x v="18"/>
    <n v="207"/>
    <n v="69"/>
    <n v="3726"/>
    <n v="1242"/>
    <n v="2484"/>
    <x v="122"/>
    <s v="Creative &amp; Technology"/>
    <n v="11.082295381980092"/>
    <s v="Neither"/>
    <n v="5"/>
  </r>
  <r>
    <d v="2022-03-26T00:00:00"/>
    <s v="22-2857"/>
    <s v="P049"/>
    <x v="16"/>
    <n v="356"/>
    <n v="89"/>
    <n v="3204"/>
    <n v="801"/>
    <n v="2403"/>
    <x v="220"/>
    <s v="Education"/>
    <n v="13.392447352247808"/>
    <s v="Neither"/>
    <n v="5"/>
  </r>
  <r>
    <d v="2022-03-27T00:00:00"/>
    <s v="22-3053"/>
    <s v="P016"/>
    <x v="1"/>
    <n v="110"/>
    <n v="55"/>
    <n v="880"/>
    <n v="440"/>
    <n v="440"/>
    <x v="47"/>
    <s v="Healthcare &amp; Safety"/>
    <n v="11.727497850343074"/>
    <s v="Dissatisfied"/>
    <n v="1"/>
  </r>
  <r>
    <d v="2022-03-28T00:00:00"/>
    <s v="22-3219"/>
    <s v="P062"/>
    <x v="13"/>
    <n v="348"/>
    <n v="87"/>
    <n v="3480"/>
    <n v="870"/>
    <n v="2610"/>
    <x v="32"/>
    <s v="Facilities &amp; Services"/>
    <n v="11.410471033945758"/>
    <s v="Neither"/>
    <n v="5"/>
  </r>
  <r>
    <d v="2022-03-29T00:00:00"/>
    <s v="22-1400"/>
    <s v="P032"/>
    <x v="10"/>
    <n v="92"/>
    <n v="46"/>
    <n v="460"/>
    <n v="230"/>
    <n v="230"/>
    <x v="166"/>
    <s v="Healthcare &amp; Safety"/>
    <n v="10.112765954734209"/>
    <s v="Neither"/>
    <n v="5"/>
  </r>
  <r>
    <d v="2022-03-30T00:00:00"/>
    <s v="22-4948"/>
    <s v="P036"/>
    <x v="8"/>
    <n v="280"/>
    <n v="70"/>
    <n v="3920"/>
    <n v="980"/>
    <n v="2940"/>
    <x v="40"/>
    <s v="Corporate &amp; Professional"/>
    <n v="14.370283356317486"/>
    <s v="Satisfied"/>
    <n v="10"/>
  </r>
  <r>
    <d v="2022-03-31T00:00:00"/>
    <s v="22-2606"/>
    <s v="P091"/>
    <x v="17"/>
    <n v="204"/>
    <n v="51"/>
    <n v="204"/>
    <n v="51"/>
    <n v="153"/>
    <x v="249"/>
    <s v="Corporate &amp; Professional"/>
    <n v="13.397308081757757"/>
    <s v="Satisfied"/>
    <n v="10"/>
  </r>
  <r>
    <d v="2022-04-01T00:00:00"/>
    <s v="22-1053"/>
    <s v="P002"/>
    <x v="3"/>
    <n v="144"/>
    <n v="36"/>
    <n v="576"/>
    <n v="144"/>
    <n v="432"/>
    <x v="140"/>
    <s v="Education"/>
    <n v="13.332534707865639"/>
    <s v="Satisfied"/>
    <n v="10"/>
  </r>
  <r>
    <d v="2022-04-02T00:00:00"/>
    <s v="22-1726"/>
    <s v="P062"/>
    <x v="13"/>
    <n v="348"/>
    <n v="87"/>
    <n v="3480"/>
    <n v="870"/>
    <n v="2610"/>
    <x v="100"/>
    <s v="Sports &amp; Recreation"/>
    <n v="10.132922049221957"/>
    <s v="Dissatisfied"/>
    <n v="1"/>
  </r>
  <r>
    <d v="2022-04-03T00:00:00"/>
    <s v="22-1696"/>
    <s v="P076"/>
    <x v="15"/>
    <n v="94"/>
    <n v="47"/>
    <n v="1598"/>
    <n v="799"/>
    <n v="799"/>
    <x v="260"/>
    <s v="Creative &amp; Technology"/>
    <n v="10.588336269016523"/>
    <s v="Satisfied"/>
    <n v="10"/>
  </r>
  <r>
    <d v="2022-04-04T00:00:00"/>
    <s v="22-2387"/>
    <s v="P004"/>
    <x v="3"/>
    <n v="189"/>
    <n v="63"/>
    <n v="756"/>
    <n v="252"/>
    <n v="504"/>
    <x v="26"/>
    <s v="Sports &amp; Recreation"/>
    <n v="14.16303548174143"/>
    <s v="Dissatisfied"/>
    <n v="1"/>
  </r>
  <r>
    <d v="2022-04-05T00:00:00"/>
    <s v="22-3738"/>
    <s v="P019"/>
    <x v="11"/>
    <n v="308"/>
    <n v="77"/>
    <n v="4928"/>
    <n v="1232"/>
    <n v="3696"/>
    <x v="213"/>
    <s v="Healthcare &amp; Safety"/>
    <n v="16.148992525516267"/>
    <s v="Neither"/>
    <n v="5"/>
  </r>
  <r>
    <d v="2022-04-06T00:00:00"/>
    <s v="22-1238"/>
    <s v="P074"/>
    <x v="12"/>
    <n v="352"/>
    <n v="88"/>
    <n v="2464"/>
    <n v="616"/>
    <n v="1848"/>
    <x v="196"/>
    <s v="Community &amp; Government"/>
    <n v="12.869841591513939"/>
    <s v="Satisfied"/>
    <n v="10"/>
  </r>
  <r>
    <d v="2022-04-07T00:00:00"/>
    <s v="22-3664"/>
    <s v="P085"/>
    <x v="0"/>
    <n v="320"/>
    <n v="80"/>
    <n v="4800"/>
    <n v="1200"/>
    <n v="3600"/>
    <x v="69"/>
    <s v="Healthcare &amp; Safety"/>
    <n v="9.3014286057233697"/>
    <s v="Neither"/>
    <n v="5"/>
  </r>
  <r>
    <d v="2022-04-08T00:00:00"/>
    <s v="22-2152"/>
    <s v="P011"/>
    <x v="4"/>
    <n v="264"/>
    <n v="88"/>
    <n v="528"/>
    <n v="176"/>
    <n v="352"/>
    <x v="153"/>
    <s v="Corporate &amp; Professional"/>
    <n v="11.799431383856128"/>
    <s v="Satisfied"/>
    <n v="10"/>
  </r>
  <r>
    <d v="2022-04-09T00:00:00"/>
    <s v="22-4652"/>
    <s v="P091"/>
    <x v="13"/>
    <n v="204"/>
    <n v="51"/>
    <n v="2040"/>
    <n v="510"/>
    <n v="1530"/>
    <x v="161"/>
    <s v="Corporate &amp; Professional"/>
    <n v="11.003496633574638"/>
    <s v="Neither"/>
    <n v="5"/>
  </r>
  <r>
    <d v="2022-04-10T00:00:00"/>
    <s v="22-1859"/>
    <s v="P025"/>
    <x v="18"/>
    <n v="210"/>
    <n v="70"/>
    <n v="3780"/>
    <n v="1260"/>
    <n v="2520"/>
    <x v="173"/>
    <s v="Education"/>
    <n v="12.147202500273634"/>
    <s v="Neither"/>
    <n v="5"/>
  </r>
  <r>
    <d v="2022-04-11T00:00:00"/>
    <s v="22-1030"/>
    <s v="P094"/>
    <x v="8"/>
    <n v="80"/>
    <n v="20"/>
    <n v="1120"/>
    <n v="280"/>
    <n v="840"/>
    <x v="118"/>
    <s v="Community &amp; Government"/>
    <n v="15.60430546146185"/>
    <s v="Dissatisfied"/>
    <n v="1"/>
  </r>
  <r>
    <d v="2022-04-12T00:00:00"/>
    <s v="22-2048"/>
    <s v="P047"/>
    <x v="12"/>
    <n v="72"/>
    <n v="36"/>
    <n v="504"/>
    <n v="252"/>
    <n v="252"/>
    <x v="93"/>
    <s v="Facilities &amp; Services"/>
    <n v="10.966283117837653"/>
    <s v="Neither"/>
    <n v="5"/>
  </r>
  <r>
    <d v="2022-04-13T00:00:00"/>
    <s v="22-3557"/>
    <s v="P074"/>
    <x v="11"/>
    <n v="352"/>
    <n v="88"/>
    <n v="5632"/>
    <n v="1408"/>
    <n v="4224"/>
    <x v="43"/>
    <s v="Corporate &amp; Professional"/>
    <n v="15.121383064708469"/>
    <s v="Neither"/>
    <n v="5"/>
  </r>
  <r>
    <d v="2022-04-14T00:00:00"/>
    <s v="22-2886"/>
    <s v="P027"/>
    <x v="10"/>
    <n v="140"/>
    <n v="70"/>
    <n v="700"/>
    <n v="350"/>
    <n v="350"/>
    <x v="240"/>
    <s v="Sports &amp; Recreation"/>
    <n v="12.701325659159139"/>
    <s v="Satisfied"/>
    <n v="10"/>
  </r>
  <r>
    <d v="2022-04-15T00:00:00"/>
    <s v="22-1054"/>
    <s v="P038"/>
    <x v="14"/>
    <n v="240"/>
    <n v="80"/>
    <n v="2880"/>
    <n v="960"/>
    <n v="1920"/>
    <x v="116"/>
    <s v="Education"/>
    <n v="12.299779975023837"/>
    <s v="Satisfied"/>
    <n v="10"/>
  </r>
  <r>
    <d v="2022-04-16T00:00:00"/>
    <s v="22-1742"/>
    <s v="P030"/>
    <x v="2"/>
    <n v="81"/>
    <n v="27"/>
    <n v="1053"/>
    <n v="351"/>
    <n v="702"/>
    <x v="19"/>
    <s v="Community &amp; Government"/>
    <n v="15.140903556171683"/>
    <s v="Neither"/>
    <n v="5"/>
  </r>
  <r>
    <d v="2022-04-17T00:00:00"/>
    <s v="22-2627"/>
    <s v="P077"/>
    <x v="7"/>
    <n v="162"/>
    <n v="54"/>
    <n v="1782"/>
    <n v="594"/>
    <n v="1188"/>
    <x v="140"/>
    <s v="Education"/>
    <n v="13.332534707865639"/>
    <s v="Satisfied"/>
    <n v="10"/>
  </r>
  <r>
    <d v="2022-04-18T00:00:00"/>
    <s v="22-3178"/>
    <s v="P095"/>
    <x v="11"/>
    <n v="116"/>
    <n v="29"/>
    <n v="1856"/>
    <n v="464"/>
    <n v="1392"/>
    <x v="89"/>
    <s v="Community &amp; Government"/>
    <n v="10.317615395419679"/>
    <s v="Satisfied"/>
    <n v="10"/>
  </r>
  <r>
    <d v="2022-04-19T00:00:00"/>
    <s v="22-4383"/>
    <s v="P027"/>
    <x v="13"/>
    <n v="140"/>
    <n v="70"/>
    <n v="1400"/>
    <n v="700"/>
    <n v="700"/>
    <x v="108"/>
    <s v="Sports &amp; Recreation"/>
    <n v="11.970975110943924"/>
    <s v="Neither"/>
    <n v="5"/>
  </r>
  <r>
    <d v="2022-04-20T00:00:00"/>
    <s v="22-4245"/>
    <s v="P042"/>
    <x v="4"/>
    <n v="50"/>
    <n v="25"/>
    <n v="100"/>
    <n v="50"/>
    <n v="50"/>
    <x v="21"/>
    <s v="Facilities &amp; Services"/>
    <n v="13.717776078041958"/>
    <s v="Neither"/>
    <n v="5"/>
  </r>
  <r>
    <d v="2022-04-21T00:00:00"/>
    <s v="22-3995"/>
    <s v="P059"/>
    <x v="14"/>
    <n v="267"/>
    <n v="89"/>
    <n v="3204"/>
    <n v="1068"/>
    <n v="2136"/>
    <x v="183"/>
    <s v="Creative &amp; Technology"/>
    <n v="7.8974070387684714"/>
    <s v="Satisfied"/>
    <n v="10"/>
  </r>
  <r>
    <d v="2022-04-22T00:00:00"/>
    <s v="22-1652"/>
    <s v="P091"/>
    <x v="19"/>
    <n v="204"/>
    <n v="51"/>
    <n v="3876"/>
    <n v="969"/>
    <n v="2907"/>
    <x v="250"/>
    <s v="Community &amp; Government"/>
    <n v="9.2053706474810433"/>
    <s v="Neither"/>
    <n v="5"/>
  </r>
  <r>
    <d v="2022-04-23T00:00:00"/>
    <s v="22-1833"/>
    <s v="P017"/>
    <x v="5"/>
    <n v="120"/>
    <n v="30"/>
    <n v="360"/>
    <n v="90"/>
    <n v="270"/>
    <x v="59"/>
    <s v="Creative &amp; Technology"/>
    <n v="10.980884286450312"/>
    <s v="Satisfied"/>
    <n v="10"/>
  </r>
  <r>
    <d v="2022-04-24T00:00:00"/>
    <s v="22-1033"/>
    <s v="P060"/>
    <x v="16"/>
    <n v="300"/>
    <n v="75"/>
    <n v="2700"/>
    <n v="675"/>
    <n v="2025"/>
    <x v="6"/>
    <s v="Creative &amp; Technology"/>
    <n v="11.749993886708426"/>
    <s v="Satisfied"/>
    <n v="10"/>
  </r>
  <r>
    <d v="2022-04-25T00:00:00"/>
    <s v="22-4049"/>
    <s v="P057"/>
    <x v="5"/>
    <n v="252"/>
    <n v="63"/>
    <n v="756"/>
    <n v="189"/>
    <n v="567"/>
    <x v="136"/>
    <s v="Creative &amp; Technology"/>
    <n v="16.429355109701351"/>
    <s v="Neither"/>
    <n v="5"/>
  </r>
  <r>
    <d v="2022-04-26T00:00:00"/>
    <s v="22-1216"/>
    <s v="P099"/>
    <x v="11"/>
    <n v="132"/>
    <n v="33"/>
    <n v="2112"/>
    <n v="528"/>
    <n v="1584"/>
    <x v="142"/>
    <s v="Healthcare &amp; Safety"/>
    <n v="13.574227261506472"/>
    <s v="Neither"/>
    <n v="5"/>
  </r>
  <r>
    <d v="2022-04-27T00:00:00"/>
    <s v="22-2889"/>
    <s v="P004"/>
    <x v="7"/>
    <n v="189"/>
    <n v="63"/>
    <n v="2079"/>
    <n v="693"/>
    <n v="1386"/>
    <x v="40"/>
    <s v="Corporate &amp; Professional"/>
    <n v="14.370283356317486"/>
    <s v="Neither"/>
    <n v="5"/>
  </r>
  <r>
    <d v="2022-04-28T00:00:00"/>
    <s v="22-3203"/>
    <s v="P011"/>
    <x v="11"/>
    <n v="264"/>
    <n v="88"/>
    <n v="4224"/>
    <n v="1408"/>
    <n v="2816"/>
    <x v="267"/>
    <s v="Healthcare &amp; Safety"/>
    <n v="10.28240320324797"/>
    <s v="Satisfied"/>
    <n v="10"/>
  </r>
  <r>
    <d v="2022-04-29T00:00:00"/>
    <s v="22-4431"/>
    <s v="P004"/>
    <x v="12"/>
    <n v="189"/>
    <n v="63"/>
    <n v="1323"/>
    <n v="441"/>
    <n v="882"/>
    <x v="22"/>
    <s v="Sports &amp; Recreation"/>
    <n v="9.7467096260695598"/>
    <s v="Neither"/>
    <n v="5"/>
  </r>
  <r>
    <d v="2022-04-30T00:00:00"/>
    <s v="22-3136"/>
    <s v="P041"/>
    <x v="3"/>
    <n v="144"/>
    <n v="36"/>
    <n v="576"/>
    <n v="144"/>
    <n v="432"/>
    <x v="273"/>
    <s v="Corporate &amp; Professional"/>
    <n v="11.971065679104063"/>
    <s v="Neither"/>
    <n v="5"/>
  </r>
  <r>
    <d v="2022-05-01T00:00:00"/>
    <s v="22-4915"/>
    <s v="P098"/>
    <x v="6"/>
    <n v="201"/>
    <n v="67"/>
    <n v="1206"/>
    <n v="402"/>
    <n v="804"/>
    <x v="286"/>
    <s v="Community &amp; Government"/>
    <n v="10.826646539963521"/>
    <s v="Satisfied"/>
    <n v="10"/>
  </r>
  <r>
    <d v="2022-05-02T00:00:00"/>
    <s v="22-1726"/>
    <s v="P069"/>
    <x v="5"/>
    <n v="150"/>
    <n v="75"/>
    <n v="450"/>
    <n v="225"/>
    <n v="225"/>
    <x v="286"/>
    <s v="Community &amp; Government"/>
    <n v="10.826646539963521"/>
    <s v="Neither"/>
    <n v="5"/>
  </r>
  <r>
    <d v="2022-05-03T00:00:00"/>
    <s v="22-2229"/>
    <s v="P095"/>
    <x v="18"/>
    <n v="116"/>
    <n v="29"/>
    <n v="2088"/>
    <n v="522"/>
    <n v="1566"/>
    <x v="120"/>
    <s v="Education"/>
    <n v="9.4239783062860578"/>
    <s v="Dissatisfied"/>
    <n v="1"/>
  </r>
  <r>
    <d v="2022-05-04T00:00:00"/>
    <s v="22-3848"/>
    <s v="P083"/>
    <x v="18"/>
    <n v="90"/>
    <n v="45"/>
    <n v="1620"/>
    <n v="810"/>
    <n v="810"/>
    <x v="237"/>
    <s v="Creative &amp; Technology"/>
    <n v="11.485823039755857"/>
    <s v="Dissatisfied"/>
    <n v="1"/>
  </r>
  <r>
    <d v="2022-05-05T00:00:00"/>
    <s v="22-4206"/>
    <s v="P004"/>
    <x v="11"/>
    <n v="189"/>
    <n v="63"/>
    <n v="3024"/>
    <n v="1008"/>
    <n v="2016"/>
    <x v="209"/>
    <s v="Facilities &amp; Services"/>
    <n v="10.956589836772277"/>
    <s v="Dissatisfied"/>
    <n v="1"/>
  </r>
  <r>
    <d v="2022-05-06T00:00:00"/>
    <s v="22-2492"/>
    <s v="P026"/>
    <x v="0"/>
    <n v="280"/>
    <n v="70"/>
    <n v="4200"/>
    <n v="1050"/>
    <n v="3150"/>
    <x v="135"/>
    <s v="Corporate &amp; Professional"/>
    <n v="10.408704992688252"/>
    <s v="Satisfied"/>
    <n v="10"/>
  </r>
  <r>
    <d v="2022-05-07T00:00:00"/>
    <s v="22-4206"/>
    <s v="P033"/>
    <x v="2"/>
    <n v="57"/>
    <n v="19"/>
    <n v="741"/>
    <n v="247"/>
    <n v="494"/>
    <x v="217"/>
    <s v="Education"/>
    <n v="11.862005526237752"/>
    <s v="Neither"/>
    <n v="5"/>
  </r>
  <r>
    <d v="2022-05-08T00:00:00"/>
    <s v="22-3804"/>
    <s v="P088"/>
    <x v="12"/>
    <n v="192"/>
    <n v="96"/>
    <n v="1344"/>
    <n v="672"/>
    <n v="672"/>
    <x v="26"/>
    <s v="Sports &amp; Recreation"/>
    <n v="14.16303548174143"/>
    <s v="Neither"/>
    <n v="5"/>
  </r>
  <r>
    <d v="2022-05-09T00:00:00"/>
    <s v="22-2307"/>
    <s v="P066"/>
    <x v="9"/>
    <n v="34"/>
    <n v="17"/>
    <n v="680"/>
    <n v="340"/>
    <n v="340"/>
    <x v="196"/>
    <s v="Community &amp; Government"/>
    <n v="12.869841591513939"/>
    <s v="Dissatisfied"/>
    <n v="1"/>
  </r>
  <r>
    <d v="2022-05-10T00:00:00"/>
    <s v="22-3178"/>
    <s v="P096"/>
    <x v="11"/>
    <n v="144"/>
    <n v="48"/>
    <n v="2304"/>
    <n v="768"/>
    <n v="1536"/>
    <x v="214"/>
    <s v="Corporate &amp; Professional"/>
    <n v="12.985332015423809"/>
    <s v="Satisfied"/>
    <n v="10"/>
  </r>
  <r>
    <d v="2022-05-11T00:00:00"/>
    <s v="22-3870"/>
    <s v="P044"/>
    <x v="7"/>
    <n v="368"/>
    <n v="92"/>
    <n v="4048"/>
    <n v="1012"/>
    <n v="3036"/>
    <x v="176"/>
    <s v="Corporate &amp; Professional"/>
    <n v="11.769937929618399"/>
    <s v="Dissatisfied"/>
    <n v="1"/>
  </r>
  <r>
    <d v="2022-05-12T00:00:00"/>
    <s v="22-4611"/>
    <s v="P023"/>
    <x v="15"/>
    <n v="126"/>
    <n v="42"/>
    <n v="2142"/>
    <n v="714"/>
    <n v="1428"/>
    <x v="193"/>
    <s v="Corporate &amp; Professional"/>
    <n v="12.275875773922367"/>
    <s v="Satisfied"/>
    <n v="10"/>
  </r>
  <r>
    <d v="2022-05-13T00:00:00"/>
    <s v="22-4264"/>
    <s v="P078"/>
    <x v="11"/>
    <n v="225"/>
    <n v="75"/>
    <n v="3600"/>
    <n v="1200"/>
    <n v="2400"/>
    <x v="105"/>
    <s v="Corporate &amp; Professional"/>
    <n v="11.070908141213383"/>
    <s v="Neither"/>
    <n v="5"/>
  </r>
  <r>
    <d v="2022-05-14T00:00:00"/>
    <s v="22-2409"/>
    <s v="P039"/>
    <x v="16"/>
    <n v="270"/>
    <n v="90"/>
    <n v="2430"/>
    <n v="810"/>
    <n v="1620"/>
    <x v="18"/>
    <s v="Sports &amp; Recreation"/>
    <n v="12.072414596936037"/>
    <s v="Neither"/>
    <n v="5"/>
  </r>
  <r>
    <d v="2022-05-15T00:00:00"/>
    <s v="22-3522"/>
    <s v="P020"/>
    <x v="15"/>
    <n v="180"/>
    <n v="45"/>
    <n v="3060"/>
    <n v="765"/>
    <n v="2295"/>
    <x v="97"/>
    <s v="Corporate &amp; Professional"/>
    <n v="12.545140403858928"/>
    <s v="Dissatisfied"/>
    <n v="1"/>
  </r>
  <r>
    <d v="2022-05-16T00:00:00"/>
    <s v="22-2157"/>
    <s v="P098"/>
    <x v="17"/>
    <n v="201"/>
    <n v="67"/>
    <n v="201"/>
    <n v="67"/>
    <n v="134"/>
    <x v="184"/>
    <s v="Community &amp; Government"/>
    <n v="8.8169309002713945"/>
    <s v="Satisfied"/>
    <n v="10"/>
  </r>
  <r>
    <d v="2022-05-17T00:00:00"/>
    <s v="22-1926"/>
    <s v="P004"/>
    <x v="12"/>
    <n v="189"/>
    <n v="63"/>
    <n v="1323"/>
    <n v="441"/>
    <n v="882"/>
    <x v="198"/>
    <s v="Corporate &amp; Professional"/>
    <n v="6.9183250411917196"/>
    <s v="Satisfied"/>
    <n v="10"/>
  </r>
  <r>
    <d v="2022-05-18T00:00:00"/>
    <s v="22-1962"/>
    <s v="P027"/>
    <x v="16"/>
    <n v="140"/>
    <n v="70"/>
    <n v="1260"/>
    <n v="630"/>
    <n v="630"/>
    <x v="23"/>
    <s v="Healthcare &amp; Safety"/>
    <n v="13.407340878370247"/>
    <s v="Neither"/>
    <n v="5"/>
  </r>
  <r>
    <d v="2022-05-19T00:00:00"/>
    <s v="22-2478"/>
    <s v="P065"/>
    <x v="13"/>
    <n v="50"/>
    <n v="25"/>
    <n v="500"/>
    <n v="250"/>
    <n v="250"/>
    <x v="16"/>
    <s v="Sports &amp; Recreation"/>
    <n v="12.865074657680612"/>
    <s v="Satisfied"/>
    <n v="10"/>
  </r>
  <r>
    <d v="2022-05-20T00:00:00"/>
    <s v="22-4480"/>
    <s v="P078"/>
    <x v="16"/>
    <n v="225"/>
    <n v="75"/>
    <n v="2025"/>
    <n v="675"/>
    <n v="1350"/>
    <x v="241"/>
    <s v="Community &amp; Government"/>
    <n v="15.856807810268592"/>
    <s v="Neither"/>
    <n v="5"/>
  </r>
  <r>
    <d v="2022-05-21T00:00:00"/>
    <s v="22-2798"/>
    <s v="P088"/>
    <x v="18"/>
    <n v="192"/>
    <n v="96"/>
    <n v="3456"/>
    <n v="1728"/>
    <n v="1728"/>
    <x v="200"/>
    <s v="Community &amp; Government"/>
    <n v="12.460490918487697"/>
    <s v="Neither"/>
    <n v="5"/>
  </r>
  <r>
    <d v="2022-05-22T00:00:00"/>
    <s v="22-4423"/>
    <s v="P080"/>
    <x v="12"/>
    <n v="57"/>
    <n v="19"/>
    <n v="399"/>
    <n v="133"/>
    <n v="266"/>
    <x v="142"/>
    <s v="Healthcare &amp; Safety"/>
    <n v="13.574227261506472"/>
    <s v="Dissatisfied"/>
    <n v="1"/>
  </r>
  <r>
    <d v="2022-05-23T00:00:00"/>
    <s v="22-2969"/>
    <s v="P034"/>
    <x v="7"/>
    <n v="114"/>
    <n v="57"/>
    <n v="1254"/>
    <n v="627"/>
    <n v="627"/>
    <x v="69"/>
    <s v="Healthcare &amp; Safety"/>
    <n v="9.3014286057233697"/>
    <s v="Dissatisfied"/>
    <n v="1"/>
  </r>
  <r>
    <d v="2022-05-24T00:00:00"/>
    <s v="22-1222"/>
    <s v="P058"/>
    <x v="19"/>
    <n v="356"/>
    <n v="89"/>
    <n v="6764"/>
    <n v="1691"/>
    <n v="5073"/>
    <x v="27"/>
    <s v="Healthcare &amp; Safety"/>
    <n v="10.42743035829395"/>
    <s v="Neither"/>
    <n v="5"/>
  </r>
  <r>
    <d v="2022-05-25T00:00:00"/>
    <s v="22-3968"/>
    <s v="P098"/>
    <x v="4"/>
    <n v="201"/>
    <n v="67"/>
    <n v="402"/>
    <n v="134"/>
    <n v="268"/>
    <x v="54"/>
    <s v="Community &amp; Government"/>
    <n v="13.890275354050972"/>
    <s v="Neither"/>
    <n v="5"/>
  </r>
  <r>
    <d v="2022-05-26T00:00:00"/>
    <s v="22-2499"/>
    <s v="P086"/>
    <x v="1"/>
    <n v="352"/>
    <n v="88"/>
    <n v="2816"/>
    <n v="704"/>
    <n v="2112"/>
    <x v="226"/>
    <s v="Community &amp; Government"/>
    <n v="11.927799225928501"/>
    <s v="Neither"/>
    <n v="5"/>
  </r>
  <r>
    <d v="2022-05-27T00:00:00"/>
    <s v="22-2176"/>
    <s v="P034"/>
    <x v="17"/>
    <n v="114"/>
    <n v="57"/>
    <n v="114"/>
    <n v="57"/>
    <n v="57"/>
    <x v="117"/>
    <s v="Corporate &amp; Professional"/>
    <n v="11.687634894637348"/>
    <s v="Neither"/>
    <n v="5"/>
  </r>
  <r>
    <d v="2022-05-28T00:00:00"/>
    <s v="22-2136"/>
    <s v="P047"/>
    <x v="7"/>
    <n v="72"/>
    <n v="36"/>
    <n v="792"/>
    <n v="396"/>
    <n v="396"/>
    <x v="197"/>
    <s v="Community &amp; Government"/>
    <n v="10.163794912095831"/>
    <s v="Neither"/>
    <n v="5"/>
  </r>
  <r>
    <d v="2022-05-29T00:00:00"/>
    <s v="22-3997"/>
    <s v="P083"/>
    <x v="3"/>
    <n v="90"/>
    <n v="45"/>
    <n v="360"/>
    <n v="180"/>
    <n v="180"/>
    <x v="59"/>
    <s v="Creative &amp; Technology"/>
    <n v="10.980884286450312"/>
    <s v="Neither"/>
    <n v="5"/>
  </r>
  <r>
    <d v="2022-05-30T00:00:00"/>
    <s v="22-1713"/>
    <s v="P073"/>
    <x v="2"/>
    <n v="48"/>
    <n v="24"/>
    <n v="624"/>
    <n v="312"/>
    <n v="312"/>
    <x v="162"/>
    <s v="Creative &amp; Technology"/>
    <n v="14.064516999204997"/>
    <s v="Dissatisfied"/>
    <n v="1"/>
  </r>
  <r>
    <d v="2022-05-31T00:00:00"/>
    <s v="22-4313"/>
    <s v="P064"/>
    <x v="16"/>
    <n v="231"/>
    <n v="77"/>
    <n v="2079"/>
    <n v="693"/>
    <n v="1386"/>
    <x v="247"/>
    <s v="Facilities &amp; Services"/>
    <n v="12.502346728827876"/>
    <s v="Neither"/>
    <n v="5"/>
  </r>
  <r>
    <d v="2022-06-01T00:00:00"/>
    <s v="22-4070"/>
    <s v="P020"/>
    <x v="11"/>
    <n v="180"/>
    <n v="45"/>
    <n v="2880"/>
    <n v="720"/>
    <n v="2160"/>
    <x v="66"/>
    <s v="Facilities &amp; Services"/>
    <n v="12.172922939334034"/>
    <s v="Neither"/>
    <n v="5"/>
  </r>
  <r>
    <d v="2022-06-02T00:00:00"/>
    <s v="22-2531"/>
    <s v="P091"/>
    <x v="9"/>
    <n v="204"/>
    <n v="51"/>
    <n v="4080"/>
    <n v="1020"/>
    <n v="3060"/>
    <x v="167"/>
    <s v="Healthcare &amp; Safety"/>
    <n v="16.695690968264284"/>
    <s v="Neither"/>
    <n v="5"/>
  </r>
  <r>
    <d v="2022-06-03T00:00:00"/>
    <s v="22-1275"/>
    <s v="P006"/>
    <x v="6"/>
    <n v="38"/>
    <n v="19"/>
    <n v="228"/>
    <n v="114"/>
    <n v="114"/>
    <x v="64"/>
    <s v="Corporate &amp; Professional"/>
    <n v="11.083482342133532"/>
    <s v="Dissatisfied"/>
    <n v="1"/>
  </r>
  <r>
    <d v="2022-06-04T00:00:00"/>
    <s v="22-4560"/>
    <s v="P084"/>
    <x v="12"/>
    <n v="154"/>
    <n v="77"/>
    <n v="1078"/>
    <n v="539"/>
    <n v="539"/>
    <x v="125"/>
    <s v="Sports &amp; Recreation"/>
    <n v="12.682358648534777"/>
    <s v="Satisfied"/>
    <n v="10"/>
  </r>
  <r>
    <d v="2022-06-05T00:00:00"/>
    <s v="22-1791"/>
    <s v="P058"/>
    <x v="13"/>
    <n v="356"/>
    <n v="89"/>
    <n v="3560"/>
    <n v="890"/>
    <n v="2670"/>
    <x v="202"/>
    <s v="Community &amp; Government"/>
    <n v="8.1595626482464514"/>
    <s v="Neither"/>
    <n v="5"/>
  </r>
  <r>
    <d v="2022-06-06T00:00:00"/>
    <s v="22-1715"/>
    <s v="P002"/>
    <x v="8"/>
    <n v="144"/>
    <n v="36"/>
    <n v="2016"/>
    <n v="504"/>
    <n v="1512"/>
    <x v="155"/>
    <s v="Creative &amp; Technology"/>
    <n v="8.0758315802191021"/>
    <s v="Neither"/>
    <n v="5"/>
  </r>
  <r>
    <d v="2022-06-07T00:00:00"/>
    <s v="22-1001"/>
    <s v="P059"/>
    <x v="10"/>
    <n v="267"/>
    <n v="89"/>
    <n v="1335"/>
    <n v="445"/>
    <n v="890"/>
    <x v="97"/>
    <s v="Corporate &amp; Professional"/>
    <n v="12.545140403858928"/>
    <s v="Neither"/>
    <n v="5"/>
  </r>
  <r>
    <d v="2022-06-08T00:00:00"/>
    <s v="22-2936"/>
    <s v="P004"/>
    <x v="12"/>
    <n v="189"/>
    <n v="63"/>
    <n v="1323"/>
    <n v="441"/>
    <n v="882"/>
    <x v="22"/>
    <s v="Sports &amp; Recreation"/>
    <n v="9.7467096260695598"/>
    <s v="Satisfied"/>
    <n v="10"/>
  </r>
  <r>
    <d v="2022-06-09T00:00:00"/>
    <s v="22-1641"/>
    <s v="P078"/>
    <x v="2"/>
    <n v="225"/>
    <n v="75"/>
    <n v="2925"/>
    <n v="975"/>
    <n v="1950"/>
    <x v="49"/>
    <s v="Creative &amp; Technology"/>
    <n v="11.31221475547909"/>
    <s v="Satisfied"/>
    <n v="10"/>
  </r>
  <r>
    <d v="2022-06-10T00:00:00"/>
    <s v="22-3718"/>
    <s v="P063"/>
    <x v="11"/>
    <n v="261"/>
    <n v="87"/>
    <n v="4176"/>
    <n v="1392"/>
    <n v="2784"/>
    <x v="120"/>
    <s v="Education"/>
    <n v="9.4239783062860578"/>
    <s v="Satisfied"/>
    <n v="10"/>
  </r>
  <r>
    <d v="2022-06-11T00:00:00"/>
    <s v="22-1375"/>
    <s v="P073"/>
    <x v="3"/>
    <n v="48"/>
    <n v="24"/>
    <n v="192"/>
    <n v="96"/>
    <n v="96"/>
    <x v="209"/>
    <s v="Facilities &amp; Services"/>
    <n v="10.956589836772277"/>
    <s v="Neither"/>
    <n v="5"/>
  </r>
  <r>
    <d v="2022-06-12T00:00:00"/>
    <s v="22-1037"/>
    <s v="P064"/>
    <x v="15"/>
    <n v="231"/>
    <n v="77"/>
    <n v="3927"/>
    <n v="1309"/>
    <n v="2618"/>
    <x v="42"/>
    <s v="Community &amp; Government"/>
    <n v="10.216282609482219"/>
    <s v="Neither"/>
    <n v="5"/>
  </r>
  <r>
    <d v="2022-06-13T00:00:00"/>
    <s v="22-4883"/>
    <s v="P002"/>
    <x v="7"/>
    <n v="144"/>
    <n v="36"/>
    <n v="1584"/>
    <n v="396"/>
    <n v="1188"/>
    <x v="169"/>
    <s v="Healthcare &amp; Safety"/>
    <n v="14.341195386574373"/>
    <s v="Neither"/>
    <n v="5"/>
  </r>
  <r>
    <d v="2022-06-14T00:00:00"/>
    <s v="22-1841"/>
    <s v="P008"/>
    <x v="5"/>
    <n v="225"/>
    <n v="75"/>
    <n v="675"/>
    <n v="225"/>
    <n v="450"/>
    <x v="246"/>
    <s v="Facilities &amp; Services"/>
    <n v="13.853438793083487"/>
    <s v="Neither"/>
    <n v="5"/>
  </r>
  <r>
    <d v="2022-06-15T00:00:00"/>
    <s v="22-4386"/>
    <s v="P087"/>
    <x v="18"/>
    <n v="176"/>
    <n v="88"/>
    <n v="3168"/>
    <n v="1584"/>
    <n v="1584"/>
    <x v="55"/>
    <s v="Creative &amp; Technology"/>
    <n v="13.765798454641494"/>
    <s v="Dissatisfied"/>
    <n v="1"/>
  </r>
  <r>
    <d v="2022-06-16T00:00:00"/>
    <s v="22-2290"/>
    <s v="P098"/>
    <x v="5"/>
    <n v="201"/>
    <n v="67"/>
    <n v="603"/>
    <n v="201"/>
    <n v="402"/>
    <x v="273"/>
    <s v="Corporate &amp; Professional"/>
    <n v="11.971065679104063"/>
    <s v="Neither"/>
    <n v="5"/>
  </r>
  <r>
    <d v="2022-06-17T00:00:00"/>
    <s v="22-3041"/>
    <s v="P063"/>
    <x v="8"/>
    <n v="261"/>
    <n v="87"/>
    <n v="3654"/>
    <n v="1218"/>
    <n v="2436"/>
    <x v="12"/>
    <s v="Creative &amp; Technology"/>
    <n v="9.8384363471888783"/>
    <s v="Neither"/>
    <n v="5"/>
  </r>
  <r>
    <d v="2022-06-18T00:00:00"/>
    <s v="22-2162"/>
    <s v="P085"/>
    <x v="9"/>
    <n v="320"/>
    <n v="80"/>
    <n v="6400"/>
    <n v="1600"/>
    <n v="4800"/>
    <x v="189"/>
    <s v="Community &amp; Government"/>
    <n v="12.954911944548844"/>
    <s v="Dissatisfied"/>
    <n v="1"/>
  </r>
  <r>
    <d v="2022-06-19T00:00:00"/>
    <s v="22-2878"/>
    <s v="P029"/>
    <x v="4"/>
    <n v="300"/>
    <n v="75"/>
    <n v="600"/>
    <n v="150"/>
    <n v="450"/>
    <x v="150"/>
    <s v="Education"/>
    <n v="12.889576147248359"/>
    <s v="Satisfied"/>
    <n v="10"/>
  </r>
  <r>
    <d v="2022-06-20T00:00:00"/>
    <s v="22-4920"/>
    <s v="P074"/>
    <x v="5"/>
    <n v="352"/>
    <n v="88"/>
    <n v="1056"/>
    <n v="264"/>
    <n v="792"/>
    <x v="97"/>
    <s v="Corporate &amp; Professional"/>
    <n v="12.545140403858928"/>
    <s v="Dissatisfied"/>
    <n v="1"/>
  </r>
  <r>
    <d v="2022-06-21T00:00:00"/>
    <s v="22-2345"/>
    <s v="P059"/>
    <x v="15"/>
    <n v="267"/>
    <n v="89"/>
    <n v="4539"/>
    <n v="1513"/>
    <n v="3026"/>
    <x v="72"/>
    <s v="Community &amp; Government"/>
    <n v="15.458859683514467"/>
    <s v="Satisfied"/>
    <n v="10"/>
  </r>
  <r>
    <d v="2022-06-22T00:00:00"/>
    <s v="22-2339"/>
    <s v="P029"/>
    <x v="19"/>
    <n v="300"/>
    <n v="75"/>
    <n v="5700"/>
    <n v="1425"/>
    <n v="4275"/>
    <x v="18"/>
    <s v="Sports &amp; Recreation"/>
    <n v="12.072414596936037"/>
    <s v="Satisfied"/>
    <n v="10"/>
  </r>
  <r>
    <d v="2022-06-23T00:00:00"/>
    <s v="22-3699"/>
    <s v="P019"/>
    <x v="0"/>
    <n v="308"/>
    <n v="77"/>
    <n v="4620"/>
    <n v="1155"/>
    <n v="3465"/>
    <x v="141"/>
    <s v="Facilities &amp; Services"/>
    <n v="13.104576594826185"/>
    <s v="Neither"/>
    <n v="5"/>
  </r>
  <r>
    <d v="2022-06-24T00:00:00"/>
    <s v="22-2750"/>
    <s v="P085"/>
    <x v="15"/>
    <n v="320"/>
    <n v="80"/>
    <n v="5440"/>
    <n v="1360"/>
    <n v="4080"/>
    <x v="217"/>
    <s v="Education"/>
    <n v="11.862005526237752"/>
    <s v="Satisfied"/>
    <n v="10"/>
  </r>
  <r>
    <d v="2022-06-25T00:00:00"/>
    <s v="22-1894"/>
    <s v="P070"/>
    <x v="8"/>
    <n v="84"/>
    <n v="21"/>
    <n v="1176"/>
    <n v="294"/>
    <n v="882"/>
    <x v="185"/>
    <s v="Education"/>
    <n v="13.466362789017223"/>
    <s v="Neither"/>
    <n v="5"/>
  </r>
  <r>
    <d v="2022-06-26T00:00:00"/>
    <s v="22-1866"/>
    <s v="P070"/>
    <x v="12"/>
    <n v="84"/>
    <n v="21"/>
    <n v="588"/>
    <n v="147"/>
    <n v="441"/>
    <x v="189"/>
    <s v="Community &amp; Government"/>
    <n v="12.954911944548844"/>
    <s v="Satisfied"/>
    <n v="10"/>
  </r>
  <r>
    <d v="2022-06-27T00:00:00"/>
    <s v="22-1606"/>
    <s v="P031"/>
    <x v="3"/>
    <n v="146"/>
    <n v="73"/>
    <n v="584"/>
    <n v="292"/>
    <n v="292"/>
    <x v="195"/>
    <s v="Community &amp; Government"/>
    <n v="12.679725647708608"/>
    <s v="Dissatisfied"/>
    <n v="1"/>
  </r>
  <r>
    <d v="2022-06-28T00:00:00"/>
    <s v="22-3180"/>
    <s v="P089"/>
    <x v="13"/>
    <n v="102"/>
    <n v="51"/>
    <n v="1020"/>
    <n v="510"/>
    <n v="510"/>
    <x v="189"/>
    <s v="Community &amp; Government"/>
    <n v="12.954911944548844"/>
    <s v="Satisfied"/>
    <n v="10"/>
  </r>
  <r>
    <d v="2022-06-29T00:00:00"/>
    <s v="22-2230"/>
    <s v="P067"/>
    <x v="0"/>
    <n v="144"/>
    <n v="36"/>
    <n v="2160"/>
    <n v="540"/>
    <n v="1620"/>
    <x v="110"/>
    <s v="Sports &amp; Recreation"/>
    <n v="14.690198582365463"/>
    <s v="Satisfied"/>
    <n v="10"/>
  </r>
  <r>
    <d v="2022-06-30T00:00:00"/>
    <s v="22-4161"/>
    <s v="P001"/>
    <x v="15"/>
    <n v="108"/>
    <n v="36"/>
    <n v="1836"/>
    <n v="612"/>
    <n v="1224"/>
    <x v="189"/>
    <s v="Community &amp; Government"/>
    <n v="12.954911944548844"/>
    <s v="Neither"/>
    <n v="5"/>
  </r>
  <r>
    <d v="2022-07-01T00:00:00"/>
    <s v="22-4271"/>
    <s v="P092"/>
    <x v="1"/>
    <n v="124"/>
    <n v="62"/>
    <n v="992"/>
    <n v="496"/>
    <n v="496"/>
    <x v="231"/>
    <s v="Facilities &amp; Services"/>
    <n v="14.060995290679429"/>
    <s v="Satisfied"/>
    <n v="10"/>
  </r>
  <r>
    <d v="2022-07-02T00:00:00"/>
    <s v="22-4037"/>
    <s v="P059"/>
    <x v="7"/>
    <n v="267"/>
    <n v="89"/>
    <n v="2937"/>
    <n v="979"/>
    <n v="1958"/>
    <x v="192"/>
    <s v="Healthcare &amp; Safety"/>
    <n v="8.7741864171993527"/>
    <s v="Dissatisfied"/>
    <n v="1"/>
  </r>
  <r>
    <d v="2022-07-03T00:00:00"/>
    <s v="22-2544"/>
    <s v="P097"/>
    <x v="12"/>
    <n v="92"/>
    <n v="46"/>
    <n v="644"/>
    <n v="322"/>
    <n v="322"/>
    <x v="84"/>
    <s v="Corporate &amp; Professional"/>
    <n v="11.428575823958646"/>
    <s v="Dissatisfied"/>
    <n v="1"/>
  </r>
  <r>
    <d v="2022-07-04T00:00:00"/>
    <s v="22-4072"/>
    <s v="P002"/>
    <x v="4"/>
    <n v="144"/>
    <n v="36"/>
    <n v="288"/>
    <n v="72"/>
    <n v="216"/>
    <x v="20"/>
    <s v="Education"/>
    <n v="15.12637675023732"/>
    <s v="Dissatisfied"/>
    <n v="1"/>
  </r>
  <r>
    <d v="2022-07-05T00:00:00"/>
    <s v="22-2435"/>
    <s v="P095"/>
    <x v="18"/>
    <n v="116"/>
    <n v="29"/>
    <n v="2088"/>
    <n v="522"/>
    <n v="1566"/>
    <x v="291"/>
    <s v="Facilities &amp; Services"/>
    <n v="11.375127981841125"/>
    <s v="Satisfied"/>
    <n v="10"/>
  </r>
  <r>
    <d v="2022-07-06T00:00:00"/>
    <s v="22-2917"/>
    <s v="P043"/>
    <x v="0"/>
    <n v="184"/>
    <n v="92"/>
    <n v="2760"/>
    <n v="1380"/>
    <n v="1380"/>
    <x v="176"/>
    <s v="Corporate &amp; Professional"/>
    <n v="11.769937929618399"/>
    <s v="Neither"/>
    <n v="5"/>
  </r>
  <r>
    <d v="2022-07-07T00:00:00"/>
    <s v="22-1805"/>
    <s v="P057"/>
    <x v="16"/>
    <n v="252"/>
    <n v="63"/>
    <n v="2268"/>
    <n v="567"/>
    <n v="1701"/>
    <x v="68"/>
    <s v="Sports &amp; Recreation"/>
    <n v="12.200533931675887"/>
    <s v="Neither"/>
    <n v="5"/>
  </r>
  <r>
    <d v="2022-07-08T00:00:00"/>
    <s v="22-3435"/>
    <s v="P080"/>
    <x v="18"/>
    <n v="57"/>
    <n v="19"/>
    <n v="1026"/>
    <n v="342"/>
    <n v="684"/>
    <x v="202"/>
    <s v="Community &amp; Government"/>
    <n v="8.1595626482464514"/>
    <s v="Neither"/>
    <n v="5"/>
  </r>
  <r>
    <d v="2022-07-09T00:00:00"/>
    <s v="22-1639"/>
    <s v="P019"/>
    <x v="9"/>
    <n v="308"/>
    <n v="77"/>
    <n v="6160"/>
    <n v="1540"/>
    <n v="4620"/>
    <x v="28"/>
    <s v="Sports &amp; Recreation"/>
    <n v="11.006397834696006"/>
    <s v="Neither"/>
    <n v="5"/>
  </r>
  <r>
    <d v="2022-07-10T00:00:00"/>
    <s v="22-4534"/>
    <s v="P057"/>
    <x v="11"/>
    <n v="252"/>
    <n v="63"/>
    <n v="4032"/>
    <n v="1008"/>
    <n v="3024"/>
    <x v="285"/>
    <s v="Healthcare &amp; Safety"/>
    <n v="13.2671922973198"/>
    <s v="Satisfied"/>
    <n v="10"/>
  </r>
  <r>
    <d v="2022-07-11T00:00:00"/>
    <s v="22-3230"/>
    <s v="P025"/>
    <x v="2"/>
    <n v="210"/>
    <n v="70"/>
    <n v="2730"/>
    <n v="910"/>
    <n v="1820"/>
    <x v="18"/>
    <s v="Sports &amp; Recreation"/>
    <n v="12.072414596936037"/>
    <s v="Neither"/>
    <n v="5"/>
  </r>
  <r>
    <d v="2022-07-12T00:00:00"/>
    <s v="22-1069"/>
    <s v="P065"/>
    <x v="1"/>
    <n v="50"/>
    <n v="25"/>
    <n v="400"/>
    <n v="200"/>
    <n v="200"/>
    <x v="233"/>
    <s v="Education"/>
    <n v="9.5176115401380308"/>
    <s v="Neither"/>
    <n v="5"/>
  </r>
  <r>
    <d v="2022-07-13T00:00:00"/>
    <s v="22-3940"/>
    <s v="P072"/>
    <x v="11"/>
    <n v="132"/>
    <n v="44"/>
    <n v="2112"/>
    <n v="704"/>
    <n v="1408"/>
    <x v="281"/>
    <s v="Community &amp; Government"/>
    <n v="13.811876869930865"/>
    <s v="Dissatisfied"/>
    <n v="1"/>
  </r>
  <r>
    <d v="2022-07-14T00:00:00"/>
    <s v="22-4450"/>
    <s v="P085"/>
    <x v="2"/>
    <n v="320"/>
    <n v="80"/>
    <n v="4160"/>
    <n v="1040"/>
    <n v="3120"/>
    <x v="108"/>
    <s v="Sports &amp; Recreation"/>
    <n v="11.970975110943924"/>
    <s v="Neither"/>
    <n v="5"/>
  </r>
  <r>
    <d v="2022-07-15T00:00:00"/>
    <s v="22-3472"/>
    <s v="P046"/>
    <x v="9"/>
    <n v="38"/>
    <n v="19"/>
    <n v="760"/>
    <n v="380"/>
    <n v="380"/>
    <x v="169"/>
    <s v="Healthcare &amp; Safety"/>
    <n v="14.341195386574373"/>
    <s v="Neither"/>
    <n v="5"/>
  </r>
  <r>
    <d v="2022-07-16T00:00:00"/>
    <s v="22-3164"/>
    <s v="P004"/>
    <x v="3"/>
    <n v="189"/>
    <n v="63"/>
    <n v="756"/>
    <n v="252"/>
    <n v="504"/>
    <x v="264"/>
    <s v="Education"/>
    <n v="10.818241047231139"/>
    <s v="Neither"/>
    <n v="5"/>
  </r>
  <r>
    <d v="2022-07-17T00:00:00"/>
    <s v="22-3049"/>
    <s v="P030"/>
    <x v="8"/>
    <n v="81"/>
    <n v="27"/>
    <n v="1134"/>
    <n v="378"/>
    <n v="756"/>
    <x v="216"/>
    <s v="Corporate &amp; Professional"/>
    <n v="9.1057685343725456"/>
    <s v="Neither"/>
    <n v="5"/>
  </r>
  <r>
    <d v="2022-07-18T00:00:00"/>
    <s v="22-3433"/>
    <s v="P080"/>
    <x v="17"/>
    <n v="57"/>
    <n v="19"/>
    <n v="57"/>
    <n v="19"/>
    <n v="38"/>
    <x v="23"/>
    <s v="Healthcare &amp; Safety"/>
    <n v="13.407340878370247"/>
    <s v="Neither"/>
    <n v="5"/>
  </r>
  <r>
    <d v="2022-07-19T00:00:00"/>
    <s v="22-4179"/>
    <s v="P070"/>
    <x v="12"/>
    <n v="84"/>
    <n v="21"/>
    <n v="588"/>
    <n v="147"/>
    <n v="441"/>
    <x v="20"/>
    <s v="Education"/>
    <n v="15.12637675023732"/>
    <s v="Neither"/>
    <n v="5"/>
  </r>
  <r>
    <d v="2022-07-20T00:00:00"/>
    <s v="22-4633"/>
    <s v="P075"/>
    <x v="17"/>
    <n v="160"/>
    <n v="80"/>
    <n v="160"/>
    <n v="80"/>
    <n v="80"/>
    <x v="196"/>
    <s v="Community &amp; Government"/>
    <n v="12.869841591513939"/>
    <s v="Neither"/>
    <n v="5"/>
  </r>
  <r>
    <d v="2022-07-21T00:00:00"/>
    <s v="22-2690"/>
    <s v="P039"/>
    <x v="7"/>
    <n v="270"/>
    <n v="90"/>
    <n v="2970"/>
    <n v="990"/>
    <n v="1980"/>
    <x v="226"/>
    <s v="Community &amp; Government"/>
    <n v="11.927799225928501"/>
    <s v="Dissatisfied"/>
    <n v="1"/>
  </r>
  <r>
    <d v="2022-07-22T00:00:00"/>
    <s v="22-3336"/>
    <s v="P084"/>
    <x v="2"/>
    <n v="154"/>
    <n v="77"/>
    <n v="2002"/>
    <n v="1001"/>
    <n v="1001"/>
    <x v="166"/>
    <s v="Healthcare &amp; Safety"/>
    <n v="10.112765954734209"/>
    <s v="Satisfied"/>
    <n v="10"/>
  </r>
  <r>
    <d v="2022-07-23T00:00:00"/>
    <s v="22-1553"/>
    <s v="P064"/>
    <x v="2"/>
    <n v="231"/>
    <n v="77"/>
    <n v="3003"/>
    <n v="1001"/>
    <n v="2002"/>
    <x v="174"/>
    <s v="Corporate &amp; Professional"/>
    <n v="12.921682080641304"/>
    <s v="Neither"/>
    <n v="5"/>
  </r>
  <r>
    <d v="2022-07-24T00:00:00"/>
    <s v="22-2077"/>
    <s v="P093"/>
    <x v="0"/>
    <n v="384"/>
    <n v="96"/>
    <n v="5760"/>
    <n v="1440"/>
    <n v="4320"/>
    <x v="21"/>
    <s v="Facilities &amp; Services"/>
    <n v="13.717776078041958"/>
    <s v="Neither"/>
    <n v="5"/>
  </r>
  <r>
    <d v="2022-07-25T00:00:00"/>
    <s v="22-3007"/>
    <s v="P043"/>
    <x v="14"/>
    <n v="184"/>
    <n v="92"/>
    <n v="2208"/>
    <n v="1104"/>
    <n v="1104"/>
    <x v="272"/>
    <s v="Facilities &amp; Services"/>
    <n v="10.517826055804084"/>
    <s v="Neither"/>
    <n v="5"/>
  </r>
  <r>
    <d v="2022-07-26T00:00:00"/>
    <s v="22-3457"/>
    <s v="P040"/>
    <x v="17"/>
    <n v="160"/>
    <n v="80"/>
    <n v="160"/>
    <n v="80"/>
    <n v="80"/>
    <x v="279"/>
    <s v="Corporate &amp; Professional"/>
    <n v="6.221489120484736"/>
    <s v="Neither"/>
    <n v="5"/>
  </r>
  <r>
    <d v="2022-07-27T00:00:00"/>
    <s v="22-1499"/>
    <s v="P053"/>
    <x v="10"/>
    <n v="50"/>
    <n v="25"/>
    <n v="250"/>
    <n v="125"/>
    <n v="125"/>
    <x v="58"/>
    <s v="Creative &amp; Technology"/>
    <n v="11.995406972581796"/>
    <s v="Satisfied"/>
    <n v="10"/>
  </r>
  <r>
    <d v="2022-07-28T00:00:00"/>
    <s v="22-4855"/>
    <s v="P039"/>
    <x v="11"/>
    <n v="270"/>
    <n v="90"/>
    <n v="4320"/>
    <n v="1440"/>
    <n v="2880"/>
    <x v="231"/>
    <s v="Facilities &amp; Services"/>
    <n v="14.060995290679429"/>
    <s v="Satisfied"/>
    <n v="10"/>
  </r>
  <r>
    <d v="2022-07-29T00:00:00"/>
    <s v="22-1794"/>
    <s v="P040"/>
    <x v="9"/>
    <n v="160"/>
    <n v="80"/>
    <n v="3200"/>
    <n v="1600"/>
    <n v="1600"/>
    <x v="272"/>
    <s v="Facilities &amp; Services"/>
    <n v="10.517826055804084"/>
    <s v="Satisfied"/>
    <n v="10"/>
  </r>
  <r>
    <d v="2022-07-30T00:00:00"/>
    <s v="22-1305"/>
    <s v="P027"/>
    <x v="9"/>
    <n v="140"/>
    <n v="70"/>
    <n v="2800"/>
    <n v="1400"/>
    <n v="1400"/>
    <x v="39"/>
    <s v="Creative &amp; Technology"/>
    <n v="11.841063669683448"/>
    <s v="Neither"/>
    <n v="5"/>
  </r>
  <r>
    <d v="2022-07-31T00:00:00"/>
    <s v="22-4222"/>
    <s v="P096"/>
    <x v="9"/>
    <n v="144"/>
    <n v="48"/>
    <n v="2880"/>
    <n v="960"/>
    <n v="1920"/>
    <x v="49"/>
    <s v="Creative &amp; Technology"/>
    <n v="11.31221475547909"/>
    <s v="Satisfied"/>
    <n v="10"/>
  </r>
  <r>
    <d v="2022-08-01T00:00:00"/>
    <s v="22-2294"/>
    <s v="P002"/>
    <x v="0"/>
    <n v="144"/>
    <n v="36"/>
    <n v="2160"/>
    <n v="540"/>
    <n v="1620"/>
    <x v="228"/>
    <s v="Corporate &amp; Professional"/>
    <n v="16.254955391951082"/>
    <s v="Satisfied"/>
    <n v="10"/>
  </r>
  <r>
    <d v="2022-08-02T00:00:00"/>
    <s v="22-1688"/>
    <s v="P070"/>
    <x v="0"/>
    <n v="84"/>
    <n v="21"/>
    <n v="1260"/>
    <n v="315"/>
    <n v="945"/>
    <x v="67"/>
    <s v="Community &amp; Government"/>
    <n v="11.346510807401776"/>
    <s v="Neither"/>
    <n v="5"/>
  </r>
  <r>
    <d v="2022-08-03T00:00:00"/>
    <s v="22-2227"/>
    <s v="P096"/>
    <x v="9"/>
    <n v="144"/>
    <n v="48"/>
    <n v="2880"/>
    <n v="960"/>
    <n v="1920"/>
    <x v="49"/>
    <s v="Creative &amp; Technology"/>
    <n v="11.31221475547909"/>
    <s v="Satisfied"/>
    <n v="10"/>
  </r>
  <r>
    <d v="2022-08-04T00:00:00"/>
    <s v="22-1397"/>
    <s v="P084"/>
    <x v="9"/>
    <n v="154"/>
    <n v="77"/>
    <n v="3080"/>
    <n v="1540"/>
    <n v="1540"/>
    <x v="195"/>
    <s v="Community &amp; Government"/>
    <n v="12.679725647708608"/>
    <s v="Neither"/>
    <n v="5"/>
  </r>
  <r>
    <d v="2022-08-05T00:00:00"/>
    <s v="22-1948"/>
    <s v="P022"/>
    <x v="3"/>
    <n v="153"/>
    <n v="51"/>
    <n v="612"/>
    <n v="204"/>
    <n v="408"/>
    <x v="253"/>
    <s v="Facilities &amp; Services"/>
    <n v="11.961761925704458"/>
    <s v="Neither"/>
    <n v="5"/>
  </r>
  <r>
    <d v="2022-08-06T00:00:00"/>
    <s v="22-3508"/>
    <s v="P064"/>
    <x v="11"/>
    <n v="231"/>
    <n v="77"/>
    <n v="3696"/>
    <n v="1232"/>
    <n v="2464"/>
    <x v="38"/>
    <s v="Facilities &amp; Services"/>
    <n v="13.378080355059918"/>
    <s v="Neither"/>
    <n v="5"/>
  </r>
  <r>
    <d v="2022-08-07T00:00:00"/>
    <s v="22-1017"/>
    <s v="P083"/>
    <x v="12"/>
    <n v="90"/>
    <n v="45"/>
    <n v="630"/>
    <n v="315"/>
    <n v="315"/>
    <x v="255"/>
    <s v="Community &amp; Government"/>
    <n v="12.392787515215366"/>
    <s v="Satisfied"/>
    <n v="10"/>
  </r>
  <r>
    <d v="2022-08-08T00:00:00"/>
    <s v="22-4196"/>
    <s v="P041"/>
    <x v="3"/>
    <n v="144"/>
    <n v="36"/>
    <n v="576"/>
    <n v="144"/>
    <n v="432"/>
    <x v="19"/>
    <s v="Community &amp; Government"/>
    <n v="15.140903556171683"/>
    <s v="Satisfied"/>
    <n v="10"/>
  </r>
  <r>
    <d v="2022-08-09T00:00:00"/>
    <s v="22-1471"/>
    <s v="P018"/>
    <x v="14"/>
    <n v="108"/>
    <n v="54"/>
    <n v="1296"/>
    <n v="648"/>
    <n v="648"/>
    <x v="27"/>
    <s v="Healthcare &amp; Safety"/>
    <n v="10.42743035829395"/>
    <s v="Neither"/>
    <n v="5"/>
  </r>
  <r>
    <d v="2022-08-10T00:00:00"/>
    <s v="22-1461"/>
    <s v="P094"/>
    <x v="5"/>
    <n v="80"/>
    <n v="20"/>
    <n v="240"/>
    <n v="60"/>
    <n v="180"/>
    <x v="183"/>
    <s v="Creative &amp; Technology"/>
    <n v="7.8974070387684714"/>
    <s v="Neither"/>
    <n v="5"/>
  </r>
  <r>
    <d v="2022-08-11T00:00:00"/>
    <s v="22-4342"/>
    <s v="P053"/>
    <x v="2"/>
    <n v="50"/>
    <n v="25"/>
    <n v="650"/>
    <n v="325"/>
    <n v="325"/>
    <x v="188"/>
    <s v="Healthcare &amp; Safety"/>
    <n v="9.8892508156549788"/>
    <s v="Neither"/>
    <n v="5"/>
  </r>
  <r>
    <d v="2022-08-12T00:00:00"/>
    <s v="22-1892"/>
    <s v="P070"/>
    <x v="17"/>
    <n v="84"/>
    <n v="21"/>
    <n v="84"/>
    <n v="21"/>
    <n v="63"/>
    <x v="128"/>
    <s v="Healthcare &amp; Safety"/>
    <n v="10.96230865592911"/>
    <s v="Neither"/>
    <n v="5"/>
  </r>
  <r>
    <d v="2022-08-13T00:00:00"/>
    <s v="22-4656"/>
    <s v="P045"/>
    <x v="12"/>
    <n v="100"/>
    <n v="25"/>
    <n v="700"/>
    <n v="175"/>
    <n v="525"/>
    <x v="23"/>
    <s v="Healthcare &amp; Safety"/>
    <n v="13.407340878370247"/>
    <s v="Neither"/>
    <n v="5"/>
  </r>
  <r>
    <d v="2022-08-14T00:00:00"/>
    <s v="22-2585"/>
    <s v="P058"/>
    <x v="0"/>
    <n v="356"/>
    <n v="89"/>
    <n v="5340"/>
    <n v="1335"/>
    <n v="4005"/>
    <x v="119"/>
    <s v="Education"/>
    <n v="12.456740895640767"/>
    <s v="Neither"/>
    <n v="5"/>
  </r>
  <r>
    <d v="2022-08-15T00:00:00"/>
    <s v="22-4239"/>
    <s v="P046"/>
    <x v="7"/>
    <n v="38"/>
    <n v="19"/>
    <n v="418"/>
    <n v="209"/>
    <n v="209"/>
    <x v="186"/>
    <s v="Education"/>
    <n v="8.3272837771733244"/>
    <s v="Neither"/>
    <n v="5"/>
  </r>
  <r>
    <d v="2022-08-16T00:00:00"/>
    <s v="22-2750"/>
    <s v="P059"/>
    <x v="8"/>
    <n v="267"/>
    <n v="89"/>
    <n v="3738"/>
    <n v="1246"/>
    <n v="2492"/>
    <x v="279"/>
    <s v="Corporate &amp; Professional"/>
    <n v="6.221489120484736"/>
    <s v="Dissatisfied"/>
    <n v="1"/>
  </r>
  <r>
    <d v="2022-08-17T00:00:00"/>
    <s v="22-2713"/>
    <s v="P011"/>
    <x v="4"/>
    <n v="264"/>
    <n v="88"/>
    <n v="528"/>
    <n v="176"/>
    <n v="352"/>
    <x v="197"/>
    <s v="Community &amp; Government"/>
    <n v="10.163794912095831"/>
    <s v="Neither"/>
    <n v="5"/>
  </r>
  <r>
    <m/>
    <m/>
    <m/>
    <x v="20"/>
    <m/>
    <m/>
    <m/>
    <m/>
    <m/>
    <x v="294"/>
    <m/>
    <m/>
    <m/>
    <m/>
  </r>
  <r>
    <m/>
    <m/>
    <m/>
    <x v="20"/>
    <m/>
    <m/>
    <m/>
    <m/>
    <m/>
    <x v="29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C6503-770E-8F4D-BE38-18D188332A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G299" firstHeaderRow="0" firstDataRow="1" firstDataCol="1"/>
  <pivotFields count="14">
    <pivotField showAll="0"/>
    <pivotField dataField="1" showAll="0"/>
    <pivotField showAll="0"/>
    <pivotField dataField="1" showAll="0">
      <items count="22">
        <item x="17"/>
        <item x="4"/>
        <item x="5"/>
        <item x="3"/>
        <item x="10"/>
        <item x="6"/>
        <item x="12"/>
        <item x="1"/>
        <item x="16"/>
        <item x="13"/>
        <item x="7"/>
        <item x="14"/>
        <item x="2"/>
        <item x="8"/>
        <item x="0"/>
        <item x="11"/>
        <item x="15"/>
        <item x="18"/>
        <item x="19"/>
        <item x="9"/>
        <item x="20"/>
        <item t="default"/>
      </items>
    </pivotField>
    <pivotField showAll="0"/>
    <pivotField showAll="0"/>
    <pivotField dataField="1" showAll="0"/>
    <pivotField showAll="0"/>
    <pivotField dataField="1" showAll="0"/>
    <pivotField axis="axisRow" showAll="0">
      <items count="296">
        <item x="195"/>
        <item x="289"/>
        <item x="196"/>
        <item x="206"/>
        <item x="281"/>
        <item x="129"/>
        <item x="255"/>
        <item x="72"/>
        <item x="290"/>
        <item x="118"/>
        <item x="67"/>
        <item x="76"/>
        <item x="226"/>
        <item x="230"/>
        <item x="287"/>
        <item x="70"/>
        <item x="197"/>
        <item x="19"/>
        <item x="221"/>
        <item x="208"/>
        <item x="194"/>
        <item x="252"/>
        <item x="15"/>
        <item x="286"/>
        <item x="159"/>
        <item x="184"/>
        <item x="41"/>
        <item x="201"/>
        <item x="241"/>
        <item x="250"/>
        <item x="113"/>
        <item x="54"/>
        <item x="189"/>
        <item x="143"/>
        <item x="42"/>
        <item x="180"/>
        <item x="107"/>
        <item x="202"/>
        <item x="222"/>
        <item x="282"/>
        <item x="86"/>
        <item x="89"/>
        <item x="200"/>
        <item x="81"/>
        <item x="44"/>
        <item x="0"/>
        <item x="43"/>
        <item x="1"/>
        <item x="269"/>
        <item x="161"/>
        <item x="279"/>
        <item x="147"/>
        <item x="131"/>
        <item x="31"/>
        <item x="190"/>
        <item x="191"/>
        <item x="71"/>
        <item x="214"/>
        <item x="258"/>
        <item x="249"/>
        <item x="163"/>
        <item x="133"/>
        <item x="216"/>
        <item x="193"/>
        <item x="64"/>
        <item x="84"/>
        <item x="265"/>
        <item x="97"/>
        <item x="105"/>
        <item x="210"/>
        <item x="56"/>
        <item x="94"/>
        <item x="135"/>
        <item x="174"/>
        <item x="117"/>
        <item x="176"/>
        <item x="198"/>
        <item x="157"/>
        <item x="232"/>
        <item x="153"/>
        <item x="266"/>
        <item x="228"/>
        <item x="40"/>
        <item x="273"/>
        <item x="204"/>
        <item x="254"/>
        <item x="30"/>
        <item x="242"/>
        <item x="37"/>
        <item x="236"/>
        <item x="283"/>
        <item x="160"/>
        <item x="50"/>
        <item x="98"/>
        <item x="227"/>
        <item x="237"/>
        <item x="139"/>
        <item x="82"/>
        <item x="122"/>
        <item x="73"/>
        <item x="121"/>
        <item x="36"/>
        <item x="112"/>
        <item x="243"/>
        <item x="183"/>
        <item x="49"/>
        <item x="179"/>
        <item x="234"/>
        <item x="292"/>
        <item x="244"/>
        <item x="260"/>
        <item x="48"/>
        <item x="126"/>
        <item x="39"/>
        <item x="256"/>
        <item x="55"/>
        <item x="162"/>
        <item x="58"/>
        <item x="257"/>
        <item x="146"/>
        <item x="251"/>
        <item x="187"/>
        <item x="224"/>
        <item x="175"/>
        <item x="91"/>
        <item x="155"/>
        <item x="11"/>
        <item x="59"/>
        <item x="158"/>
        <item x="14"/>
        <item x="6"/>
        <item x="60"/>
        <item x="136"/>
        <item x="293"/>
        <item x="177"/>
        <item x="165"/>
        <item x="12"/>
        <item x="248"/>
        <item x="203"/>
        <item x="274"/>
        <item x="85"/>
        <item x="62"/>
        <item x="87"/>
        <item x="4"/>
        <item x="80"/>
        <item x="280"/>
        <item x="150"/>
        <item x="276"/>
        <item x="116"/>
        <item x="185"/>
        <item x="178"/>
        <item x="270"/>
        <item x="120"/>
        <item x="264"/>
        <item x="132"/>
        <item x="186"/>
        <item x="61"/>
        <item x="74"/>
        <item x="238"/>
        <item x="207"/>
        <item x="17"/>
        <item x="259"/>
        <item x="144"/>
        <item x="92"/>
        <item x="220"/>
        <item x="164"/>
        <item x="171"/>
        <item x="173"/>
        <item x="217"/>
        <item x="140"/>
        <item x="10"/>
        <item x="223"/>
        <item x="20"/>
        <item x="233"/>
        <item x="119"/>
        <item x="103"/>
        <item x="78"/>
        <item x="53"/>
        <item x="284"/>
        <item x="278"/>
        <item x="102"/>
        <item x="32"/>
        <item x="123"/>
        <item x="253"/>
        <item x="219"/>
        <item x="231"/>
        <item x="149"/>
        <item x="51"/>
        <item x="246"/>
        <item x="141"/>
        <item x="88"/>
        <item x="235"/>
        <item x="21"/>
        <item x="205"/>
        <item x="104"/>
        <item x="218"/>
        <item x="2"/>
        <item x="52"/>
        <item x="247"/>
        <item x="137"/>
        <item x="29"/>
        <item x="263"/>
        <item x="57"/>
        <item x="79"/>
        <item x="3"/>
        <item x="93"/>
        <item x="127"/>
        <item x="95"/>
        <item x="239"/>
        <item x="209"/>
        <item x="215"/>
        <item x="77"/>
        <item x="291"/>
        <item x="38"/>
        <item x="106"/>
        <item x="272"/>
        <item x="66"/>
        <item x="275"/>
        <item x="166"/>
        <item x="285"/>
        <item x="267"/>
        <item x="225"/>
        <item x="33"/>
        <item x="130"/>
        <item x="7"/>
        <item x="169"/>
        <item x="27"/>
        <item x="188"/>
        <item x="199"/>
        <item x="23"/>
        <item x="138"/>
        <item x="262"/>
        <item x="96"/>
        <item x="90"/>
        <item x="168"/>
        <item x="172"/>
        <item x="65"/>
        <item x="192"/>
        <item x="148"/>
        <item x="99"/>
        <item x="128"/>
        <item x="167"/>
        <item x="46"/>
        <item x="5"/>
        <item x="156"/>
        <item x="69"/>
        <item x="75"/>
        <item x="114"/>
        <item x="142"/>
        <item x="47"/>
        <item x="211"/>
        <item x="213"/>
        <item x="181"/>
        <item x="16"/>
        <item x="271"/>
        <item x="212"/>
        <item x="151"/>
        <item x="245"/>
        <item x="110"/>
        <item x="152"/>
        <item x="115"/>
        <item x="125"/>
        <item x="45"/>
        <item x="240"/>
        <item x="229"/>
        <item x="288"/>
        <item x="124"/>
        <item x="111"/>
        <item x="277"/>
        <item x="24"/>
        <item x="63"/>
        <item x="18"/>
        <item x="8"/>
        <item x="26"/>
        <item x="182"/>
        <item x="28"/>
        <item x="35"/>
        <item x="100"/>
        <item x="25"/>
        <item x="134"/>
        <item x="13"/>
        <item x="268"/>
        <item x="108"/>
        <item x="34"/>
        <item x="101"/>
        <item x="109"/>
        <item x="145"/>
        <item x="68"/>
        <item x="22"/>
        <item x="83"/>
        <item x="154"/>
        <item x="261"/>
        <item x="170"/>
        <item x="9"/>
        <item x="294"/>
        <item t="default"/>
      </items>
    </pivotField>
    <pivotField showAll="0"/>
    <pivotField showAll="0"/>
    <pivotField showAll="0"/>
    <pivotField dataField="1" showAll="0"/>
  </pivotFields>
  <rowFields count="1">
    <field x="9"/>
  </rowFields>
  <rowItems count="2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t="grand">
      <x/>
    </i>
  </rowItems>
  <colFields count="1">
    <field x="-2"/>
  </colFields>
  <colItems count="6">
    <i>
      <x/>
    </i>
    <i i="1">
      <x v="1"/>
    </i>
    <i i="2">
      <x v="2"/>
    </i>
    <i i="3">
      <x v="3"/>
    </i>
    <i i="4">
      <x v="4"/>
    </i>
    <i i="5">
      <x v="5"/>
    </i>
  </colItems>
  <dataFields count="6">
    <dataField name="Sum of Quantity" fld="3" baseField="0" baseItem="0"/>
    <dataField name="Count of Order Number" fld="1" subtotal="count" baseField="0" baseItem="0"/>
    <dataField name="Average of Revenue" fld="6" subtotal="average" baseField="0" baseItem="0"/>
    <dataField name="StdDev of Revenue" fld="6" subtotal="stdDev" baseField="0" baseItem="0"/>
    <dataField name="Sum of Profit" fld="8" baseField="0" baseItem="0"/>
    <dataField name="Average of Discretized Survey Score" fld="13"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68B3A-1731-439B-9647-A2B75F50E323}">
  <dimension ref="A1:C14"/>
  <sheetViews>
    <sheetView tabSelected="1" workbookViewId="0">
      <selection activeCell="C21" sqref="C21"/>
    </sheetView>
  </sheetViews>
  <sheetFormatPr baseColWidth="10" defaultColWidth="8.83203125" defaultRowHeight="15" x14ac:dyDescent="0.2"/>
  <cols>
    <col min="1" max="1" width="24.1640625" customWidth="1"/>
    <col min="2" max="2" width="24.5" bestFit="1" customWidth="1"/>
    <col min="3" max="3" width="20" customWidth="1"/>
  </cols>
  <sheetData>
    <row r="1" spans="1:3" x14ac:dyDescent="0.2">
      <c r="A1" t="s">
        <v>0</v>
      </c>
      <c r="B1" t="s">
        <v>1</v>
      </c>
      <c r="C1" s="14" t="s">
        <v>2</v>
      </c>
    </row>
    <row r="2" spans="1:3" ht="16" x14ac:dyDescent="0.2">
      <c r="A2" s="1" t="s">
        <v>3</v>
      </c>
      <c r="B2" t="s">
        <v>4</v>
      </c>
      <c r="C2" s="14"/>
    </row>
    <row r="3" spans="1:3" ht="16" x14ac:dyDescent="0.2">
      <c r="A3" s="1" t="s">
        <v>5</v>
      </c>
      <c r="B3" t="s">
        <v>6</v>
      </c>
      <c r="C3" s="14"/>
    </row>
    <row r="4" spans="1:3" ht="16" x14ac:dyDescent="0.2">
      <c r="A4" s="1" t="s">
        <v>7</v>
      </c>
      <c r="B4" t="s">
        <v>8</v>
      </c>
      <c r="C4" s="14"/>
    </row>
    <row r="5" spans="1:3" ht="16" x14ac:dyDescent="0.2">
      <c r="A5" s="1" t="s">
        <v>9</v>
      </c>
      <c r="B5" t="s">
        <v>10</v>
      </c>
      <c r="C5" s="14" t="s">
        <v>4106</v>
      </c>
    </row>
    <row r="6" spans="1:3" ht="16" x14ac:dyDescent="0.2">
      <c r="A6" s="1" t="s">
        <v>11</v>
      </c>
      <c r="B6" t="s">
        <v>12</v>
      </c>
      <c r="C6" s="14"/>
    </row>
    <row r="7" spans="1:3" ht="16" x14ac:dyDescent="0.2">
      <c r="A7" s="1" t="s">
        <v>13</v>
      </c>
      <c r="B7" t="s">
        <v>14</v>
      </c>
      <c r="C7" s="14"/>
    </row>
    <row r="8" spans="1:3" ht="16" x14ac:dyDescent="0.2">
      <c r="A8" s="1" t="s">
        <v>15</v>
      </c>
      <c r="B8" t="s">
        <v>16</v>
      </c>
      <c r="C8" s="14"/>
    </row>
    <row r="9" spans="1:3" ht="16" x14ac:dyDescent="0.2">
      <c r="A9" s="2" t="s">
        <v>17</v>
      </c>
      <c r="B9" t="s">
        <v>18</v>
      </c>
      <c r="C9" s="14"/>
    </row>
    <row r="10" spans="1:3" ht="16" x14ac:dyDescent="0.2">
      <c r="A10" s="2" t="s">
        <v>19</v>
      </c>
      <c r="B10" t="s">
        <v>20</v>
      </c>
      <c r="C10" s="14"/>
    </row>
    <row r="11" spans="1:3" ht="16" x14ac:dyDescent="0.2">
      <c r="A11" s="1" t="s">
        <v>21</v>
      </c>
      <c r="B11" t="s">
        <v>22</v>
      </c>
      <c r="C11" s="14"/>
    </row>
    <row r="12" spans="1:3" ht="16" x14ac:dyDescent="0.2">
      <c r="A12" s="1" t="s">
        <v>23</v>
      </c>
      <c r="B12" t="s">
        <v>24</v>
      </c>
      <c r="C12" s="14"/>
    </row>
    <row r="13" spans="1:3" ht="16" x14ac:dyDescent="0.2">
      <c r="A13" s="1" t="s">
        <v>25</v>
      </c>
      <c r="B13" t="s">
        <v>26</v>
      </c>
      <c r="C13" s="14"/>
    </row>
    <row r="14" spans="1:3" ht="16" x14ac:dyDescent="0.2">
      <c r="A14" s="1" t="s">
        <v>27</v>
      </c>
      <c r="B14" t="s">
        <v>28</v>
      </c>
      <c r="C14" s="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2242-CA2B-F94D-9546-8132BFF8C437}">
  <dimension ref="A3:G299"/>
  <sheetViews>
    <sheetView workbookViewId="0">
      <selection activeCell="I26" sqref="I26"/>
    </sheetView>
  </sheetViews>
  <sheetFormatPr baseColWidth="10" defaultRowHeight="15" x14ac:dyDescent="0.2"/>
  <cols>
    <col min="1" max="1" width="12.1640625" bestFit="1" customWidth="1"/>
    <col min="2" max="2" width="13.5" bestFit="1" customWidth="1"/>
    <col min="3" max="3" width="19.5" bestFit="1" customWidth="1"/>
    <col min="4" max="4" width="16.5" bestFit="1" customWidth="1"/>
    <col min="5" max="5" width="15.83203125" bestFit="1" customWidth="1"/>
    <col min="6" max="6" width="11.1640625" bestFit="1" customWidth="1"/>
    <col min="7" max="7" width="29.5" bestFit="1" customWidth="1"/>
  </cols>
  <sheetData>
    <row r="3" spans="1:7" x14ac:dyDescent="0.2">
      <c r="A3" s="15" t="s">
        <v>21</v>
      </c>
      <c r="B3" t="s">
        <v>4071</v>
      </c>
      <c r="C3" t="s">
        <v>4070</v>
      </c>
      <c r="D3" t="s">
        <v>4072</v>
      </c>
      <c r="E3" t="s">
        <v>4104</v>
      </c>
      <c r="F3" t="s">
        <v>4074</v>
      </c>
      <c r="G3" t="s">
        <v>4105</v>
      </c>
    </row>
    <row r="4" spans="1:7" x14ac:dyDescent="0.2">
      <c r="A4" s="16" t="s">
        <v>650</v>
      </c>
      <c r="B4">
        <v>157</v>
      </c>
      <c r="C4">
        <v>15</v>
      </c>
      <c r="D4">
        <v>1633.9333333333334</v>
      </c>
      <c r="E4">
        <v>1377.1659546571236</v>
      </c>
      <c r="F4">
        <v>16071</v>
      </c>
      <c r="G4">
        <v>5.1333333333333337</v>
      </c>
    </row>
    <row r="5" spans="1:7" x14ac:dyDescent="0.2">
      <c r="A5" s="16" t="s">
        <v>1625</v>
      </c>
      <c r="B5">
        <v>95</v>
      </c>
      <c r="C5">
        <v>7</v>
      </c>
      <c r="D5">
        <v>2125.1428571428573</v>
      </c>
      <c r="E5">
        <v>1724.7754857344407</v>
      </c>
      <c r="F5">
        <v>10303</v>
      </c>
      <c r="G5">
        <v>7.1428571428571432</v>
      </c>
    </row>
    <row r="6" spans="1:7" x14ac:dyDescent="0.2">
      <c r="A6" s="16" t="s">
        <v>653</v>
      </c>
      <c r="B6">
        <v>136</v>
      </c>
      <c r="C6">
        <v>13</v>
      </c>
      <c r="D6">
        <v>1448.4615384615386</v>
      </c>
      <c r="E6">
        <v>929.58849456669236</v>
      </c>
      <c r="F6">
        <v>12353</v>
      </c>
      <c r="G6">
        <v>5.2307692307692308</v>
      </c>
    </row>
    <row r="7" spans="1:7" x14ac:dyDescent="0.2">
      <c r="A7" s="16" t="s">
        <v>704</v>
      </c>
      <c r="B7">
        <v>238</v>
      </c>
      <c r="C7">
        <v>20</v>
      </c>
      <c r="D7">
        <v>2074.6</v>
      </c>
      <c r="E7">
        <v>1394.2080340125942</v>
      </c>
      <c r="F7">
        <v>29403</v>
      </c>
      <c r="G7">
        <v>4.8499999999999996</v>
      </c>
    </row>
    <row r="8" spans="1:7" x14ac:dyDescent="0.2">
      <c r="A8" s="16" t="s">
        <v>1358</v>
      </c>
      <c r="B8">
        <v>92</v>
      </c>
      <c r="C8">
        <v>11</v>
      </c>
      <c r="D8">
        <v>1984.2727272727273</v>
      </c>
      <c r="E8">
        <v>1967.7738737420564</v>
      </c>
      <c r="F8">
        <v>15411</v>
      </c>
      <c r="G8">
        <v>4.4545454545454541</v>
      </c>
    </row>
    <row r="9" spans="1:7" x14ac:dyDescent="0.2">
      <c r="A9" s="16" t="s">
        <v>423</v>
      </c>
      <c r="B9">
        <v>127</v>
      </c>
      <c r="C9">
        <v>11</v>
      </c>
      <c r="D9">
        <v>1831.8181818181818</v>
      </c>
      <c r="E9">
        <v>1682.5745640643577</v>
      </c>
      <c r="F9">
        <v>13210</v>
      </c>
      <c r="G9">
        <v>4</v>
      </c>
    </row>
    <row r="10" spans="1:7" x14ac:dyDescent="0.2">
      <c r="A10" s="16" t="s">
        <v>986</v>
      </c>
      <c r="B10">
        <v>72</v>
      </c>
      <c r="C10">
        <v>6</v>
      </c>
      <c r="D10">
        <v>2484.1666666666665</v>
      </c>
      <c r="E10">
        <v>1431.1654574739662</v>
      </c>
      <c r="F10">
        <v>9779</v>
      </c>
      <c r="G10">
        <v>6.833333333333333</v>
      </c>
    </row>
    <row r="11" spans="1:7" x14ac:dyDescent="0.2">
      <c r="A11" s="16" t="s">
        <v>244</v>
      </c>
      <c r="B11">
        <v>183</v>
      </c>
      <c r="C11">
        <v>16</v>
      </c>
      <c r="D11">
        <v>1740.6875</v>
      </c>
      <c r="E11">
        <v>974.84198505877521</v>
      </c>
      <c r="F11">
        <v>17725</v>
      </c>
      <c r="G11">
        <v>6.875</v>
      </c>
    </row>
    <row r="12" spans="1:7" x14ac:dyDescent="0.2">
      <c r="A12" s="16" t="s">
        <v>1671</v>
      </c>
      <c r="B12">
        <v>110</v>
      </c>
      <c r="C12">
        <v>11</v>
      </c>
      <c r="D12">
        <v>1598.1818181818182</v>
      </c>
      <c r="E12">
        <v>1149.6494090097049</v>
      </c>
      <c r="F12">
        <v>11367</v>
      </c>
      <c r="G12">
        <v>5.1818181818181817</v>
      </c>
    </row>
    <row r="13" spans="1:7" x14ac:dyDescent="0.2">
      <c r="A13" s="16" t="s">
        <v>387</v>
      </c>
      <c r="B13">
        <v>260</v>
      </c>
      <c r="C13">
        <v>20</v>
      </c>
      <c r="D13">
        <v>2379</v>
      </c>
      <c r="E13">
        <v>1892.5965733546291</v>
      </c>
      <c r="F13">
        <v>32466</v>
      </c>
      <c r="G13">
        <v>4.5</v>
      </c>
    </row>
    <row r="14" spans="1:7" x14ac:dyDescent="0.2">
      <c r="A14" s="16" t="s">
        <v>232</v>
      </c>
      <c r="B14">
        <v>126</v>
      </c>
      <c r="C14">
        <v>11</v>
      </c>
      <c r="D14">
        <v>1682.3636363636363</v>
      </c>
      <c r="E14">
        <v>1427.5219979199812</v>
      </c>
      <c r="F14">
        <v>12291</v>
      </c>
      <c r="G14">
        <v>5.0909090909090908</v>
      </c>
    </row>
    <row r="15" spans="1:7" x14ac:dyDescent="0.2">
      <c r="A15" s="16" t="s">
        <v>262</v>
      </c>
      <c r="B15">
        <v>122</v>
      </c>
      <c r="C15">
        <v>14</v>
      </c>
      <c r="D15">
        <v>1525.1428571428571</v>
      </c>
      <c r="E15">
        <v>1474.4644846463805</v>
      </c>
      <c r="F15">
        <v>14110</v>
      </c>
      <c r="G15">
        <v>6.1428571428571432</v>
      </c>
    </row>
    <row r="16" spans="1:7" x14ac:dyDescent="0.2">
      <c r="A16" s="16" t="s">
        <v>806</v>
      </c>
      <c r="B16">
        <v>185</v>
      </c>
      <c r="C16">
        <v>17</v>
      </c>
      <c r="D16">
        <v>2411.0588235294117</v>
      </c>
      <c r="E16">
        <v>1945.9248595008826</v>
      </c>
      <c r="F16">
        <v>29482</v>
      </c>
      <c r="G16">
        <v>5.8235294117647056</v>
      </c>
    </row>
    <row r="17" spans="1:7" x14ac:dyDescent="0.2">
      <c r="A17" s="16" t="s">
        <v>819</v>
      </c>
      <c r="B17">
        <v>131</v>
      </c>
      <c r="C17">
        <v>15</v>
      </c>
      <c r="D17">
        <v>1536.5333333333333</v>
      </c>
      <c r="E17">
        <v>1620.5583635043231</v>
      </c>
      <c r="F17">
        <v>15412</v>
      </c>
      <c r="G17">
        <v>5.4666666666666668</v>
      </c>
    </row>
    <row r="18" spans="1:7" x14ac:dyDescent="0.2">
      <c r="A18" s="16" t="s">
        <v>1560</v>
      </c>
      <c r="B18">
        <v>94</v>
      </c>
      <c r="C18">
        <v>10</v>
      </c>
      <c r="D18">
        <v>1510.8</v>
      </c>
      <c r="E18">
        <v>1661.0398215843259</v>
      </c>
      <c r="F18">
        <v>9969</v>
      </c>
      <c r="G18">
        <v>3.9</v>
      </c>
    </row>
    <row r="19" spans="1:7" x14ac:dyDescent="0.2">
      <c r="A19" s="16" t="s">
        <v>238</v>
      </c>
      <c r="B19">
        <v>215</v>
      </c>
      <c r="C19">
        <v>20</v>
      </c>
      <c r="D19">
        <v>1632.85</v>
      </c>
      <c r="E19">
        <v>1036.6517597788716</v>
      </c>
      <c r="F19">
        <v>21089</v>
      </c>
      <c r="G19">
        <v>5.5</v>
      </c>
    </row>
    <row r="20" spans="1:7" x14ac:dyDescent="0.2">
      <c r="A20" s="16" t="s">
        <v>660</v>
      </c>
      <c r="B20">
        <v>179</v>
      </c>
      <c r="C20">
        <v>17</v>
      </c>
      <c r="D20">
        <v>1796.9411764705883</v>
      </c>
      <c r="E20">
        <v>1617.6487748654001</v>
      </c>
      <c r="F20">
        <v>20330</v>
      </c>
      <c r="G20">
        <v>5.4705882352941178</v>
      </c>
    </row>
    <row r="21" spans="1:7" x14ac:dyDescent="0.2">
      <c r="A21" s="16" t="s">
        <v>99</v>
      </c>
      <c r="B21">
        <v>83</v>
      </c>
      <c r="C21">
        <v>9</v>
      </c>
      <c r="D21">
        <v>1135</v>
      </c>
      <c r="E21">
        <v>741.77995389468435</v>
      </c>
      <c r="F21">
        <v>6182</v>
      </c>
      <c r="G21">
        <v>7.7777777777777777</v>
      </c>
    </row>
    <row r="22" spans="1:7" x14ac:dyDescent="0.2">
      <c r="A22" s="16" t="s">
        <v>776</v>
      </c>
      <c r="B22">
        <v>131</v>
      </c>
      <c r="C22">
        <v>10</v>
      </c>
      <c r="D22">
        <v>2317.5</v>
      </c>
      <c r="E22">
        <v>1851.0301786362702</v>
      </c>
      <c r="F22">
        <v>15778</v>
      </c>
      <c r="G22">
        <v>5.0999999999999996</v>
      </c>
    </row>
    <row r="23" spans="1:7" x14ac:dyDescent="0.2">
      <c r="A23" s="16" t="s">
        <v>709</v>
      </c>
      <c r="B23">
        <v>77</v>
      </c>
      <c r="C23">
        <v>7</v>
      </c>
      <c r="D23">
        <v>1541.2857142857142</v>
      </c>
      <c r="E23">
        <v>1436.2834811050491</v>
      </c>
      <c r="F23">
        <v>6662</v>
      </c>
      <c r="G23">
        <v>5.8571428571428568</v>
      </c>
    </row>
    <row r="24" spans="1:7" x14ac:dyDescent="0.2">
      <c r="A24" s="16" t="s">
        <v>645</v>
      </c>
      <c r="B24">
        <v>135</v>
      </c>
      <c r="C24">
        <v>14</v>
      </c>
      <c r="D24">
        <v>1418</v>
      </c>
      <c r="E24">
        <v>1458.4250725723596</v>
      </c>
      <c r="F24">
        <v>12927</v>
      </c>
      <c r="G24">
        <v>5.7142857142857144</v>
      </c>
    </row>
    <row r="25" spans="1:7" x14ac:dyDescent="0.2">
      <c r="A25" s="16" t="s">
        <v>962</v>
      </c>
      <c r="B25">
        <v>136</v>
      </c>
      <c r="C25">
        <v>13</v>
      </c>
      <c r="D25">
        <v>1511.1538461538462</v>
      </c>
      <c r="E25">
        <v>1745.7073946375745</v>
      </c>
      <c r="F25">
        <v>13905</v>
      </c>
      <c r="G25">
        <v>5.384615384615385</v>
      </c>
    </row>
    <row r="26" spans="1:7" x14ac:dyDescent="0.2">
      <c r="A26" s="16" t="s">
        <v>85</v>
      </c>
      <c r="B26">
        <v>133</v>
      </c>
      <c r="C26">
        <v>12</v>
      </c>
      <c r="D26">
        <v>1489.8333333333333</v>
      </c>
      <c r="E26">
        <v>1244.4686221496916</v>
      </c>
      <c r="F26">
        <v>11922</v>
      </c>
      <c r="G26">
        <v>4.916666666666667</v>
      </c>
    </row>
    <row r="27" spans="1:7" x14ac:dyDescent="0.2">
      <c r="A27" s="16" t="s">
        <v>1434</v>
      </c>
      <c r="B27">
        <v>78</v>
      </c>
      <c r="C27">
        <v>9</v>
      </c>
      <c r="D27">
        <v>1314.2222222222222</v>
      </c>
      <c r="E27">
        <v>919.91694975385929</v>
      </c>
      <c r="F27">
        <v>7790</v>
      </c>
      <c r="G27">
        <v>5.7777777777777777</v>
      </c>
    </row>
    <row r="28" spans="1:7" x14ac:dyDescent="0.2">
      <c r="A28" s="16" t="s">
        <v>517</v>
      </c>
      <c r="B28">
        <v>111</v>
      </c>
      <c r="C28">
        <v>11</v>
      </c>
      <c r="D28">
        <v>1832.4545454545455</v>
      </c>
      <c r="E28">
        <v>1009.3829167998003</v>
      </c>
      <c r="F28">
        <v>13543</v>
      </c>
      <c r="G28">
        <v>6.0909090909090908</v>
      </c>
    </row>
    <row r="29" spans="1:7" x14ac:dyDescent="0.2">
      <c r="A29" s="16" t="s">
        <v>613</v>
      </c>
      <c r="B29">
        <v>157</v>
      </c>
      <c r="C29">
        <v>14</v>
      </c>
      <c r="D29">
        <v>1944.7857142857142</v>
      </c>
      <c r="E29">
        <v>1118.6368888119994</v>
      </c>
      <c r="F29">
        <v>18282</v>
      </c>
      <c r="G29">
        <v>5.5</v>
      </c>
    </row>
    <row r="30" spans="1:7" x14ac:dyDescent="0.2">
      <c r="A30" s="16" t="s">
        <v>164</v>
      </c>
      <c r="B30">
        <v>145</v>
      </c>
      <c r="C30">
        <v>14</v>
      </c>
      <c r="D30">
        <v>1577.4285714285713</v>
      </c>
      <c r="E30">
        <v>673.55026244813814</v>
      </c>
      <c r="F30">
        <v>14328</v>
      </c>
      <c r="G30">
        <v>5.5</v>
      </c>
    </row>
    <row r="31" spans="1:7" x14ac:dyDescent="0.2">
      <c r="A31" s="16" t="s">
        <v>681</v>
      </c>
      <c r="B31">
        <v>171</v>
      </c>
      <c r="C31">
        <v>18</v>
      </c>
      <c r="D31">
        <v>1892.1666666666667</v>
      </c>
      <c r="E31">
        <v>2002.0546872121738</v>
      </c>
      <c r="F31">
        <v>24187</v>
      </c>
      <c r="G31">
        <v>4.5</v>
      </c>
    </row>
    <row r="32" spans="1:7" x14ac:dyDescent="0.2">
      <c r="A32" s="16" t="s">
        <v>890</v>
      </c>
      <c r="B32">
        <v>112</v>
      </c>
      <c r="C32">
        <v>12</v>
      </c>
      <c r="D32">
        <v>1428.9166666666667</v>
      </c>
      <c r="E32">
        <v>824.08521826914057</v>
      </c>
      <c r="F32">
        <v>10578</v>
      </c>
      <c r="G32">
        <v>4.416666666666667</v>
      </c>
    </row>
    <row r="33" spans="1:7" x14ac:dyDescent="0.2">
      <c r="A33" s="16" t="s">
        <v>940</v>
      </c>
      <c r="B33">
        <v>85</v>
      </c>
      <c r="C33">
        <v>8</v>
      </c>
      <c r="D33">
        <v>1533</v>
      </c>
      <c r="E33">
        <v>1144.3215082684212</v>
      </c>
      <c r="F33">
        <v>8211</v>
      </c>
      <c r="G33">
        <v>6.25</v>
      </c>
    </row>
    <row r="34" spans="1:7" x14ac:dyDescent="0.2">
      <c r="A34" s="16" t="s">
        <v>376</v>
      </c>
      <c r="B34">
        <v>107</v>
      </c>
      <c r="C34">
        <v>10</v>
      </c>
      <c r="D34">
        <v>1893.8</v>
      </c>
      <c r="E34">
        <v>1590.3088309437817</v>
      </c>
      <c r="F34">
        <v>11997</v>
      </c>
      <c r="G34">
        <v>4.3</v>
      </c>
    </row>
    <row r="35" spans="1:7" x14ac:dyDescent="0.2">
      <c r="A35" s="16" t="s">
        <v>199</v>
      </c>
      <c r="B35">
        <v>122</v>
      </c>
      <c r="C35">
        <v>14</v>
      </c>
      <c r="D35">
        <v>1584.7142857142858</v>
      </c>
      <c r="E35">
        <v>1471.6307244043899</v>
      </c>
      <c r="F35">
        <v>14475</v>
      </c>
      <c r="G35">
        <v>5.1428571428571432</v>
      </c>
    </row>
    <row r="36" spans="1:7" x14ac:dyDescent="0.2">
      <c r="A36" s="16" t="s">
        <v>633</v>
      </c>
      <c r="B36">
        <v>154</v>
      </c>
      <c r="C36">
        <v>13</v>
      </c>
      <c r="D36">
        <v>2177.7692307692309</v>
      </c>
      <c r="E36">
        <v>1726.5617159471476</v>
      </c>
      <c r="F36">
        <v>19528</v>
      </c>
      <c r="G36">
        <v>6.615384615384615</v>
      </c>
    </row>
    <row r="37" spans="1:7" x14ac:dyDescent="0.2">
      <c r="A37" s="16" t="s">
        <v>462</v>
      </c>
      <c r="B37">
        <v>134</v>
      </c>
      <c r="C37">
        <v>14</v>
      </c>
      <c r="D37">
        <v>1580.5714285714287</v>
      </c>
      <c r="E37">
        <v>1557.4186095185601</v>
      </c>
      <c r="F37">
        <v>15238</v>
      </c>
      <c r="G37">
        <v>5.2142857142857144</v>
      </c>
    </row>
    <row r="38" spans="1:7" x14ac:dyDescent="0.2">
      <c r="A38" s="16" t="s">
        <v>167</v>
      </c>
      <c r="B38">
        <v>170</v>
      </c>
      <c r="C38">
        <v>17</v>
      </c>
      <c r="D38">
        <v>2171.705882352941</v>
      </c>
      <c r="E38">
        <v>2139.0654432691476</v>
      </c>
      <c r="F38">
        <v>24907</v>
      </c>
      <c r="G38">
        <v>6.5882352941176467</v>
      </c>
    </row>
    <row r="39" spans="1:7" x14ac:dyDescent="0.2">
      <c r="A39" s="16" t="s">
        <v>595</v>
      </c>
      <c r="B39">
        <v>140</v>
      </c>
      <c r="C39">
        <v>10</v>
      </c>
      <c r="D39">
        <v>1936.6</v>
      </c>
      <c r="E39">
        <v>1394.665089227916</v>
      </c>
      <c r="F39">
        <v>11990</v>
      </c>
      <c r="G39">
        <v>5.6</v>
      </c>
    </row>
    <row r="40" spans="1:7" x14ac:dyDescent="0.2">
      <c r="A40" s="16" t="s">
        <v>357</v>
      </c>
      <c r="B40">
        <v>143</v>
      </c>
      <c r="C40">
        <v>11</v>
      </c>
      <c r="D40">
        <v>2299.6363636363635</v>
      </c>
      <c r="E40">
        <v>1883.0421807663934</v>
      </c>
      <c r="F40">
        <v>17104</v>
      </c>
      <c r="G40">
        <v>5.7272727272727275</v>
      </c>
    </row>
    <row r="41" spans="1:7" x14ac:dyDescent="0.2">
      <c r="A41" s="16" t="s">
        <v>686</v>
      </c>
      <c r="B41">
        <v>152</v>
      </c>
      <c r="C41">
        <v>17</v>
      </c>
      <c r="D41">
        <v>1387.7058823529412</v>
      </c>
      <c r="E41">
        <v>1676.1288645531511</v>
      </c>
      <c r="F41">
        <v>16433</v>
      </c>
      <c r="G41">
        <v>3.5882352941176472</v>
      </c>
    </row>
    <row r="42" spans="1:7" x14ac:dyDescent="0.2">
      <c r="A42" s="16" t="s">
        <v>786</v>
      </c>
      <c r="B42">
        <v>159</v>
      </c>
      <c r="C42">
        <v>16</v>
      </c>
      <c r="D42">
        <v>1457.25</v>
      </c>
      <c r="E42">
        <v>1722.487368120107</v>
      </c>
      <c r="F42">
        <v>15802</v>
      </c>
      <c r="G42">
        <v>5.6875</v>
      </c>
    </row>
    <row r="43" spans="1:7" x14ac:dyDescent="0.2">
      <c r="A43" s="16" t="s">
        <v>1379</v>
      </c>
      <c r="B43">
        <v>135</v>
      </c>
      <c r="C43">
        <v>13</v>
      </c>
      <c r="D43">
        <v>1708.8461538461538</v>
      </c>
      <c r="E43">
        <v>1703.3474809990007</v>
      </c>
      <c r="F43">
        <v>15011</v>
      </c>
      <c r="G43">
        <v>6.2307692307692308</v>
      </c>
    </row>
    <row r="44" spans="1:7" x14ac:dyDescent="0.2">
      <c r="A44" s="16" t="s">
        <v>290</v>
      </c>
      <c r="B44">
        <v>197</v>
      </c>
      <c r="C44">
        <v>16</v>
      </c>
      <c r="D44">
        <v>2137.3125</v>
      </c>
      <c r="E44">
        <v>1593.9044186629678</v>
      </c>
      <c r="F44">
        <v>23404</v>
      </c>
      <c r="G44">
        <v>5.5625</v>
      </c>
    </row>
    <row r="45" spans="1:7" x14ac:dyDescent="0.2">
      <c r="A45" s="16" t="s">
        <v>305</v>
      </c>
      <c r="B45">
        <v>83</v>
      </c>
      <c r="C45">
        <v>8</v>
      </c>
      <c r="D45">
        <v>1104.125</v>
      </c>
      <c r="E45">
        <v>651.86467427789682</v>
      </c>
      <c r="F45">
        <v>5699</v>
      </c>
      <c r="G45">
        <v>3.625</v>
      </c>
    </row>
    <row r="46" spans="1:7" x14ac:dyDescent="0.2">
      <c r="A46" s="16" t="s">
        <v>678</v>
      </c>
      <c r="B46">
        <v>158</v>
      </c>
      <c r="C46">
        <v>14</v>
      </c>
      <c r="D46">
        <v>1706.9285714285713</v>
      </c>
      <c r="E46">
        <v>1458.0038231608476</v>
      </c>
      <c r="F46">
        <v>15532</v>
      </c>
      <c r="G46">
        <v>4.7857142857142856</v>
      </c>
    </row>
    <row r="47" spans="1:7" x14ac:dyDescent="0.2">
      <c r="A47" s="16" t="s">
        <v>274</v>
      </c>
      <c r="B47">
        <v>89</v>
      </c>
      <c r="C47">
        <v>9</v>
      </c>
      <c r="D47">
        <v>1490.4444444444443</v>
      </c>
      <c r="E47">
        <v>1206.3099841159312</v>
      </c>
      <c r="F47">
        <v>8285</v>
      </c>
      <c r="G47">
        <v>6.2222222222222223</v>
      </c>
    </row>
    <row r="48" spans="1:7" x14ac:dyDescent="0.2">
      <c r="A48" s="16" t="s">
        <v>172</v>
      </c>
      <c r="B48">
        <v>103</v>
      </c>
      <c r="C48">
        <v>14</v>
      </c>
      <c r="D48">
        <v>1381.6428571428571</v>
      </c>
      <c r="E48">
        <v>1206.0230006189674</v>
      </c>
      <c r="F48">
        <v>13505</v>
      </c>
      <c r="G48">
        <v>5.3571428571428568</v>
      </c>
    </row>
    <row r="49" spans="1:7" x14ac:dyDescent="0.2">
      <c r="A49" s="16" t="s">
        <v>32</v>
      </c>
      <c r="B49">
        <v>63</v>
      </c>
      <c r="C49">
        <v>8</v>
      </c>
      <c r="D49">
        <v>1877.875</v>
      </c>
      <c r="E49">
        <v>1314.9507799044909</v>
      </c>
      <c r="F49">
        <v>10517</v>
      </c>
      <c r="G49">
        <v>5.125</v>
      </c>
    </row>
    <row r="50" spans="1:7" x14ac:dyDescent="0.2">
      <c r="A50" s="16" t="s">
        <v>169</v>
      </c>
      <c r="B50">
        <v>122</v>
      </c>
      <c r="C50">
        <v>12</v>
      </c>
      <c r="D50">
        <v>1953.6666666666667</v>
      </c>
      <c r="E50">
        <v>1962.8917134645708</v>
      </c>
      <c r="F50">
        <v>17070</v>
      </c>
      <c r="G50">
        <v>5.583333333333333</v>
      </c>
    </row>
    <row r="51" spans="1:7" x14ac:dyDescent="0.2">
      <c r="A51" s="16" t="s">
        <v>37</v>
      </c>
      <c r="B51">
        <v>120</v>
      </c>
      <c r="C51">
        <v>9</v>
      </c>
      <c r="D51">
        <v>2819.7777777777778</v>
      </c>
      <c r="E51">
        <v>2636.8618553963806</v>
      </c>
      <c r="F51">
        <v>17421</v>
      </c>
      <c r="G51">
        <v>7.333333333333333</v>
      </c>
    </row>
    <row r="52" spans="1:7" x14ac:dyDescent="0.2">
      <c r="A52" s="16" t="s">
        <v>1129</v>
      </c>
      <c r="B52">
        <v>145</v>
      </c>
      <c r="C52">
        <v>16</v>
      </c>
      <c r="D52">
        <v>1612.75</v>
      </c>
      <c r="E52">
        <v>1533.4626394753368</v>
      </c>
      <c r="F52">
        <v>16664</v>
      </c>
      <c r="G52">
        <v>6.4375</v>
      </c>
    </row>
    <row r="53" spans="1:7" x14ac:dyDescent="0.2">
      <c r="A53" s="16" t="s">
        <v>528</v>
      </c>
      <c r="B53">
        <v>163</v>
      </c>
      <c r="C53">
        <v>17</v>
      </c>
      <c r="D53">
        <v>1281.5294117647059</v>
      </c>
      <c r="E53">
        <v>931.41090003600584</v>
      </c>
      <c r="F53">
        <v>15219</v>
      </c>
      <c r="G53">
        <v>5.5882352941176467</v>
      </c>
    </row>
    <row r="54" spans="1:7" x14ac:dyDescent="0.2">
      <c r="A54" s="16" t="s">
        <v>1279</v>
      </c>
      <c r="B54">
        <v>59</v>
      </c>
      <c r="C54">
        <v>7</v>
      </c>
      <c r="D54">
        <v>1842.5714285714287</v>
      </c>
      <c r="E54">
        <v>1492.3318282856146</v>
      </c>
      <c r="F54">
        <v>9181</v>
      </c>
      <c r="G54">
        <v>3.4285714285714284</v>
      </c>
    </row>
    <row r="55" spans="1:7" x14ac:dyDescent="0.2">
      <c r="A55" s="16" t="s">
        <v>474</v>
      </c>
      <c r="B55">
        <v>208</v>
      </c>
      <c r="C55">
        <v>17</v>
      </c>
      <c r="D55">
        <v>2199.0588235294117</v>
      </c>
      <c r="E55">
        <v>1185.182078342197</v>
      </c>
      <c r="F55">
        <v>22698</v>
      </c>
      <c r="G55">
        <v>5.9411764705882355</v>
      </c>
    </row>
    <row r="56" spans="1:7" x14ac:dyDescent="0.2">
      <c r="A56" s="16" t="s">
        <v>429</v>
      </c>
      <c r="B56">
        <v>66</v>
      </c>
      <c r="C56">
        <v>9</v>
      </c>
      <c r="D56">
        <v>1109.7777777777778</v>
      </c>
      <c r="E56">
        <v>1375.0743414246535</v>
      </c>
      <c r="F56">
        <v>7074</v>
      </c>
      <c r="G56">
        <v>6.333333333333333</v>
      </c>
    </row>
    <row r="57" spans="1:7" x14ac:dyDescent="0.2">
      <c r="A57" s="16" t="s">
        <v>134</v>
      </c>
      <c r="B57">
        <v>105</v>
      </c>
      <c r="C57">
        <v>12</v>
      </c>
      <c r="D57">
        <v>1534.5833333333333</v>
      </c>
      <c r="E57">
        <v>1153.8586220577326</v>
      </c>
      <c r="F57">
        <v>12531</v>
      </c>
      <c r="G57">
        <v>3.4166666666666665</v>
      </c>
    </row>
    <row r="58" spans="1:7" x14ac:dyDescent="0.2">
      <c r="A58" s="16" t="s">
        <v>635</v>
      </c>
      <c r="B58">
        <v>85</v>
      </c>
      <c r="C58">
        <v>9</v>
      </c>
      <c r="D58">
        <v>1189.6666666666667</v>
      </c>
      <c r="E58">
        <v>667.49531833564197</v>
      </c>
      <c r="F58">
        <v>7325</v>
      </c>
      <c r="G58">
        <v>5.666666666666667</v>
      </c>
    </row>
    <row r="59" spans="1:7" x14ac:dyDescent="0.2">
      <c r="A59" s="16" t="s">
        <v>638</v>
      </c>
      <c r="B59">
        <v>210</v>
      </c>
      <c r="C59">
        <v>20</v>
      </c>
      <c r="D59">
        <v>1902.4</v>
      </c>
      <c r="E59">
        <v>1576.2439832515911</v>
      </c>
      <c r="F59">
        <v>24734</v>
      </c>
      <c r="G59">
        <v>5.65</v>
      </c>
    </row>
    <row r="60" spans="1:7" x14ac:dyDescent="0.2">
      <c r="A60" s="16" t="s">
        <v>241</v>
      </c>
      <c r="B60">
        <v>193</v>
      </c>
      <c r="C60">
        <v>15</v>
      </c>
      <c r="D60">
        <v>2120.2666666666669</v>
      </c>
      <c r="E60">
        <v>1676.8671668436041</v>
      </c>
      <c r="F60">
        <v>21720</v>
      </c>
      <c r="G60">
        <v>6.0666666666666664</v>
      </c>
    </row>
    <row r="61" spans="1:7" x14ac:dyDescent="0.2">
      <c r="A61" s="16" t="s">
        <v>738</v>
      </c>
      <c r="B61">
        <v>173</v>
      </c>
      <c r="C61">
        <v>15</v>
      </c>
      <c r="D61">
        <v>1461.9333333333334</v>
      </c>
      <c r="E61">
        <v>916.87454093214069</v>
      </c>
      <c r="F61">
        <v>13602</v>
      </c>
      <c r="G61">
        <v>8</v>
      </c>
    </row>
    <row r="62" spans="1:7" x14ac:dyDescent="0.2">
      <c r="A62" s="16" t="s">
        <v>1012</v>
      </c>
      <c r="B62">
        <v>161</v>
      </c>
      <c r="C62">
        <v>12</v>
      </c>
      <c r="D62">
        <v>3104.5833333333335</v>
      </c>
      <c r="E62">
        <v>1948.0710486545559</v>
      </c>
      <c r="F62">
        <v>25615</v>
      </c>
      <c r="G62">
        <v>5.5</v>
      </c>
    </row>
    <row r="63" spans="1:7" x14ac:dyDescent="0.2">
      <c r="A63" s="16" t="s">
        <v>938</v>
      </c>
      <c r="B63">
        <v>163</v>
      </c>
      <c r="C63">
        <v>14</v>
      </c>
      <c r="D63">
        <v>2464.7142857142858</v>
      </c>
      <c r="E63">
        <v>2071.5395400363627</v>
      </c>
      <c r="F63">
        <v>23688</v>
      </c>
      <c r="G63">
        <v>5.2142857142857144</v>
      </c>
    </row>
    <row r="64" spans="1:7" x14ac:dyDescent="0.2">
      <c r="A64" s="16" t="s">
        <v>535</v>
      </c>
      <c r="B64">
        <v>84</v>
      </c>
      <c r="C64">
        <v>8</v>
      </c>
      <c r="D64">
        <v>2113</v>
      </c>
      <c r="E64">
        <v>1937.9358680233536</v>
      </c>
      <c r="F64">
        <v>10708</v>
      </c>
      <c r="G64">
        <v>5.25</v>
      </c>
    </row>
    <row r="65" spans="1:7" x14ac:dyDescent="0.2">
      <c r="A65" s="16" t="s">
        <v>435</v>
      </c>
      <c r="B65">
        <v>159</v>
      </c>
      <c r="C65">
        <v>14</v>
      </c>
      <c r="D65">
        <v>2243.0714285714284</v>
      </c>
      <c r="E65">
        <v>1544.0524335599546</v>
      </c>
      <c r="F65">
        <v>21707</v>
      </c>
      <c r="G65">
        <v>5.2142857142857144</v>
      </c>
    </row>
    <row r="66" spans="1:7" x14ac:dyDescent="0.2">
      <c r="A66" s="16" t="s">
        <v>745</v>
      </c>
      <c r="B66">
        <v>147</v>
      </c>
      <c r="C66">
        <v>12</v>
      </c>
      <c r="D66">
        <v>2181</v>
      </c>
      <c r="E66">
        <v>1997.702589567235</v>
      </c>
      <c r="F66">
        <v>17800</v>
      </c>
      <c r="G66">
        <v>6.416666666666667</v>
      </c>
    </row>
    <row r="67" spans="1:7" x14ac:dyDescent="0.2">
      <c r="A67" s="16" t="s">
        <v>643</v>
      </c>
      <c r="B67">
        <v>135</v>
      </c>
      <c r="C67">
        <v>16</v>
      </c>
      <c r="D67">
        <v>1559.375</v>
      </c>
      <c r="E67">
        <v>1546.460857355702</v>
      </c>
      <c r="F67">
        <v>16199</v>
      </c>
      <c r="G67">
        <v>6.875</v>
      </c>
    </row>
    <row r="68" spans="1:7" x14ac:dyDescent="0.2">
      <c r="A68" s="16" t="s">
        <v>225</v>
      </c>
      <c r="B68">
        <v>93</v>
      </c>
      <c r="C68">
        <v>9</v>
      </c>
      <c r="D68">
        <v>1582.1111111111111</v>
      </c>
      <c r="E68">
        <v>1151.9436232347098</v>
      </c>
      <c r="F68">
        <v>9106</v>
      </c>
      <c r="G68">
        <v>5.1111111111111107</v>
      </c>
    </row>
    <row r="69" spans="1:7" x14ac:dyDescent="0.2">
      <c r="A69" s="16" t="s">
        <v>281</v>
      </c>
      <c r="B69">
        <v>174</v>
      </c>
      <c r="C69">
        <v>16</v>
      </c>
      <c r="D69">
        <v>1832.25</v>
      </c>
      <c r="E69">
        <v>1165.9099736543412</v>
      </c>
      <c r="F69">
        <v>18749</v>
      </c>
      <c r="G69">
        <v>3.875</v>
      </c>
    </row>
    <row r="70" spans="1:7" x14ac:dyDescent="0.2">
      <c r="A70" s="16" t="s">
        <v>1091</v>
      </c>
      <c r="B70">
        <v>125</v>
      </c>
      <c r="C70">
        <v>11</v>
      </c>
      <c r="D70">
        <v>1626.090909090909</v>
      </c>
      <c r="E70">
        <v>1024.162336209007</v>
      </c>
      <c r="F70">
        <v>11649</v>
      </c>
      <c r="G70">
        <v>5.5454545454545459</v>
      </c>
    </row>
    <row r="71" spans="1:7" x14ac:dyDescent="0.2">
      <c r="A71" s="16" t="s">
        <v>329</v>
      </c>
      <c r="B71">
        <v>158</v>
      </c>
      <c r="C71">
        <v>15</v>
      </c>
      <c r="D71">
        <v>1713.4666666666667</v>
      </c>
      <c r="E71">
        <v>965.70735486383001</v>
      </c>
      <c r="F71">
        <v>17237</v>
      </c>
      <c r="G71">
        <v>5.2666666666666666</v>
      </c>
    </row>
    <row r="72" spans="1:7" x14ac:dyDescent="0.2">
      <c r="A72" s="16" t="s">
        <v>351</v>
      </c>
      <c r="B72">
        <v>124</v>
      </c>
      <c r="C72">
        <v>13</v>
      </c>
      <c r="D72">
        <v>1780.5384615384614</v>
      </c>
      <c r="E72">
        <v>1155.1956988164832</v>
      </c>
      <c r="F72">
        <v>14532</v>
      </c>
      <c r="G72">
        <v>5.4615384615384617</v>
      </c>
    </row>
    <row r="73" spans="1:7" x14ac:dyDescent="0.2">
      <c r="A73" s="16" t="s">
        <v>716</v>
      </c>
      <c r="B73">
        <v>88</v>
      </c>
      <c r="C73">
        <v>8</v>
      </c>
      <c r="D73">
        <v>2080.75</v>
      </c>
      <c r="E73">
        <v>1731.3928125727482</v>
      </c>
      <c r="F73">
        <v>11226</v>
      </c>
      <c r="G73">
        <v>5.75</v>
      </c>
    </row>
    <row r="74" spans="1:7" x14ac:dyDescent="0.2">
      <c r="A74" s="16" t="s">
        <v>205</v>
      </c>
      <c r="B74">
        <v>180</v>
      </c>
      <c r="C74">
        <v>17</v>
      </c>
      <c r="D74">
        <v>1975.8235294117646</v>
      </c>
      <c r="E74">
        <v>1892.9926451023957</v>
      </c>
      <c r="F74">
        <v>22394</v>
      </c>
      <c r="G74">
        <v>5.9411764705882355</v>
      </c>
    </row>
    <row r="75" spans="1:7" x14ac:dyDescent="0.2">
      <c r="A75" s="16" t="s">
        <v>318</v>
      </c>
      <c r="B75">
        <v>193</v>
      </c>
      <c r="C75">
        <v>20</v>
      </c>
      <c r="D75">
        <v>1389.9</v>
      </c>
      <c r="E75">
        <v>1162.1670728699714</v>
      </c>
      <c r="F75">
        <v>18132</v>
      </c>
      <c r="G75">
        <v>6.1</v>
      </c>
    </row>
    <row r="76" spans="1:7" x14ac:dyDescent="0.2">
      <c r="A76" s="16" t="s">
        <v>440</v>
      </c>
      <c r="B76">
        <v>217</v>
      </c>
      <c r="C76">
        <v>16</v>
      </c>
      <c r="D76">
        <v>2726</v>
      </c>
      <c r="E76">
        <v>1723.6977306554263</v>
      </c>
      <c r="F76">
        <v>30320</v>
      </c>
      <c r="G76">
        <v>6.625</v>
      </c>
    </row>
    <row r="77" spans="1:7" x14ac:dyDescent="0.2">
      <c r="A77" s="16" t="s">
        <v>569</v>
      </c>
      <c r="B77">
        <v>182</v>
      </c>
      <c r="C77">
        <v>18</v>
      </c>
      <c r="D77">
        <v>2164.9444444444443</v>
      </c>
      <c r="E77">
        <v>1488.2614599601156</v>
      </c>
      <c r="F77">
        <v>25475</v>
      </c>
      <c r="G77">
        <v>4.7222222222222223</v>
      </c>
    </row>
    <row r="78" spans="1:7" x14ac:dyDescent="0.2">
      <c r="A78" s="16" t="s">
        <v>384</v>
      </c>
      <c r="B78">
        <v>129</v>
      </c>
      <c r="C78">
        <v>15</v>
      </c>
      <c r="D78">
        <v>1342.1333333333334</v>
      </c>
      <c r="E78">
        <v>1255.2855603786886</v>
      </c>
      <c r="F78">
        <v>13446</v>
      </c>
      <c r="G78">
        <v>6.7333333333333334</v>
      </c>
    </row>
    <row r="79" spans="1:7" x14ac:dyDescent="0.2">
      <c r="A79" s="16" t="s">
        <v>576</v>
      </c>
      <c r="B79">
        <v>151</v>
      </c>
      <c r="C79">
        <v>14</v>
      </c>
      <c r="D79">
        <v>2006.0714285714287</v>
      </c>
      <c r="E79">
        <v>1580.0247546398521</v>
      </c>
      <c r="F79">
        <v>19542</v>
      </c>
      <c r="G79">
        <v>4.2857142857142856</v>
      </c>
    </row>
    <row r="80" spans="1:7" x14ac:dyDescent="0.2">
      <c r="A80" s="16" t="s">
        <v>665</v>
      </c>
      <c r="B80">
        <v>94</v>
      </c>
      <c r="C80">
        <v>10</v>
      </c>
      <c r="D80">
        <v>1610.5</v>
      </c>
      <c r="E80">
        <v>1666.855139343415</v>
      </c>
      <c r="F80">
        <v>10332</v>
      </c>
      <c r="G80">
        <v>6.1</v>
      </c>
    </row>
    <row r="81" spans="1:7" x14ac:dyDescent="0.2">
      <c r="A81" s="16" t="s">
        <v>506</v>
      </c>
      <c r="B81">
        <v>151</v>
      </c>
      <c r="C81">
        <v>15</v>
      </c>
      <c r="D81">
        <v>1060</v>
      </c>
      <c r="E81">
        <v>1103.1043856835515</v>
      </c>
      <c r="F81">
        <v>10377</v>
      </c>
      <c r="G81">
        <v>6.8</v>
      </c>
    </row>
    <row r="82" spans="1:7" x14ac:dyDescent="0.2">
      <c r="A82" s="16" t="s">
        <v>844</v>
      </c>
      <c r="B82">
        <v>122</v>
      </c>
      <c r="C82">
        <v>12</v>
      </c>
      <c r="D82">
        <v>1476.4166666666667</v>
      </c>
      <c r="E82">
        <v>1285.5804814333578</v>
      </c>
      <c r="F82">
        <v>10234</v>
      </c>
      <c r="G82">
        <v>4.833333333333333</v>
      </c>
    </row>
    <row r="83" spans="1:7" x14ac:dyDescent="0.2">
      <c r="A83" s="16" t="s">
        <v>492</v>
      </c>
      <c r="B83">
        <v>177</v>
      </c>
      <c r="C83">
        <v>19</v>
      </c>
      <c r="D83">
        <v>1592.1052631578948</v>
      </c>
      <c r="E83">
        <v>1146.1877824983731</v>
      </c>
      <c r="F83">
        <v>19234</v>
      </c>
      <c r="G83">
        <v>6.5263157894736841</v>
      </c>
    </row>
    <row r="84" spans="1:7" x14ac:dyDescent="0.2">
      <c r="A84" s="16" t="s">
        <v>1101</v>
      </c>
      <c r="B84">
        <v>53</v>
      </c>
      <c r="C84">
        <v>7</v>
      </c>
      <c r="D84">
        <v>1211.8571428571429</v>
      </c>
      <c r="E84">
        <v>1506.931808739359</v>
      </c>
      <c r="F84">
        <v>6082</v>
      </c>
      <c r="G84">
        <v>5.8571428571428568</v>
      </c>
    </row>
    <row r="85" spans="1:7" x14ac:dyDescent="0.2">
      <c r="A85" s="16" t="s">
        <v>815</v>
      </c>
      <c r="B85">
        <v>167</v>
      </c>
      <c r="C85">
        <v>12</v>
      </c>
      <c r="D85">
        <v>2251.3333333333335</v>
      </c>
      <c r="E85">
        <v>1740.7789444192313</v>
      </c>
      <c r="F85">
        <v>19177</v>
      </c>
      <c r="G85">
        <v>6</v>
      </c>
    </row>
    <row r="86" spans="1:7" x14ac:dyDescent="0.2">
      <c r="A86" s="16" t="s">
        <v>161</v>
      </c>
      <c r="B86">
        <v>209</v>
      </c>
      <c r="C86">
        <v>19</v>
      </c>
      <c r="D86">
        <v>1542.2105263157894</v>
      </c>
      <c r="E86">
        <v>1186.7900955915297</v>
      </c>
      <c r="F86">
        <v>19382</v>
      </c>
      <c r="G86">
        <v>5.7894736842105265</v>
      </c>
    </row>
    <row r="87" spans="1:7" x14ac:dyDescent="0.2">
      <c r="A87" s="16" t="s">
        <v>1195</v>
      </c>
      <c r="B87">
        <v>127</v>
      </c>
      <c r="C87">
        <v>14</v>
      </c>
      <c r="D87">
        <v>1339.1428571428571</v>
      </c>
      <c r="E87">
        <v>803.83636462833715</v>
      </c>
      <c r="F87">
        <v>11696</v>
      </c>
      <c r="G87">
        <v>5.5714285714285712</v>
      </c>
    </row>
    <row r="88" spans="1:7" x14ac:dyDescent="0.2">
      <c r="A88" s="16" t="s">
        <v>691</v>
      </c>
      <c r="B88">
        <v>176</v>
      </c>
      <c r="C88">
        <v>16</v>
      </c>
      <c r="D88">
        <v>1412.1875</v>
      </c>
      <c r="E88">
        <v>1466.5599757596005</v>
      </c>
      <c r="F88">
        <v>14240</v>
      </c>
      <c r="G88">
        <v>5.25</v>
      </c>
    </row>
    <row r="89" spans="1:7" x14ac:dyDescent="0.2">
      <c r="A89" s="16" t="s">
        <v>980</v>
      </c>
      <c r="B89">
        <v>173</v>
      </c>
      <c r="C89">
        <v>16</v>
      </c>
      <c r="D89">
        <v>1782.125</v>
      </c>
      <c r="E89">
        <v>1506.7360253209586</v>
      </c>
      <c r="F89">
        <v>19524</v>
      </c>
      <c r="G89">
        <v>5.25</v>
      </c>
    </row>
    <row r="90" spans="1:7" x14ac:dyDescent="0.2">
      <c r="A90" s="16" t="s">
        <v>131</v>
      </c>
      <c r="B90">
        <v>187</v>
      </c>
      <c r="C90">
        <v>14</v>
      </c>
      <c r="D90">
        <v>2443.7142857142858</v>
      </c>
      <c r="E90">
        <v>1353.8359421443049</v>
      </c>
      <c r="F90">
        <v>22989</v>
      </c>
      <c r="G90">
        <v>5.5714285714285712</v>
      </c>
    </row>
    <row r="91" spans="1:7" x14ac:dyDescent="0.2">
      <c r="A91" s="16" t="s">
        <v>892</v>
      </c>
      <c r="B91">
        <v>157</v>
      </c>
      <c r="C91">
        <v>12</v>
      </c>
      <c r="D91">
        <v>2533.9166666666665</v>
      </c>
      <c r="E91">
        <v>1424.1868785912598</v>
      </c>
      <c r="F91">
        <v>19926</v>
      </c>
      <c r="G91">
        <v>5.583333333333333</v>
      </c>
    </row>
    <row r="92" spans="1:7" x14ac:dyDescent="0.2">
      <c r="A92" s="16" t="s">
        <v>152</v>
      </c>
      <c r="B92">
        <v>155</v>
      </c>
      <c r="C92">
        <v>13</v>
      </c>
      <c r="D92">
        <v>1812.7692307692307</v>
      </c>
      <c r="E92">
        <v>1266.1056534274796</v>
      </c>
      <c r="F92">
        <v>14854</v>
      </c>
      <c r="G92">
        <v>6.2307692307692308</v>
      </c>
    </row>
    <row r="93" spans="1:7" x14ac:dyDescent="0.2">
      <c r="A93" s="16" t="s">
        <v>862</v>
      </c>
      <c r="B93">
        <v>168</v>
      </c>
      <c r="C93">
        <v>16</v>
      </c>
      <c r="D93">
        <v>1707.8125</v>
      </c>
      <c r="E93">
        <v>1533.2912842966271</v>
      </c>
      <c r="F93">
        <v>17671</v>
      </c>
      <c r="G93">
        <v>4.0625</v>
      </c>
    </row>
    <row r="94" spans="1:7" x14ac:dyDescent="0.2">
      <c r="A94" s="16" t="s">
        <v>1401</v>
      </c>
      <c r="B94">
        <v>103</v>
      </c>
      <c r="C94">
        <v>9</v>
      </c>
      <c r="D94">
        <v>1483.8888888888889</v>
      </c>
      <c r="E94">
        <v>1984.2462324800092</v>
      </c>
      <c r="F94">
        <v>9501</v>
      </c>
      <c r="G94">
        <v>5.7777777777777777</v>
      </c>
    </row>
    <row r="95" spans="1:7" x14ac:dyDescent="0.2">
      <c r="A95" s="16" t="s">
        <v>521</v>
      </c>
      <c r="B95">
        <v>207</v>
      </c>
      <c r="C95">
        <v>20</v>
      </c>
      <c r="D95">
        <v>1761.05</v>
      </c>
      <c r="E95">
        <v>1255.2079917812741</v>
      </c>
      <c r="F95">
        <v>23226</v>
      </c>
      <c r="G95">
        <v>5.25</v>
      </c>
    </row>
    <row r="96" spans="1:7" x14ac:dyDescent="0.2">
      <c r="A96" s="16" t="s">
        <v>189</v>
      </c>
      <c r="B96">
        <v>101</v>
      </c>
      <c r="C96">
        <v>12</v>
      </c>
      <c r="D96">
        <v>2105.5833333333335</v>
      </c>
      <c r="E96">
        <v>1893.2586366240391</v>
      </c>
      <c r="F96">
        <v>17323</v>
      </c>
      <c r="G96">
        <v>4.833333333333333</v>
      </c>
    </row>
    <row r="97" spans="1:7" x14ac:dyDescent="0.2">
      <c r="A97" s="16" t="s">
        <v>331</v>
      </c>
      <c r="B97">
        <v>130</v>
      </c>
      <c r="C97">
        <v>11</v>
      </c>
      <c r="D97">
        <v>1908.1818181818182</v>
      </c>
      <c r="E97">
        <v>2022.8515426586212</v>
      </c>
      <c r="F97">
        <v>14661</v>
      </c>
      <c r="G97">
        <v>4.7272727272727275</v>
      </c>
    </row>
    <row r="98" spans="1:7" x14ac:dyDescent="0.2">
      <c r="A98" s="16" t="s">
        <v>811</v>
      </c>
      <c r="B98">
        <v>52</v>
      </c>
      <c r="C98">
        <v>7</v>
      </c>
      <c r="D98">
        <v>876</v>
      </c>
      <c r="E98">
        <v>704.57173753517338</v>
      </c>
      <c r="F98">
        <v>3204</v>
      </c>
      <c r="G98">
        <v>7.2857142857142856</v>
      </c>
    </row>
    <row r="99" spans="1:7" x14ac:dyDescent="0.2">
      <c r="A99" s="16" t="s">
        <v>875</v>
      </c>
      <c r="B99">
        <v>169</v>
      </c>
      <c r="C99">
        <v>11</v>
      </c>
      <c r="D99">
        <v>2925.818181818182</v>
      </c>
      <c r="E99">
        <v>1496.0228486344599</v>
      </c>
      <c r="F99">
        <v>20479</v>
      </c>
      <c r="G99">
        <v>5.7272727272727275</v>
      </c>
    </row>
    <row r="100" spans="1:7" x14ac:dyDescent="0.2">
      <c r="A100" s="16" t="s">
        <v>448</v>
      </c>
      <c r="B100">
        <v>182</v>
      </c>
      <c r="C100">
        <v>16</v>
      </c>
      <c r="D100">
        <v>1505.3125</v>
      </c>
      <c r="E100">
        <v>1163.9126953942894</v>
      </c>
      <c r="F100">
        <v>15421</v>
      </c>
      <c r="G100">
        <v>5.25</v>
      </c>
    </row>
    <row r="101" spans="1:7" x14ac:dyDescent="0.2">
      <c r="A101" s="16" t="s">
        <v>277</v>
      </c>
      <c r="B101">
        <v>161</v>
      </c>
      <c r="C101">
        <v>16</v>
      </c>
      <c r="D101">
        <v>1511.0625</v>
      </c>
      <c r="E101">
        <v>1804.9837106836542</v>
      </c>
      <c r="F101">
        <v>16202</v>
      </c>
      <c r="G101">
        <v>5.625</v>
      </c>
    </row>
    <row r="102" spans="1:7" x14ac:dyDescent="0.2">
      <c r="A102" s="16" t="s">
        <v>406</v>
      </c>
      <c r="B102">
        <v>141</v>
      </c>
      <c r="C102">
        <v>13</v>
      </c>
      <c r="D102">
        <v>2019</v>
      </c>
      <c r="E102">
        <v>1672.7844053154806</v>
      </c>
      <c r="F102">
        <v>18014</v>
      </c>
      <c r="G102">
        <v>6.1538461538461542</v>
      </c>
    </row>
    <row r="103" spans="1:7" x14ac:dyDescent="0.2">
      <c r="A103" s="16" t="s">
        <v>246</v>
      </c>
      <c r="B103">
        <v>136</v>
      </c>
      <c r="C103">
        <v>12</v>
      </c>
      <c r="D103">
        <v>1518.1666666666667</v>
      </c>
      <c r="E103">
        <v>922.24211308718452</v>
      </c>
      <c r="F103">
        <v>11797</v>
      </c>
      <c r="G103">
        <v>4.916666666666667</v>
      </c>
    </row>
    <row r="104" spans="1:7" x14ac:dyDescent="0.2">
      <c r="A104" s="16" t="s">
        <v>401</v>
      </c>
      <c r="B104">
        <v>246</v>
      </c>
      <c r="C104">
        <v>19</v>
      </c>
      <c r="D104">
        <v>2089.6842105263158</v>
      </c>
      <c r="E104">
        <v>1484.5248417752912</v>
      </c>
      <c r="F104">
        <v>26965</v>
      </c>
      <c r="G104">
        <v>6.6315789473684212</v>
      </c>
    </row>
    <row r="105" spans="1:7" x14ac:dyDescent="0.2">
      <c r="A105" s="16" t="s">
        <v>149</v>
      </c>
      <c r="B105">
        <v>115</v>
      </c>
      <c r="C105">
        <v>13</v>
      </c>
      <c r="D105">
        <v>1391.2307692307693</v>
      </c>
      <c r="E105">
        <v>1822.8848086593473</v>
      </c>
      <c r="F105">
        <v>12139</v>
      </c>
      <c r="G105">
        <v>4.8461538461538458</v>
      </c>
    </row>
    <row r="106" spans="1:7" x14ac:dyDescent="0.2">
      <c r="A106" s="16" t="s">
        <v>371</v>
      </c>
      <c r="B106">
        <v>131</v>
      </c>
      <c r="C106">
        <v>16</v>
      </c>
      <c r="D106">
        <v>1273.6875</v>
      </c>
      <c r="E106">
        <v>1093.3813435851189</v>
      </c>
      <c r="F106">
        <v>12658</v>
      </c>
      <c r="G106">
        <v>7.25</v>
      </c>
    </row>
    <row r="107" spans="1:7" x14ac:dyDescent="0.2">
      <c r="A107" s="16" t="s">
        <v>903</v>
      </c>
      <c r="B107">
        <v>144</v>
      </c>
      <c r="C107">
        <v>11</v>
      </c>
      <c r="D107">
        <v>1718.909090909091</v>
      </c>
      <c r="E107">
        <v>1382.696601177963</v>
      </c>
      <c r="F107">
        <v>11536</v>
      </c>
      <c r="G107">
        <v>5.0909090909090908</v>
      </c>
    </row>
    <row r="108" spans="1:7" x14ac:dyDescent="0.2">
      <c r="A108" s="16" t="s">
        <v>611</v>
      </c>
      <c r="B108">
        <v>197</v>
      </c>
      <c r="C108">
        <v>17</v>
      </c>
      <c r="D108">
        <v>1586.2352941176471</v>
      </c>
      <c r="E108">
        <v>1115.6962808831399</v>
      </c>
      <c r="F108">
        <v>16497</v>
      </c>
      <c r="G108">
        <v>5.5294117647058822</v>
      </c>
    </row>
    <row r="109" spans="1:7" x14ac:dyDescent="0.2">
      <c r="A109" s="16" t="s">
        <v>186</v>
      </c>
      <c r="B109">
        <v>170</v>
      </c>
      <c r="C109">
        <v>19</v>
      </c>
      <c r="D109">
        <v>1379.2105263157894</v>
      </c>
      <c r="E109">
        <v>1258.8608421438173</v>
      </c>
      <c r="F109">
        <v>16485</v>
      </c>
      <c r="G109">
        <v>6</v>
      </c>
    </row>
    <row r="110" spans="1:7" x14ac:dyDescent="0.2">
      <c r="A110" s="16" t="s">
        <v>589</v>
      </c>
      <c r="B110">
        <v>103</v>
      </c>
      <c r="C110">
        <v>11</v>
      </c>
      <c r="D110">
        <v>1536.1818181818182</v>
      </c>
      <c r="E110">
        <v>1102.3268860171941</v>
      </c>
      <c r="F110">
        <v>10998</v>
      </c>
      <c r="G110">
        <v>4.8181818181818183</v>
      </c>
    </row>
    <row r="111" spans="1:7" x14ac:dyDescent="0.2">
      <c r="A111" s="16" t="s">
        <v>854</v>
      </c>
      <c r="B111">
        <v>158</v>
      </c>
      <c r="C111">
        <v>14</v>
      </c>
      <c r="D111">
        <v>2049.7142857142858</v>
      </c>
      <c r="E111">
        <v>2279.7324886442752</v>
      </c>
      <c r="F111">
        <v>20138</v>
      </c>
      <c r="G111">
        <v>5.7142857142857144</v>
      </c>
    </row>
    <row r="112" spans="1:7" x14ac:dyDescent="0.2">
      <c r="A112" s="16" t="s">
        <v>1721</v>
      </c>
      <c r="B112">
        <v>99</v>
      </c>
      <c r="C112">
        <v>13</v>
      </c>
      <c r="D112">
        <v>2204.7692307692309</v>
      </c>
      <c r="E112">
        <v>2151.8168352133721</v>
      </c>
      <c r="F112">
        <v>20773</v>
      </c>
      <c r="G112">
        <v>5</v>
      </c>
    </row>
    <row r="113" spans="1:7" x14ac:dyDescent="0.2">
      <c r="A113" s="16" t="s">
        <v>910</v>
      </c>
      <c r="B113">
        <v>77</v>
      </c>
      <c r="C113">
        <v>11</v>
      </c>
      <c r="D113">
        <v>1731.5454545454545</v>
      </c>
      <c r="E113">
        <v>1549.9554421747978</v>
      </c>
      <c r="F113">
        <v>13170</v>
      </c>
      <c r="G113">
        <v>4.8181818181818183</v>
      </c>
    </row>
    <row r="114" spans="1:7" x14ac:dyDescent="0.2">
      <c r="A114" s="16" t="s">
        <v>1042</v>
      </c>
      <c r="B114">
        <v>127</v>
      </c>
      <c r="C114">
        <v>13</v>
      </c>
      <c r="D114">
        <v>1706.1538461538462</v>
      </c>
      <c r="E114">
        <v>1526.1809004916952</v>
      </c>
      <c r="F114">
        <v>14729</v>
      </c>
      <c r="G114">
        <v>5.5384615384615383</v>
      </c>
    </row>
    <row r="115" spans="1:7" x14ac:dyDescent="0.2">
      <c r="A115" s="16" t="s">
        <v>183</v>
      </c>
      <c r="B115">
        <v>186</v>
      </c>
      <c r="C115">
        <v>16</v>
      </c>
      <c r="D115">
        <v>1907.125</v>
      </c>
      <c r="E115">
        <v>1253.3154364856971</v>
      </c>
      <c r="F115">
        <v>20379</v>
      </c>
      <c r="G115">
        <v>5.5</v>
      </c>
    </row>
    <row r="116" spans="1:7" x14ac:dyDescent="0.2">
      <c r="A116" s="16" t="s">
        <v>416</v>
      </c>
      <c r="B116">
        <v>188</v>
      </c>
      <c r="C116">
        <v>17</v>
      </c>
      <c r="D116">
        <v>2107.9411764705883</v>
      </c>
      <c r="E116">
        <v>1711.9456938885444</v>
      </c>
      <c r="F116">
        <v>23980</v>
      </c>
      <c r="G116">
        <v>6.882352941176471</v>
      </c>
    </row>
    <row r="117" spans="1:7" x14ac:dyDescent="0.2">
      <c r="A117" s="16" t="s">
        <v>158</v>
      </c>
      <c r="B117">
        <v>117</v>
      </c>
      <c r="C117">
        <v>9</v>
      </c>
      <c r="D117">
        <v>2344.8888888888887</v>
      </c>
      <c r="E117">
        <v>2209.958169538761</v>
      </c>
      <c r="F117">
        <v>14136</v>
      </c>
      <c r="G117">
        <v>6.666666666666667</v>
      </c>
    </row>
    <row r="118" spans="1:7" x14ac:dyDescent="0.2">
      <c r="A118" s="16" t="s">
        <v>997</v>
      </c>
      <c r="B118">
        <v>57</v>
      </c>
      <c r="C118">
        <v>7</v>
      </c>
      <c r="D118">
        <v>1703.8571428571429</v>
      </c>
      <c r="E118">
        <v>1111.6996639637628</v>
      </c>
      <c r="F118">
        <v>8314</v>
      </c>
      <c r="G118">
        <v>7.2857142857142856</v>
      </c>
    </row>
    <row r="119" spans="1:7" x14ac:dyDescent="0.2">
      <c r="A119" s="16" t="s">
        <v>202</v>
      </c>
      <c r="B119">
        <v>188</v>
      </c>
      <c r="C119">
        <v>19</v>
      </c>
      <c r="D119">
        <v>1379.2631578947369</v>
      </c>
      <c r="E119">
        <v>896.00848471337724</v>
      </c>
      <c r="F119">
        <v>16229</v>
      </c>
      <c r="G119">
        <v>5.2105263157894735</v>
      </c>
    </row>
    <row r="120" spans="1:7" x14ac:dyDescent="0.2">
      <c r="A120" s="16" t="s">
        <v>531</v>
      </c>
      <c r="B120">
        <v>168</v>
      </c>
      <c r="C120">
        <v>15</v>
      </c>
      <c r="D120">
        <v>1322.0666666666666</v>
      </c>
      <c r="E120">
        <v>1241.4305381101196</v>
      </c>
      <c r="F120">
        <v>12483</v>
      </c>
      <c r="G120">
        <v>5.4666666666666668</v>
      </c>
    </row>
    <row r="121" spans="1:7" x14ac:dyDescent="0.2">
      <c r="A121" s="16" t="s">
        <v>210</v>
      </c>
      <c r="B121">
        <v>134</v>
      </c>
      <c r="C121">
        <v>12</v>
      </c>
      <c r="D121">
        <v>1752.8333333333333</v>
      </c>
      <c r="E121">
        <v>1172.4679358541368</v>
      </c>
      <c r="F121">
        <v>12948</v>
      </c>
      <c r="G121">
        <v>6.333333333333333</v>
      </c>
    </row>
    <row r="122" spans="1:7" x14ac:dyDescent="0.2">
      <c r="A122" s="16" t="s">
        <v>1008</v>
      </c>
      <c r="B122">
        <v>170</v>
      </c>
      <c r="C122">
        <v>16</v>
      </c>
      <c r="D122">
        <v>1998.8125</v>
      </c>
      <c r="E122">
        <v>1472.3417727665453</v>
      </c>
      <c r="F122">
        <v>22322</v>
      </c>
      <c r="G122">
        <v>6.125</v>
      </c>
    </row>
    <row r="123" spans="1:7" x14ac:dyDescent="0.2">
      <c r="A123" s="16" t="s">
        <v>471</v>
      </c>
      <c r="B123">
        <v>131</v>
      </c>
      <c r="C123">
        <v>12</v>
      </c>
      <c r="D123">
        <v>1909.4166666666667</v>
      </c>
      <c r="E123">
        <v>1612.3919249664361</v>
      </c>
      <c r="F123">
        <v>15140</v>
      </c>
      <c r="G123">
        <v>5.583333333333333</v>
      </c>
    </row>
    <row r="124" spans="1:7" x14ac:dyDescent="0.2">
      <c r="A124" s="16" t="s">
        <v>958</v>
      </c>
      <c r="B124">
        <v>140</v>
      </c>
      <c r="C124">
        <v>12</v>
      </c>
      <c r="D124">
        <v>2118.8333333333335</v>
      </c>
      <c r="E124">
        <v>1541.0535848941631</v>
      </c>
      <c r="F124">
        <v>16834</v>
      </c>
      <c r="G124">
        <v>4.333333333333333</v>
      </c>
    </row>
    <row r="125" spans="1:7" x14ac:dyDescent="0.2">
      <c r="A125" s="16" t="s">
        <v>626</v>
      </c>
      <c r="B125">
        <v>129</v>
      </c>
      <c r="C125">
        <v>14</v>
      </c>
      <c r="D125">
        <v>1706.9285714285713</v>
      </c>
      <c r="E125">
        <v>1651.5663644080294</v>
      </c>
      <c r="F125">
        <v>15958</v>
      </c>
      <c r="G125">
        <v>5.4285714285714288</v>
      </c>
    </row>
    <row r="126" spans="1:7" x14ac:dyDescent="0.2">
      <c r="A126" s="16" t="s">
        <v>802</v>
      </c>
      <c r="B126">
        <v>124</v>
      </c>
      <c r="C126">
        <v>11</v>
      </c>
      <c r="D126">
        <v>1757.4545454545455</v>
      </c>
      <c r="E126">
        <v>1415.7553011475086</v>
      </c>
      <c r="F126">
        <v>13283</v>
      </c>
      <c r="G126">
        <v>6</v>
      </c>
    </row>
    <row r="127" spans="1:7" x14ac:dyDescent="0.2">
      <c r="A127" s="16" t="s">
        <v>574</v>
      </c>
      <c r="B127">
        <v>150</v>
      </c>
      <c r="C127">
        <v>16</v>
      </c>
      <c r="D127">
        <v>1425.0625</v>
      </c>
      <c r="E127">
        <v>1638.4114855045827</v>
      </c>
      <c r="F127">
        <v>14295</v>
      </c>
      <c r="G127">
        <v>6.125</v>
      </c>
    </row>
    <row r="128" spans="1:7" x14ac:dyDescent="0.2">
      <c r="A128" s="16" t="s">
        <v>310</v>
      </c>
      <c r="B128">
        <v>184</v>
      </c>
      <c r="C128">
        <v>17</v>
      </c>
      <c r="D128">
        <v>1694.4117647058824</v>
      </c>
      <c r="E128">
        <v>1639.1987394312323</v>
      </c>
      <c r="F128">
        <v>19862</v>
      </c>
      <c r="G128">
        <v>6.4117647058823533</v>
      </c>
    </row>
    <row r="129" spans="1:7" x14ac:dyDescent="0.2">
      <c r="A129" s="16" t="s">
        <v>498</v>
      </c>
      <c r="B129">
        <v>98</v>
      </c>
      <c r="C129">
        <v>8</v>
      </c>
      <c r="D129">
        <v>1735</v>
      </c>
      <c r="E129">
        <v>1089.1431756857576</v>
      </c>
      <c r="F129">
        <v>9495</v>
      </c>
      <c r="G129">
        <v>5.75</v>
      </c>
    </row>
    <row r="130" spans="1:7" x14ac:dyDescent="0.2">
      <c r="A130" s="16" t="s">
        <v>73</v>
      </c>
      <c r="B130">
        <v>127</v>
      </c>
      <c r="C130">
        <v>15</v>
      </c>
      <c r="D130">
        <v>1702.2</v>
      </c>
      <c r="E130">
        <v>1007.5652548878126</v>
      </c>
      <c r="F130">
        <v>18276</v>
      </c>
      <c r="G130">
        <v>5.8</v>
      </c>
    </row>
    <row r="131" spans="1:7" x14ac:dyDescent="0.2">
      <c r="A131" s="16" t="s">
        <v>213</v>
      </c>
      <c r="B131">
        <v>218</v>
      </c>
      <c r="C131">
        <v>19</v>
      </c>
      <c r="D131">
        <v>1808</v>
      </c>
      <c r="E131">
        <v>1506.288853809624</v>
      </c>
      <c r="F131">
        <v>22770</v>
      </c>
      <c r="G131">
        <v>5.2105263157894735</v>
      </c>
    </row>
    <row r="132" spans="1:7" x14ac:dyDescent="0.2">
      <c r="A132" s="16" t="s">
        <v>513</v>
      </c>
      <c r="B132">
        <v>146</v>
      </c>
      <c r="C132">
        <v>13</v>
      </c>
      <c r="D132">
        <v>2539.2307692307691</v>
      </c>
      <c r="E132">
        <v>1967.4678376806296</v>
      </c>
      <c r="F132">
        <v>21691</v>
      </c>
      <c r="G132">
        <v>5.5384615384615383</v>
      </c>
    </row>
    <row r="133" spans="1:7" x14ac:dyDescent="0.2">
      <c r="A133" s="16" t="s">
        <v>82</v>
      </c>
      <c r="B133">
        <v>105</v>
      </c>
      <c r="C133">
        <v>11</v>
      </c>
      <c r="D133">
        <v>1934.2727272727273</v>
      </c>
      <c r="E133">
        <v>1826.4716855680567</v>
      </c>
      <c r="F133">
        <v>13997</v>
      </c>
      <c r="G133">
        <v>6.0909090909090908</v>
      </c>
    </row>
    <row r="134" spans="1:7" x14ac:dyDescent="0.2">
      <c r="A134" s="16" t="s">
        <v>57</v>
      </c>
      <c r="B134">
        <v>178</v>
      </c>
      <c r="C134">
        <v>17</v>
      </c>
      <c r="D134">
        <v>1811.2941176470588</v>
      </c>
      <c r="E134">
        <v>1628.2523900145932</v>
      </c>
      <c r="F134">
        <v>21871</v>
      </c>
      <c r="G134">
        <v>5.4705882352941178</v>
      </c>
    </row>
    <row r="135" spans="1:7" x14ac:dyDescent="0.2">
      <c r="A135" s="16" t="s">
        <v>216</v>
      </c>
      <c r="B135">
        <v>111</v>
      </c>
      <c r="C135">
        <v>13</v>
      </c>
      <c r="D135">
        <v>1639.6923076923076</v>
      </c>
      <c r="E135">
        <v>1803.2381237011464</v>
      </c>
      <c r="F135">
        <v>14074</v>
      </c>
      <c r="G135">
        <v>5.9230769230769234</v>
      </c>
    </row>
    <row r="136" spans="1:7" x14ac:dyDescent="0.2">
      <c r="A136" s="16" t="s">
        <v>442</v>
      </c>
      <c r="B136">
        <v>166</v>
      </c>
      <c r="C136">
        <v>14</v>
      </c>
      <c r="D136">
        <v>2389.1428571428573</v>
      </c>
      <c r="E136">
        <v>1945.2586087574718</v>
      </c>
      <c r="F136">
        <v>23337</v>
      </c>
      <c r="G136">
        <v>5.9285714285714288</v>
      </c>
    </row>
    <row r="137" spans="1:7" x14ac:dyDescent="0.2">
      <c r="A137" s="16" t="s">
        <v>1750</v>
      </c>
      <c r="B137">
        <v>38</v>
      </c>
      <c r="C137">
        <v>5</v>
      </c>
      <c r="D137">
        <v>1796.8</v>
      </c>
      <c r="E137">
        <v>3151.9227782418779</v>
      </c>
      <c r="F137">
        <v>6367</v>
      </c>
      <c r="G137">
        <v>5.4</v>
      </c>
    </row>
    <row r="138" spans="1:7" x14ac:dyDescent="0.2">
      <c r="A138" s="16" t="s">
        <v>580</v>
      </c>
      <c r="B138">
        <v>124</v>
      </c>
      <c r="C138">
        <v>13</v>
      </c>
      <c r="D138">
        <v>1357.9230769230769</v>
      </c>
      <c r="E138">
        <v>1196.4791725125892</v>
      </c>
      <c r="F138">
        <v>10511</v>
      </c>
      <c r="G138">
        <v>5.3076923076923075</v>
      </c>
    </row>
    <row r="139" spans="1:7" x14ac:dyDescent="0.2">
      <c r="A139" s="16" t="s">
        <v>542</v>
      </c>
      <c r="B139">
        <v>108</v>
      </c>
      <c r="C139">
        <v>15</v>
      </c>
      <c r="D139">
        <v>1522</v>
      </c>
      <c r="E139">
        <v>1693.0445948054646</v>
      </c>
      <c r="F139">
        <v>16050</v>
      </c>
      <c r="G139">
        <v>5.7333333333333334</v>
      </c>
    </row>
    <row r="140" spans="1:7" x14ac:dyDescent="0.2">
      <c r="A140" s="16" t="s">
        <v>76</v>
      </c>
      <c r="B140">
        <v>176</v>
      </c>
      <c r="C140">
        <v>17</v>
      </c>
      <c r="D140">
        <v>1814.3529411764705</v>
      </c>
      <c r="E140">
        <v>1646.6142892757425</v>
      </c>
      <c r="F140">
        <v>20297</v>
      </c>
      <c r="G140">
        <v>4.882352941176471</v>
      </c>
    </row>
    <row r="141" spans="1:7" x14ac:dyDescent="0.2">
      <c r="A141" s="16" t="s">
        <v>933</v>
      </c>
      <c r="B141">
        <v>201</v>
      </c>
      <c r="C141">
        <v>20</v>
      </c>
      <c r="D141">
        <v>1735.05</v>
      </c>
      <c r="E141">
        <v>1270.8490934887009</v>
      </c>
      <c r="F141">
        <v>22377</v>
      </c>
      <c r="G141">
        <v>5</v>
      </c>
    </row>
    <row r="142" spans="1:7" x14ac:dyDescent="0.2">
      <c r="A142" s="16" t="s">
        <v>689</v>
      </c>
      <c r="B142">
        <v>122</v>
      </c>
      <c r="C142">
        <v>12</v>
      </c>
      <c r="D142">
        <v>1712.75</v>
      </c>
      <c r="E142">
        <v>1756.567837625925</v>
      </c>
      <c r="F142">
        <v>14480</v>
      </c>
      <c r="G142">
        <v>6.333333333333333</v>
      </c>
    </row>
    <row r="143" spans="1:7" x14ac:dyDescent="0.2">
      <c r="A143" s="16" t="s">
        <v>1202</v>
      </c>
      <c r="B143">
        <v>117</v>
      </c>
      <c r="C143">
        <v>10</v>
      </c>
      <c r="D143">
        <v>1303.9000000000001</v>
      </c>
      <c r="E143">
        <v>681.87754684319145</v>
      </c>
      <c r="F143">
        <v>8284</v>
      </c>
      <c r="G143">
        <v>5.6</v>
      </c>
    </row>
    <row r="144" spans="1:7" x14ac:dyDescent="0.2">
      <c r="A144" s="16" t="s">
        <v>284</v>
      </c>
      <c r="B144">
        <v>101</v>
      </c>
      <c r="C144">
        <v>12</v>
      </c>
      <c r="D144">
        <v>1604.6666666666667</v>
      </c>
      <c r="E144">
        <v>1925.8181417650826</v>
      </c>
      <c r="F144">
        <v>13081</v>
      </c>
      <c r="G144">
        <v>4.166666666666667</v>
      </c>
    </row>
    <row r="145" spans="1:7" x14ac:dyDescent="0.2">
      <c r="A145" s="16" t="s">
        <v>221</v>
      </c>
      <c r="B145">
        <v>89</v>
      </c>
      <c r="C145">
        <v>12</v>
      </c>
      <c r="D145">
        <v>1148.8333333333333</v>
      </c>
      <c r="E145">
        <v>1352.4207140822664</v>
      </c>
      <c r="F145">
        <v>8817</v>
      </c>
      <c r="G145">
        <v>4.916666666666667</v>
      </c>
    </row>
    <row r="146" spans="1:7" x14ac:dyDescent="0.2">
      <c r="A146" s="16" t="s">
        <v>292</v>
      </c>
      <c r="B146">
        <v>168</v>
      </c>
      <c r="C146">
        <v>15</v>
      </c>
      <c r="D146">
        <v>2482.6</v>
      </c>
      <c r="E146">
        <v>2494.4195374017236</v>
      </c>
      <c r="F146">
        <v>27078</v>
      </c>
      <c r="G146">
        <v>6.4</v>
      </c>
    </row>
    <row r="147" spans="1:7" x14ac:dyDescent="0.2">
      <c r="A147" s="16" t="s">
        <v>48</v>
      </c>
      <c r="B147">
        <v>164</v>
      </c>
      <c r="C147">
        <v>15</v>
      </c>
      <c r="D147">
        <v>1400.0666666666666</v>
      </c>
      <c r="E147">
        <v>1296.5983223511473</v>
      </c>
      <c r="F147">
        <v>13284</v>
      </c>
      <c r="G147">
        <v>7.2</v>
      </c>
    </row>
    <row r="148" spans="1:7" x14ac:dyDescent="0.2">
      <c r="A148" s="16" t="s">
        <v>272</v>
      </c>
      <c r="B148">
        <v>116</v>
      </c>
      <c r="C148">
        <v>9</v>
      </c>
      <c r="D148">
        <v>1773.4444444444443</v>
      </c>
      <c r="E148">
        <v>1438.2964846573805</v>
      </c>
      <c r="F148">
        <v>10455</v>
      </c>
      <c r="G148">
        <v>6.2222222222222223</v>
      </c>
    </row>
    <row r="149" spans="1:7" x14ac:dyDescent="0.2">
      <c r="A149" s="16" t="s">
        <v>1343</v>
      </c>
      <c r="B149">
        <v>98</v>
      </c>
      <c r="C149">
        <v>10</v>
      </c>
      <c r="D149">
        <v>1076</v>
      </c>
      <c r="E149">
        <v>672.65592987797265</v>
      </c>
      <c r="F149">
        <v>6327</v>
      </c>
      <c r="G149">
        <v>4.9000000000000004</v>
      </c>
    </row>
    <row r="150" spans="1:7" x14ac:dyDescent="0.2">
      <c r="A150" s="16" t="s">
        <v>485</v>
      </c>
      <c r="B150">
        <v>122</v>
      </c>
      <c r="C150">
        <v>13</v>
      </c>
      <c r="D150">
        <v>2091.0769230769229</v>
      </c>
      <c r="E150">
        <v>1860.0185689726532</v>
      </c>
      <c r="F150">
        <v>19031</v>
      </c>
      <c r="G150">
        <v>7</v>
      </c>
    </row>
    <row r="151" spans="1:7" x14ac:dyDescent="0.2">
      <c r="A151" s="16" t="s">
        <v>1253</v>
      </c>
      <c r="B151">
        <v>156</v>
      </c>
      <c r="C151">
        <v>14</v>
      </c>
      <c r="D151">
        <v>1998.3571428571429</v>
      </c>
      <c r="E151">
        <v>1417.3934694546704</v>
      </c>
      <c r="F151">
        <v>16778</v>
      </c>
      <c r="G151">
        <v>5.5714285714285712</v>
      </c>
    </row>
    <row r="152" spans="1:7" x14ac:dyDescent="0.2">
      <c r="A152" s="16" t="s">
        <v>382</v>
      </c>
      <c r="B152">
        <v>136</v>
      </c>
      <c r="C152">
        <v>12</v>
      </c>
      <c r="D152">
        <v>2268.25</v>
      </c>
      <c r="E152">
        <v>1339.7718343739796</v>
      </c>
      <c r="F152">
        <v>17398</v>
      </c>
      <c r="G152">
        <v>6.416666666666667</v>
      </c>
    </row>
    <row r="153" spans="1:7" x14ac:dyDescent="0.2">
      <c r="A153" s="16" t="s">
        <v>616</v>
      </c>
      <c r="B153">
        <v>157</v>
      </c>
      <c r="C153">
        <v>13</v>
      </c>
      <c r="D153">
        <v>1663.9230769230769</v>
      </c>
      <c r="E153">
        <v>997.70707637883879</v>
      </c>
      <c r="F153">
        <v>14122</v>
      </c>
      <c r="G153">
        <v>5.615384615384615</v>
      </c>
    </row>
    <row r="154" spans="1:7" x14ac:dyDescent="0.2">
      <c r="A154" s="16" t="s">
        <v>587</v>
      </c>
      <c r="B154">
        <v>180</v>
      </c>
      <c r="C154">
        <v>16</v>
      </c>
      <c r="D154">
        <v>1712.5</v>
      </c>
      <c r="E154">
        <v>1349.1394788283876</v>
      </c>
      <c r="F154">
        <v>18527</v>
      </c>
      <c r="G154">
        <v>6.625</v>
      </c>
    </row>
    <row r="155" spans="1:7" x14ac:dyDescent="0.2">
      <c r="A155" s="16" t="s">
        <v>1136</v>
      </c>
      <c r="B155">
        <v>166</v>
      </c>
      <c r="C155">
        <v>13</v>
      </c>
      <c r="D155">
        <v>1968.3846153846155</v>
      </c>
      <c r="E155">
        <v>937.5380470912047</v>
      </c>
      <c r="F155">
        <v>17376</v>
      </c>
      <c r="G155">
        <v>4.615384615384615</v>
      </c>
    </row>
    <row r="156" spans="1:7" x14ac:dyDescent="0.2">
      <c r="A156" s="16" t="s">
        <v>397</v>
      </c>
      <c r="B156">
        <v>210</v>
      </c>
      <c r="C156">
        <v>19</v>
      </c>
      <c r="D156">
        <v>1440.1578947368421</v>
      </c>
      <c r="E156">
        <v>1138.4708195722644</v>
      </c>
      <c r="F156">
        <v>17282</v>
      </c>
      <c r="G156">
        <v>4.2631578947368425</v>
      </c>
    </row>
    <row r="157" spans="1:7" x14ac:dyDescent="0.2">
      <c r="A157" s="16" t="s">
        <v>1085</v>
      </c>
      <c r="B157">
        <v>140</v>
      </c>
      <c r="C157">
        <v>16</v>
      </c>
      <c r="D157">
        <v>1942.3125</v>
      </c>
      <c r="E157">
        <v>1922.6522555660795</v>
      </c>
      <c r="F157">
        <v>20424</v>
      </c>
      <c r="G157">
        <v>5.1875</v>
      </c>
    </row>
    <row r="158" spans="1:7" x14ac:dyDescent="0.2">
      <c r="A158" s="16" t="s">
        <v>432</v>
      </c>
      <c r="B158">
        <v>103</v>
      </c>
      <c r="C158">
        <v>12</v>
      </c>
      <c r="D158">
        <v>1495.5</v>
      </c>
      <c r="E158">
        <v>1097.7750638947357</v>
      </c>
      <c r="F158">
        <v>12100</v>
      </c>
      <c r="G158">
        <v>4.583333333333333</v>
      </c>
    </row>
    <row r="159" spans="1:7" x14ac:dyDescent="0.2">
      <c r="A159" s="16" t="s">
        <v>622</v>
      </c>
      <c r="B159">
        <v>142</v>
      </c>
      <c r="C159">
        <v>12</v>
      </c>
      <c r="D159">
        <v>1596.6666666666667</v>
      </c>
      <c r="E159">
        <v>1483.6243296451942</v>
      </c>
      <c r="F159">
        <v>12983</v>
      </c>
      <c r="G159">
        <v>4.166666666666667</v>
      </c>
    </row>
    <row r="160" spans="1:7" x14ac:dyDescent="0.2">
      <c r="A160" s="16" t="s">
        <v>219</v>
      </c>
      <c r="B160">
        <v>153</v>
      </c>
      <c r="C160">
        <v>15</v>
      </c>
      <c r="D160">
        <v>1863</v>
      </c>
      <c r="E160">
        <v>1656.8809337340533</v>
      </c>
      <c r="F160">
        <v>18807</v>
      </c>
      <c r="G160">
        <v>5.4666666666666668</v>
      </c>
    </row>
    <row r="161" spans="1:7" x14ac:dyDescent="0.2">
      <c r="A161" s="16" t="s">
        <v>249</v>
      </c>
      <c r="B161">
        <v>94</v>
      </c>
      <c r="C161">
        <v>10</v>
      </c>
      <c r="D161">
        <v>1906.7</v>
      </c>
      <c r="E161">
        <v>1584.3421382741517</v>
      </c>
      <c r="F161">
        <v>12139</v>
      </c>
      <c r="G161">
        <v>5.6</v>
      </c>
    </row>
    <row r="162" spans="1:7" x14ac:dyDescent="0.2">
      <c r="A162" s="16" t="s">
        <v>877</v>
      </c>
      <c r="B162">
        <v>177</v>
      </c>
      <c r="C162">
        <v>16</v>
      </c>
      <c r="D162">
        <v>2184.5</v>
      </c>
      <c r="E162">
        <v>1161.5379460009044</v>
      </c>
      <c r="F162">
        <v>23267</v>
      </c>
      <c r="G162">
        <v>5.375</v>
      </c>
    </row>
    <row r="163" spans="1:7" x14ac:dyDescent="0.2">
      <c r="A163" s="16" t="s">
        <v>707</v>
      </c>
      <c r="B163">
        <v>160</v>
      </c>
      <c r="C163">
        <v>13</v>
      </c>
      <c r="D163">
        <v>2117.1538461538462</v>
      </c>
      <c r="E163">
        <v>1747.4033996263261</v>
      </c>
      <c r="F163">
        <v>17919</v>
      </c>
      <c r="G163">
        <v>6.2307692307692308</v>
      </c>
    </row>
    <row r="164" spans="1:7" x14ac:dyDescent="0.2">
      <c r="A164" s="16" t="s">
        <v>94</v>
      </c>
      <c r="B164">
        <v>190</v>
      </c>
      <c r="C164">
        <v>17</v>
      </c>
      <c r="D164">
        <v>1667.6470588235295</v>
      </c>
      <c r="E164">
        <v>925.9183239611682</v>
      </c>
      <c r="F164">
        <v>17570</v>
      </c>
      <c r="G164">
        <v>5.4117647058823533</v>
      </c>
    </row>
    <row r="165" spans="1:7" x14ac:dyDescent="0.2">
      <c r="A165" s="16" t="s">
        <v>1022</v>
      </c>
      <c r="B165">
        <v>180</v>
      </c>
      <c r="C165">
        <v>15</v>
      </c>
      <c r="D165">
        <v>2474.6666666666665</v>
      </c>
      <c r="E165">
        <v>1495.8102279685206</v>
      </c>
      <c r="F165">
        <v>24718</v>
      </c>
      <c r="G165">
        <v>5.6</v>
      </c>
    </row>
    <row r="166" spans="1:7" x14ac:dyDescent="0.2">
      <c r="A166" s="16" t="s">
        <v>466</v>
      </c>
      <c r="B166">
        <v>122</v>
      </c>
      <c r="C166">
        <v>11</v>
      </c>
      <c r="D166">
        <v>2044.3636363636363</v>
      </c>
      <c r="E166">
        <v>1365.7800168934434</v>
      </c>
      <c r="F166">
        <v>16057</v>
      </c>
      <c r="G166">
        <v>4</v>
      </c>
    </row>
    <row r="167" spans="1:7" x14ac:dyDescent="0.2">
      <c r="A167" s="16" t="s">
        <v>313</v>
      </c>
      <c r="B167">
        <v>138</v>
      </c>
      <c r="C167">
        <v>13</v>
      </c>
      <c r="D167">
        <v>1943.7692307692307</v>
      </c>
      <c r="E167">
        <v>1599.4968038858426</v>
      </c>
      <c r="F167">
        <v>17331</v>
      </c>
      <c r="G167">
        <v>3.8461538461538463</v>
      </c>
    </row>
    <row r="168" spans="1:7" x14ac:dyDescent="0.2">
      <c r="A168" s="16" t="s">
        <v>774</v>
      </c>
      <c r="B168">
        <v>142</v>
      </c>
      <c r="C168">
        <v>13</v>
      </c>
      <c r="D168">
        <v>2070.6923076923076</v>
      </c>
      <c r="E168">
        <v>1521.7937543468993</v>
      </c>
      <c r="F168">
        <v>18090</v>
      </c>
      <c r="G168">
        <v>4.8461538461538458</v>
      </c>
    </row>
    <row r="169" spans="1:7" x14ac:dyDescent="0.2">
      <c r="A169" s="16" t="s">
        <v>539</v>
      </c>
      <c r="B169">
        <v>109</v>
      </c>
      <c r="C169">
        <v>11</v>
      </c>
      <c r="D169">
        <v>1581</v>
      </c>
      <c r="E169">
        <v>1409.9859573768811</v>
      </c>
      <c r="F169">
        <v>11478</v>
      </c>
      <c r="G169">
        <v>5.1818181818181817</v>
      </c>
    </row>
    <row r="170" spans="1:7" x14ac:dyDescent="0.2">
      <c r="A170" s="16" t="s">
        <v>562</v>
      </c>
      <c r="B170">
        <v>154</v>
      </c>
      <c r="C170">
        <v>16</v>
      </c>
      <c r="D170">
        <v>1493.625</v>
      </c>
      <c r="E170">
        <v>1372.7242439761892</v>
      </c>
      <c r="F170">
        <v>15591</v>
      </c>
      <c r="G170">
        <v>4.875</v>
      </c>
    </row>
    <row r="171" spans="1:7" x14ac:dyDescent="0.2">
      <c r="A171" s="16" t="s">
        <v>567</v>
      </c>
      <c r="B171">
        <v>209</v>
      </c>
      <c r="C171">
        <v>20</v>
      </c>
      <c r="D171">
        <v>2052.85</v>
      </c>
      <c r="E171">
        <v>1387.4698394066654</v>
      </c>
      <c r="F171">
        <v>27467</v>
      </c>
      <c r="G171">
        <v>5.35</v>
      </c>
    </row>
    <row r="172" spans="1:7" x14ac:dyDescent="0.2">
      <c r="A172" s="16" t="s">
        <v>752</v>
      </c>
      <c r="B172">
        <v>293</v>
      </c>
      <c r="C172">
        <v>29</v>
      </c>
      <c r="D172">
        <v>1616</v>
      </c>
      <c r="E172">
        <v>1526.0425476187934</v>
      </c>
      <c r="F172">
        <v>30362</v>
      </c>
      <c r="G172">
        <v>5.6551724137931032</v>
      </c>
    </row>
    <row r="173" spans="1:7" x14ac:dyDescent="0.2">
      <c r="A173" s="16" t="s">
        <v>450</v>
      </c>
      <c r="B173">
        <v>131</v>
      </c>
      <c r="C173">
        <v>14</v>
      </c>
      <c r="D173">
        <v>1552.5714285714287</v>
      </c>
      <c r="E173">
        <v>1462.3551980537165</v>
      </c>
      <c r="F173">
        <v>15073</v>
      </c>
      <c r="G173">
        <v>6.5</v>
      </c>
    </row>
    <row r="174" spans="1:7" x14ac:dyDescent="0.2">
      <c r="A174" s="16" t="s">
        <v>70</v>
      </c>
      <c r="B174">
        <v>188</v>
      </c>
      <c r="C174">
        <v>16</v>
      </c>
      <c r="D174">
        <v>2118.3125</v>
      </c>
      <c r="E174">
        <v>1666.7366006161062</v>
      </c>
      <c r="F174">
        <v>21783</v>
      </c>
      <c r="G174">
        <v>6.9375</v>
      </c>
    </row>
    <row r="175" spans="1:7" x14ac:dyDescent="0.2">
      <c r="A175" s="16" t="s">
        <v>795</v>
      </c>
      <c r="B175">
        <v>119</v>
      </c>
      <c r="C175">
        <v>12</v>
      </c>
      <c r="D175">
        <v>2060.3333333333335</v>
      </c>
      <c r="E175">
        <v>1978.7790236007718</v>
      </c>
      <c r="F175">
        <v>16924</v>
      </c>
      <c r="G175">
        <v>5.583333333333333</v>
      </c>
    </row>
    <row r="176" spans="1:7" x14ac:dyDescent="0.2">
      <c r="A176" s="16" t="s">
        <v>102</v>
      </c>
      <c r="B176">
        <v>142</v>
      </c>
      <c r="C176">
        <v>14</v>
      </c>
      <c r="D176">
        <v>1973.5</v>
      </c>
      <c r="E176">
        <v>1620.7824677273343</v>
      </c>
      <c r="F176">
        <v>18277</v>
      </c>
      <c r="G176">
        <v>4.5714285714285712</v>
      </c>
    </row>
    <row r="177" spans="1:7" x14ac:dyDescent="0.2">
      <c r="A177" s="16" t="s">
        <v>851</v>
      </c>
      <c r="B177">
        <v>99</v>
      </c>
      <c r="C177">
        <v>11</v>
      </c>
      <c r="D177">
        <v>1603.090909090909</v>
      </c>
      <c r="E177">
        <v>2076.6009464769804</v>
      </c>
      <c r="F177">
        <v>12577</v>
      </c>
      <c r="G177">
        <v>5.0909090909090908</v>
      </c>
    </row>
    <row r="178" spans="1:7" x14ac:dyDescent="0.2">
      <c r="A178" s="16" t="s">
        <v>392</v>
      </c>
      <c r="B178">
        <v>119</v>
      </c>
      <c r="C178">
        <v>13</v>
      </c>
      <c r="D178">
        <v>2407.6923076923076</v>
      </c>
      <c r="E178">
        <v>1802.2417699731348</v>
      </c>
      <c r="F178">
        <v>22043</v>
      </c>
      <c r="G178">
        <v>5.1538461538461542</v>
      </c>
    </row>
    <row r="179" spans="1:7" x14ac:dyDescent="0.2">
      <c r="A179" s="16" t="s">
        <v>345</v>
      </c>
      <c r="B179">
        <v>143</v>
      </c>
      <c r="C179">
        <v>13</v>
      </c>
      <c r="D179">
        <v>1385.0769230769231</v>
      </c>
      <c r="E179">
        <v>907.65103991369415</v>
      </c>
      <c r="F179">
        <v>11942</v>
      </c>
      <c r="G179">
        <v>4.4615384615384617</v>
      </c>
    </row>
    <row r="180" spans="1:7" x14ac:dyDescent="0.2">
      <c r="A180" s="16" t="s">
        <v>268</v>
      </c>
      <c r="B180">
        <v>85</v>
      </c>
      <c r="C180">
        <v>8</v>
      </c>
      <c r="D180">
        <v>1729.625</v>
      </c>
      <c r="E180">
        <v>1324.7518298588177</v>
      </c>
      <c r="F180">
        <v>8757</v>
      </c>
      <c r="G180">
        <v>5.875</v>
      </c>
    </row>
    <row r="181" spans="1:7" x14ac:dyDescent="0.2">
      <c r="A181" s="16" t="s">
        <v>197</v>
      </c>
      <c r="B181">
        <v>118</v>
      </c>
      <c r="C181">
        <v>13</v>
      </c>
      <c r="D181">
        <v>1879</v>
      </c>
      <c r="E181">
        <v>1891.7072976546874</v>
      </c>
      <c r="F181">
        <v>16490</v>
      </c>
      <c r="G181">
        <v>5.7692307692307692</v>
      </c>
    </row>
    <row r="182" spans="1:7" x14ac:dyDescent="0.2">
      <c r="A182" s="16" t="s">
        <v>1414</v>
      </c>
      <c r="B182">
        <v>84</v>
      </c>
      <c r="C182">
        <v>10</v>
      </c>
      <c r="D182">
        <v>1716</v>
      </c>
      <c r="E182">
        <v>1566.178079842065</v>
      </c>
      <c r="F182">
        <v>11158</v>
      </c>
      <c r="G182">
        <v>5.0999999999999996</v>
      </c>
    </row>
    <row r="183" spans="1:7" x14ac:dyDescent="0.2">
      <c r="A183" s="16" t="s">
        <v>1273</v>
      </c>
      <c r="B183">
        <v>78</v>
      </c>
      <c r="C183">
        <v>7</v>
      </c>
      <c r="D183">
        <v>2007.5714285714287</v>
      </c>
      <c r="E183">
        <v>1740.9759578220157</v>
      </c>
      <c r="F183">
        <v>9612</v>
      </c>
      <c r="G183">
        <v>4.5714285714285712</v>
      </c>
    </row>
    <row r="184" spans="1:7" x14ac:dyDescent="0.2">
      <c r="A184" s="16" t="s">
        <v>343</v>
      </c>
      <c r="B184">
        <v>162</v>
      </c>
      <c r="C184">
        <v>15</v>
      </c>
      <c r="D184">
        <v>2082.4</v>
      </c>
      <c r="E184">
        <v>1248.9554378416733</v>
      </c>
      <c r="F184">
        <v>20587</v>
      </c>
      <c r="G184">
        <v>5.2666666666666666</v>
      </c>
    </row>
    <row r="185" spans="1:7" x14ac:dyDescent="0.2">
      <c r="A185" s="16" t="s">
        <v>137</v>
      </c>
      <c r="B185">
        <v>146</v>
      </c>
      <c r="C185">
        <v>15</v>
      </c>
      <c r="D185">
        <v>1368.5333333333333</v>
      </c>
      <c r="E185">
        <v>1066.8263928029492</v>
      </c>
      <c r="F185">
        <v>12815</v>
      </c>
      <c r="G185">
        <v>6.1333333333333337</v>
      </c>
    </row>
    <row r="186" spans="1:7" x14ac:dyDescent="0.2">
      <c r="A186" s="16" t="s">
        <v>408</v>
      </c>
      <c r="B186">
        <v>133</v>
      </c>
      <c r="C186">
        <v>12</v>
      </c>
      <c r="D186">
        <v>2024.1666666666667</v>
      </c>
      <c r="E186">
        <v>1355.1124631848043</v>
      </c>
      <c r="F186">
        <v>16088</v>
      </c>
      <c r="G186">
        <v>5.583333333333333</v>
      </c>
    </row>
    <row r="187" spans="1:7" x14ac:dyDescent="0.2">
      <c r="A187" s="16" t="s">
        <v>968</v>
      </c>
      <c r="B187">
        <v>132</v>
      </c>
      <c r="C187">
        <v>12</v>
      </c>
      <c r="D187">
        <v>2237.6666666666665</v>
      </c>
      <c r="E187">
        <v>2168.1428724029038</v>
      </c>
      <c r="F187">
        <v>18544</v>
      </c>
      <c r="G187">
        <v>5.083333333333333</v>
      </c>
    </row>
    <row r="188" spans="1:7" x14ac:dyDescent="0.2">
      <c r="A188" s="16" t="s">
        <v>767</v>
      </c>
      <c r="B188">
        <v>166</v>
      </c>
      <c r="C188">
        <v>18</v>
      </c>
      <c r="D188">
        <v>1540.2222222222222</v>
      </c>
      <c r="E188">
        <v>1210.4947727153726</v>
      </c>
      <c r="F188">
        <v>19105</v>
      </c>
      <c r="G188">
        <v>4.9444444444444446</v>
      </c>
    </row>
    <row r="189" spans="1:7" x14ac:dyDescent="0.2">
      <c r="A189" s="16" t="s">
        <v>825</v>
      </c>
      <c r="B189">
        <v>165</v>
      </c>
      <c r="C189">
        <v>16</v>
      </c>
      <c r="D189">
        <v>1538.4375</v>
      </c>
      <c r="E189">
        <v>1244.650792725949</v>
      </c>
      <c r="F189">
        <v>15802</v>
      </c>
      <c r="G189">
        <v>6.125</v>
      </c>
    </row>
    <row r="190" spans="1:7" x14ac:dyDescent="0.2">
      <c r="A190" s="16" t="s">
        <v>482</v>
      </c>
      <c r="B190">
        <v>158</v>
      </c>
      <c r="C190">
        <v>17</v>
      </c>
      <c r="D190">
        <v>1787.1176470588234</v>
      </c>
      <c r="E190">
        <v>1758.2828584428951</v>
      </c>
      <c r="F190">
        <v>20113</v>
      </c>
      <c r="G190">
        <v>6.0588235294117645</v>
      </c>
    </row>
    <row r="191" spans="1:7" x14ac:dyDescent="0.2">
      <c r="A191" s="16" t="s">
        <v>191</v>
      </c>
      <c r="B191">
        <v>160</v>
      </c>
      <c r="C191">
        <v>15</v>
      </c>
      <c r="D191">
        <v>1749.2</v>
      </c>
      <c r="E191">
        <v>1725.3296248212148</v>
      </c>
      <c r="F191">
        <v>18049</v>
      </c>
      <c r="G191">
        <v>4.5333333333333332</v>
      </c>
    </row>
    <row r="192" spans="1:7" x14ac:dyDescent="0.2">
      <c r="A192" s="16" t="s">
        <v>914</v>
      </c>
      <c r="B192">
        <v>122</v>
      </c>
      <c r="C192">
        <v>10</v>
      </c>
      <c r="D192">
        <v>2197.5</v>
      </c>
      <c r="E192">
        <v>1906.8089253456358</v>
      </c>
      <c r="F192">
        <v>14627</v>
      </c>
      <c r="G192">
        <v>6.1</v>
      </c>
    </row>
    <row r="193" spans="1:7" x14ac:dyDescent="0.2">
      <c r="A193" s="16" t="s">
        <v>453</v>
      </c>
      <c r="B193">
        <v>151</v>
      </c>
      <c r="C193">
        <v>14</v>
      </c>
      <c r="D193">
        <v>2498.2142857142858</v>
      </c>
      <c r="E193">
        <v>2063.8846933568084</v>
      </c>
      <c r="F193">
        <v>24986</v>
      </c>
      <c r="G193">
        <v>5.5</v>
      </c>
    </row>
    <row r="194" spans="1:7" x14ac:dyDescent="0.2">
      <c r="A194" s="16" t="s">
        <v>295</v>
      </c>
      <c r="B194">
        <v>126</v>
      </c>
      <c r="C194">
        <v>13</v>
      </c>
      <c r="D194">
        <v>1357.6923076923076</v>
      </c>
      <c r="E194">
        <v>930.21246539123024</v>
      </c>
      <c r="F194">
        <v>10462</v>
      </c>
      <c r="G194">
        <v>4.2307692307692308</v>
      </c>
    </row>
    <row r="195" spans="1:7" x14ac:dyDescent="0.2">
      <c r="A195" s="16" t="s">
        <v>856</v>
      </c>
      <c r="B195">
        <v>132</v>
      </c>
      <c r="C195">
        <v>15</v>
      </c>
      <c r="D195">
        <v>1930.6</v>
      </c>
      <c r="E195">
        <v>1528.3109631223615</v>
      </c>
      <c r="F195">
        <v>20146</v>
      </c>
      <c r="G195">
        <v>5.2666666666666666</v>
      </c>
    </row>
    <row r="196" spans="1:7" x14ac:dyDescent="0.2">
      <c r="A196" s="16" t="s">
        <v>106</v>
      </c>
      <c r="B196">
        <v>197</v>
      </c>
      <c r="C196">
        <v>20</v>
      </c>
      <c r="D196">
        <v>2054</v>
      </c>
      <c r="E196">
        <v>1853.8847690301857</v>
      </c>
      <c r="F196">
        <v>29022</v>
      </c>
      <c r="G196">
        <v>5.55</v>
      </c>
    </row>
    <row r="197" spans="1:7" x14ac:dyDescent="0.2">
      <c r="A197" s="16" t="s">
        <v>701</v>
      </c>
      <c r="B197">
        <v>126</v>
      </c>
      <c r="C197">
        <v>13</v>
      </c>
      <c r="D197">
        <v>1799.4615384615386</v>
      </c>
      <c r="E197">
        <v>1832.871727435057</v>
      </c>
      <c r="F197">
        <v>16474</v>
      </c>
      <c r="G197">
        <v>4.5384615384615383</v>
      </c>
    </row>
    <row r="198" spans="1:7" x14ac:dyDescent="0.2">
      <c r="A198" s="16" t="s">
        <v>348</v>
      </c>
      <c r="B198">
        <v>78</v>
      </c>
      <c r="C198">
        <v>10</v>
      </c>
      <c r="D198">
        <v>1303.0999999999999</v>
      </c>
      <c r="E198">
        <v>944.60437926855559</v>
      </c>
      <c r="F198">
        <v>8582</v>
      </c>
      <c r="G198">
        <v>6.7</v>
      </c>
    </row>
    <row r="199" spans="1:7" x14ac:dyDescent="0.2">
      <c r="A199" s="16" t="s">
        <v>754</v>
      </c>
      <c r="B199">
        <v>102</v>
      </c>
      <c r="C199">
        <v>8</v>
      </c>
      <c r="D199">
        <v>1843.25</v>
      </c>
      <c r="E199">
        <v>1004.9340774399085</v>
      </c>
      <c r="F199">
        <v>9400</v>
      </c>
      <c r="G199">
        <v>5.375</v>
      </c>
    </row>
    <row r="200" spans="1:7" x14ac:dyDescent="0.2">
      <c r="A200" s="16" t="s">
        <v>41</v>
      </c>
      <c r="B200">
        <v>178</v>
      </c>
      <c r="C200">
        <v>13</v>
      </c>
      <c r="D200">
        <v>2471</v>
      </c>
      <c r="E200">
        <v>1865.0250221735187</v>
      </c>
      <c r="F200">
        <v>20134</v>
      </c>
      <c r="G200">
        <v>5.5384615384615383</v>
      </c>
    </row>
    <row r="201" spans="1:7" x14ac:dyDescent="0.2">
      <c r="A201" s="16" t="s">
        <v>194</v>
      </c>
      <c r="B201">
        <v>162</v>
      </c>
      <c r="C201">
        <v>12</v>
      </c>
      <c r="D201">
        <v>3075.9166666666665</v>
      </c>
      <c r="E201">
        <v>1858.4502565472681</v>
      </c>
      <c r="F201">
        <v>25100</v>
      </c>
      <c r="G201">
        <v>6</v>
      </c>
    </row>
    <row r="202" spans="1:7" x14ac:dyDescent="0.2">
      <c r="A202" s="16" t="s">
        <v>923</v>
      </c>
      <c r="B202">
        <v>198</v>
      </c>
      <c r="C202">
        <v>14</v>
      </c>
      <c r="D202">
        <v>2054.3571428571427</v>
      </c>
      <c r="E202">
        <v>1490.1991403909674</v>
      </c>
      <c r="F202">
        <v>19515</v>
      </c>
      <c r="G202">
        <v>4.8571428571428568</v>
      </c>
    </row>
    <row r="203" spans="1:7" x14ac:dyDescent="0.2">
      <c r="A203" s="16" t="s">
        <v>444</v>
      </c>
      <c r="B203">
        <v>237</v>
      </c>
      <c r="C203">
        <v>19</v>
      </c>
      <c r="D203">
        <v>2458.6315789473683</v>
      </c>
      <c r="E203">
        <v>1960.6779782776478</v>
      </c>
      <c r="F203">
        <v>31624</v>
      </c>
      <c r="G203">
        <v>7.8947368421052628</v>
      </c>
    </row>
    <row r="204" spans="1:7" x14ac:dyDescent="0.2">
      <c r="A204" s="16" t="s">
        <v>128</v>
      </c>
      <c r="B204">
        <v>138</v>
      </c>
      <c r="C204">
        <v>9</v>
      </c>
      <c r="D204">
        <v>3514.8888888888887</v>
      </c>
      <c r="E204">
        <v>1812.5536850286978</v>
      </c>
      <c r="F204">
        <v>21155</v>
      </c>
      <c r="G204">
        <v>5.5555555555555554</v>
      </c>
    </row>
    <row r="205" spans="1:7" x14ac:dyDescent="0.2">
      <c r="A205" s="16" t="s">
        <v>1068</v>
      </c>
      <c r="B205">
        <v>177</v>
      </c>
      <c r="C205">
        <v>16</v>
      </c>
      <c r="D205">
        <v>1661.125</v>
      </c>
      <c r="E205">
        <v>1229.0539925758619</v>
      </c>
      <c r="F205">
        <v>16685</v>
      </c>
      <c r="G205">
        <v>5</v>
      </c>
    </row>
    <row r="206" spans="1:7" x14ac:dyDescent="0.2">
      <c r="A206" s="16" t="s">
        <v>207</v>
      </c>
      <c r="B206">
        <v>108</v>
      </c>
      <c r="C206">
        <v>12</v>
      </c>
      <c r="D206">
        <v>1456.0833333333333</v>
      </c>
      <c r="E206">
        <v>1042.6440566117849</v>
      </c>
      <c r="F206">
        <v>10463</v>
      </c>
      <c r="G206">
        <v>4.75</v>
      </c>
    </row>
    <row r="207" spans="1:7" x14ac:dyDescent="0.2">
      <c r="A207" s="16" t="s">
        <v>270</v>
      </c>
      <c r="B207">
        <v>215</v>
      </c>
      <c r="C207">
        <v>16</v>
      </c>
      <c r="D207">
        <v>2424.4375</v>
      </c>
      <c r="E207">
        <v>1376.2510414770506</v>
      </c>
      <c r="F207">
        <v>25477</v>
      </c>
      <c r="G207">
        <v>5</v>
      </c>
    </row>
    <row r="208" spans="1:7" x14ac:dyDescent="0.2">
      <c r="A208" s="16" t="s">
        <v>45</v>
      </c>
      <c r="B208">
        <v>95</v>
      </c>
      <c r="C208">
        <v>8</v>
      </c>
      <c r="D208">
        <v>1902</v>
      </c>
      <c r="E208">
        <v>899.93571198963184</v>
      </c>
      <c r="F208">
        <v>10121</v>
      </c>
      <c r="G208">
        <v>4.5</v>
      </c>
    </row>
    <row r="209" spans="1:7" x14ac:dyDescent="0.2">
      <c r="A209" s="16" t="s">
        <v>315</v>
      </c>
      <c r="B209">
        <v>203</v>
      </c>
      <c r="C209">
        <v>20</v>
      </c>
      <c r="D209">
        <v>1642.9</v>
      </c>
      <c r="E209">
        <v>1364.2274042571919</v>
      </c>
      <c r="F209">
        <v>22613</v>
      </c>
      <c r="G209">
        <v>4.3499999999999996</v>
      </c>
    </row>
    <row r="210" spans="1:7" x14ac:dyDescent="0.2">
      <c r="A210" s="16" t="s">
        <v>418</v>
      </c>
      <c r="B210">
        <v>164</v>
      </c>
      <c r="C210">
        <v>14</v>
      </c>
      <c r="D210">
        <v>1740.5714285714287</v>
      </c>
      <c r="E210">
        <v>1147.5077150258974</v>
      </c>
      <c r="F210">
        <v>15758</v>
      </c>
      <c r="G210">
        <v>4.5</v>
      </c>
    </row>
    <row r="211" spans="1:7" x14ac:dyDescent="0.2">
      <c r="A211" s="16" t="s">
        <v>321</v>
      </c>
      <c r="B211">
        <v>111</v>
      </c>
      <c r="C211">
        <v>13</v>
      </c>
      <c r="D211">
        <v>1549.3076923076924</v>
      </c>
      <c r="E211">
        <v>1106.9722508277089</v>
      </c>
      <c r="F211">
        <v>13831</v>
      </c>
      <c r="G211">
        <v>5.4615384615384617</v>
      </c>
    </row>
    <row r="212" spans="1:7" x14ac:dyDescent="0.2">
      <c r="A212" s="16" t="s">
        <v>879</v>
      </c>
      <c r="B212">
        <v>81</v>
      </c>
      <c r="C212">
        <v>8</v>
      </c>
      <c r="D212">
        <v>1625</v>
      </c>
      <c r="E212">
        <v>1645.5528814700201</v>
      </c>
      <c r="F212">
        <v>8650</v>
      </c>
      <c r="G212">
        <v>5.625</v>
      </c>
    </row>
    <row r="213" spans="1:7" x14ac:dyDescent="0.2">
      <c r="A213" s="16" t="s">
        <v>713</v>
      </c>
      <c r="B213">
        <v>178</v>
      </c>
      <c r="C213">
        <v>18</v>
      </c>
      <c r="D213">
        <v>1744.6111111111111</v>
      </c>
      <c r="E213">
        <v>1387.1342078030937</v>
      </c>
      <c r="F213">
        <v>21306</v>
      </c>
      <c r="G213">
        <v>6.166666666666667</v>
      </c>
    </row>
    <row r="214" spans="1:7" x14ac:dyDescent="0.2">
      <c r="A214" s="16" t="s">
        <v>741</v>
      </c>
      <c r="B214">
        <v>108</v>
      </c>
      <c r="C214">
        <v>13</v>
      </c>
      <c r="D214">
        <v>1740</v>
      </c>
      <c r="E214">
        <v>1738.263884838356</v>
      </c>
      <c r="F214">
        <v>15530</v>
      </c>
      <c r="G214">
        <v>6.3076923076923075</v>
      </c>
    </row>
    <row r="215" spans="1:7" x14ac:dyDescent="0.2">
      <c r="A215" s="16" t="s">
        <v>264</v>
      </c>
      <c r="B215">
        <v>216</v>
      </c>
      <c r="C215">
        <v>19</v>
      </c>
      <c r="D215">
        <v>1816.3157894736842</v>
      </c>
      <c r="E215">
        <v>1365.2814546064844</v>
      </c>
      <c r="F215">
        <v>21908</v>
      </c>
      <c r="G215">
        <v>5.6842105263157894</v>
      </c>
    </row>
    <row r="216" spans="1:7" x14ac:dyDescent="0.2">
      <c r="A216" s="16" t="s">
        <v>1702</v>
      </c>
      <c r="B216">
        <v>88</v>
      </c>
      <c r="C216">
        <v>8</v>
      </c>
      <c r="D216">
        <v>2138.75</v>
      </c>
      <c r="E216">
        <v>1365.2196840487927</v>
      </c>
      <c r="F216">
        <v>11689</v>
      </c>
      <c r="G216">
        <v>6.5</v>
      </c>
    </row>
    <row r="217" spans="1:7" x14ac:dyDescent="0.2">
      <c r="A217" s="16" t="s">
        <v>155</v>
      </c>
      <c r="B217">
        <v>134</v>
      </c>
      <c r="C217">
        <v>13</v>
      </c>
      <c r="D217">
        <v>2570.3846153846152</v>
      </c>
      <c r="E217">
        <v>1557.0427920934787</v>
      </c>
      <c r="F217">
        <v>23619</v>
      </c>
      <c r="G217">
        <v>5.2307692307692308</v>
      </c>
    </row>
    <row r="218" spans="1:7" x14ac:dyDescent="0.2">
      <c r="A218" s="16" t="s">
        <v>354</v>
      </c>
      <c r="B218">
        <v>220</v>
      </c>
      <c r="C218">
        <v>15</v>
      </c>
      <c r="D218">
        <v>2599.1999999999998</v>
      </c>
      <c r="E218">
        <v>2176.706397945562</v>
      </c>
      <c r="F218">
        <v>26699</v>
      </c>
      <c r="G218">
        <v>4.7333333333333334</v>
      </c>
    </row>
    <row r="219" spans="1:7" x14ac:dyDescent="0.2">
      <c r="A219" s="16" t="s">
        <v>1157</v>
      </c>
      <c r="B219">
        <v>206</v>
      </c>
      <c r="C219">
        <v>17</v>
      </c>
      <c r="D219">
        <v>2511</v>
      </c>
      <c r="E219">
        <v>1684.0451300366033</v>
      </c>
      <c r="F219">
        <v>27500</v>
      </c>
      <c r="G219">
        <v>5.1764705882352944</v>
      </c>
    </row>
    <row r="220" spans="1:7" x14ac:dyDescent="0.2">
      <c r="A220" s="16" t="s">
        <v>230</v>
      </c>
      <c r="B220">
        <v>249</v>
      </c>
      <c r="C220">
        <v>22</v>
      </c>
      <c r="D220">
        <v>1624.9545454545455</v>
      </c>
      <c r="E220">
        <v>1213.7381249391221</v>
      </c>
      <c r="F220">
        <v>24249</v>
      </c>
      <c r="G220">
        <v>5</v>
      </c>
    </row>
    <row r="221" spans="1:7" x14ac:dyDescent="0.2">
      <c r="A221" s="16" t="s">
        <v>1223</v>
      </c>
      <c r="B221">
        <v>129</v>
      </c>
      <c r="C221">
        <v>13</v>
      </c>
      <c r="D221">
        <v>1697.0769230769231</v>
      </c>
      <c r="E221">
        <v>1327.5632729138538</v>
      </c>
      <c r="F221">
        <v>13872</v>
      </c>
      <c r="G221">
        <v>4.4615384615384617</v>
      </c>
    </row>
    <row r="222" spans="1:7" x14ac:dyDescent="0.2">
      <c r="A222" s="16" t="s">
        <v>545</v>
      </c>
      <c r="B222">
        <v>142</v>
      </c>
      <c r="C222">
        <v>13</v>
      </c>
      <c r="D222">
        <v>1595.8461538461538</v>
      </c>
      <c r="E222">
        <v>1197.0093877488907</v>
      </c>
      <c r="F222">
        <v>12686</v>
      </c>
      <c r="G222">
        <v>5.5384615384615383</v>
      </c>
    </row>
    <row r="223" spans="1:7" x14ac:dyDescent="0.2">
      <c r="A223" s="16" t="s">
        <v>1432</v>
      </c>
      <c r="B223">
        <v>139</v>
      </c>
      <c r="C223">
        <v>14</v>
      </c>
      <c r="D223">
        <v>1816.0714285714287</v>
      </c>
      <c r="E223">
        <v>1571.8834593856218</v>
      </c>
      <c r="F223">
        <v>16586</v>
      </c>
      <c r="G223">
        <v>5.5714285714285712</v>
      </c>
    </row>
    <row r="224" spans="1:7" x14ac:dyDescent="0.2">
      <c r="A224" s="16" t="s">
        <v>1107</v>
      </c>
      <c r="B224">
        <v>124</v>
      </c>
      <c r="C224">
        <v>10</v>
      </c>
      <c r="D224">
        <v>2117.6999999999998</v>
      </c>
      <c r="E224">
        <v>979.72286897877404</v>
      </c>
      <c r="F224">
        <v>13700</v>
      </c>
      <c r="G224">
        <v>7.1</v>
      </c>
    </row>
    <row r="225" spans="1:7" x14ac:dyDescent="0.2">
      <c r="A225" s="16" t="s">
        <v>804</v>
      </c>
      <c r="B225">
        <v>81</v>
      </c>
      <c r="C225">
        <v>9</v>
      </c>
      <c r="D225">
        <v>1939.5555555555557</v>
      </c>
      <c r="E225">
        <v>1692.916057510761</v>
      </c>
      <c r="F225">
        <v>12520</v>
      </c>
      <c r="G225">
        <v>5.666666666666667</v>
      </c>
    </row>
    <row r="226" spans="1:7" x14ac:dyDescent="0.2">
      <c r="A226" s="16" t="s">
        <v>140</v>
      </c>
      <c r="B226">
        <v>132</v>
      </c>
      <c r="C226">
        <v>13</v>
      </c>
      <c r="D226">
        <v>2296.3846153846152</v>
      </c>
      <c r="E226">
        <v>2069.7013286326096</v>
      </c>
      <c r="F226">
        <v>21694</v>
      </c>
      <c r="G226">
        <v>5.5384615384615383</v>
      </c>
    </row>
    <row r="227" spans="1:7" x14ac:dyDescent="0.2">
      <c r="A227" s="16" t="s">
        <v>426</v>
      </c>
      <c r="B227">
        <v>189</v>
      </c>
      <c r="C227">
        <v>24</v>
      </c>
      <c r="D227">
        <v>1354.375</v>
      </c>
      <c r="E227">
        <v>982.23307304458478</v>
      </c>
      <c r="F227">
        <v>20819</v>
      </c>
      <c r="G227">
        <v>6</v>
      </c>
    </row>
    <row r="228" spans="1:7" x14ac:dyDescent="0.2">
      <c r="A228" s="16" t="s">
        <v>60</v>
      </c>
      <c r="B228">
        <v>118</v>
      </c>
      <c r="C228">
        <v>11</v>
      </c>
      <c r="D228">
        <v>2071.3636363636365</v>
      </c>
      <c r="E228">
        <v>1737.9146280946757</v>
      </c>
      <c r="F228">
        <v>15495</v>
      </c>
      <c r="G228">
        <v>3.5454545454545454</v>
      </c>
    </row>
    <row r="229" spans="1:7" x14ac:dyDescent="0.2">
      <c r="A229" s="16" t="s">
        <v>555</v>
      </c>
      <c r="B229">
        <v>199</v>
      </c>
      <c r="C229">
        <v>16</v>
      </c>
      <c r="D229">
        <v>1905.625</v>
      </c>
      <c r="E229">
        <v>1343.5541361131179</v>
      </c>
      <c r="F229">
        <v>18863</v>
      </c>
      <c r="G229">
        <v>5.625</v>
      </c>
    </row>
    <row r="230" spans="1:7" x14ac:dyDescent="0.2">
      <c r="A230" s="16" t="s">
        <v>123</v>
      </c>
      <c r="B230">
        <v>297</v>
      </c>
      <c r="C230">
        <v>26</v>
      </c>
      <c r="D230">
        <v>2331.0769230769229</v>
      </c>
      <c r="E230">
        <v>2143.7602090360188</v>
      </c>
      <c r="F230">
        <v>41036</v>
      </c>
      <c r="G230">
        <v>5.5384615384615383</v>
      </c>
    </row>
    <row r="231" spans="1:7" x14ac:dyDescent="0.2">
      <c r="A231" s="16" t="s">
        <v>629</v>
      </c>
      <c r="B231">
        <v>125</v>
      </c>
      <c r="C231">
        <v>12</v>
      </c>
      <c r="D231">
        <v>962.16666666666663</v>
      </c>
      <c r="E231">
        <v>628.33891163828764</v>
      </c>
      <c r="F231">
        <v>7132</v>
      </c>
      <c r="G231">
        <v>6.416666666666667</v>
      </c>
    </row>
    <row r="232" spans="1:7" x14ac:dyDescent="0.2">
      <c r="A232" s="16" t="s">
        <v>673</v>
      </c>
      <c r="B232">
        <v>123</v>
      </c>
      <c r="C232">
        <v>13</v>
      </c>
      <c r="D232">
        <v>1445.7692307692307</v>
      </c>
      <c r="E232">
        <v>856.96345253129607</v>
      </c>
      <c r="F232">
        <v>12723</v>
      </c>
      <c r="G232">
        <v>6.2307692307692308</v>
      </c>
    </row>
    <row r="233" spans="1:7" x14ac:dyDescent="0.2">
      <c r="A233" s="16" t="s">
        <v>111</v>
      </c>
      <c r="B233">
        <v>251</v>
      </c>
      <c r="C233">
        <v>24</v>
      </c>
      <c r="D233">
        <v>1597.5416666666667</v>
      </c>
      <c r="E233">
        <v>1615.1383028455616</v>
      </c>
      <c r="F233">
        <v>25662</v>
      </c>
      <c r="G233">
        <v>5.125</v>
      </c>
    </row>
    <row r="234" spans="1:7" x14ac:dyDescent="0.2">
      <c r="A234" s="16" t="s">
        <v>446</v>
      </c>
      <c r="B234">
        <v>129</v>
      </c>
      <c r="C234">
        <v>14</v>
      </c>
      <c r="D234">
        <v>1477.2142857142858</v>
      </c>
      <c r="E234">
        <v>845.45556027245129</v>
      </c>
      <c r="F234">
        <v>13277</v>
      </c>
      <c r="G234">
        <v>5.1428571428571432</v>
      </c>
    </row>
    <row r="235" spans="1:7" x14ac:dyDescent="0.2">
      <c r="A235" s="16" t="s">
        <v>1065</v>
      </c>
      <c r="B235">
        <v>136</v>
      </c>
      <c r="C235">
        <v>13</v>
      </c>
      <c r="D235">
        <v>1920.1538461538462</v>
      </c>
      <c r="E235">
        <v>1258.4508893976122</v>
      </c>
      <c r="F235">
        <v>17161</v>
      </c>
      <c r="G235">
        <v>4.8461538461538458</v>
      </c>
    </row>
    <row r="236" spans="1:7" x14ac:dyDescent="0.2">
      <c r="A236" s="16" t="s">
        <v>323</v>
      </c>
      <c r="B236">
        <v>104</v>
      </c>
      <c r="C236">
        <v>12</v>
      </c>
      <c r="D236">
        <v>1614.9166666666667</v>
      </c>
      <c r="E236">
        <v>1281.7330212953038</v>
      </c>
      <c r="F236">
        <v>14019</v>
      </c>
      <c r="G236">
        <v>5.25</v>
      </c>
    </row>
    <row r="237" spans="1:7" x14ac:dyDescent="0.2">
      <c r="A237" s="16" t="s">
        <v>307</v>
      </c>
      <c r="B237">
        <v>137</v>
      </c>
      <c r="C237">
        <v>13</v>
      </c>
      <c r="D237">
        <v>2048.9230769230771</v>
      </c>
      <c r="E237">
        <v>1930.1436242560837</v>
      </c>
      <c r="F237">
        <v>18538</v>
      </c>
      <c r="G237">
        <v>4.8461538461538458</v>
      </c>
    </row>
    <row r="238" spans="1:7" x14ac:dyDescent="0.2">
      <c r="A238" s="16" t="s">
        <v>552</v>
      </c>
      <c r="B238">
        <v>91</v>
      </c>
      <c r="C238">
        <v>11</v>
      </c>
      <c r="D238">
        <v>1303.909090909091</v>
      </c>
      <c r="E238">
        <v>969.59707657825106</v>
      </c>
      <c r="F238">
        <v>9398</v>
      </c>
      <c r="G238">
        <v>6.9090909090909092</v>
      </c>
    </row>
    <row r="239" spans="1:7" x14ac:dyDescent="0.2">
      <c r="A239" s="16" t="s">
        <v>564</v>
      </c>
      <c r="B239">
        <v>105</v>
      </c>
      <c r="C239">
        <v>10</v>
      </c>
      <c r="D239">
        <v>1455.1</v>
      </c>
      <c r="E239">
        <v>921.1603129869535</v>
      </c>
      <c r="F239">
        <v>8800</v>
      </c>
      <c r="G239">
        <v>5.6</v>
      </c>
    </row>
    <row r="240" spans="1:7" x14ac:dyDescent="0.2">
      <c r="A240" s="16" t="s">
        <v>228</v>
      </c>
      <c r="B240">
        <v>99</v>
      </c>
      <c r="C240">
        <v>10</v>
      </c>
      <c r="D240">
        <v>1457.1</v>
      </c>
      <c r="E240">
        <v>1066.0907247196803</v>
      </c>
      <c r="F240">
        <v>9223</v>
      </c>
      <c r="G240">
        <v>5.7</v>
      </c>
    </row>
    <row r="241" spans="1:7" x14ac:dyDescent="0.2">
      <c r="A241" s="16" t="s">
        <v>640</v>
      </c>
      <c r="B241">
        <v>147</v>
      </c>
      <c r="C241">
        <v>13</v>
      </c>
      <c r="D241">
        <v>2499.3846153846152</v>
      </c>
      <c r="E241">
        <v>1701.4555797150831</v>
      </c>
      <c r="F241">
        <v>22416</v>
      </c>
      <c r="G241">
        <v>4.8461538461538458</v>
      </c>
    </row>
    <row r="242" spans="1:7" x14ac:dyDescent="0.2">
      <c r="A242" s="16" t="s">
        <v>477</v>
      </c>
      <c r="B242">
        <v>94</v>
      </c>
      <c r="C242">
        <v>11</v>
      </c>
      <c r="D242">
        <v>1582.3636363636363</v>
      </c>
      <c r="E242">
        <v>1546.9879943119968</v>
      </c>
      <c r="F242">
        <v>12036</v>
      </c>
      <c r="G242">
        <v>4.7272727272727275</v>
      </c>
    </row>
    <row r="243" spans="1:7" x14ac:dyDescent="0.2">
      <c r="A243" s="16" t="s">
        <v>335</v>
      </c>
      <c r="B243">
        <v>138</v>
      </c>
      <c r="C243">
        <v>13</v>
      </c>
      <c r="D243">
        <v>2226.4615384615386</v>
      </c>
      <c r="E243">
        <v>1978.3375434686154</v>
      </c>
      <c r="F243">
        <v>19865</v>
      </c>
      <c r="G243">
        <v>6.9230769230769234</v>
      </c>
    </row>
    <row r="244" spans="1:7" x14ac:dyDescent="0.2">
      <c r="A244" s="16" t="s">
        <v>421</v>
      </c>
      <c r="B244">
        <v>93</v>
      </c>
      <c r="C244">
        <v>11</v>
      </c>
      <c r="D244">
        <v>1244.3636363636363</v>
      </c>
      <c r="E244">
        <v>1079.3162903178359</v>
      </c>
      <c r="F244">
        <v>9166</v>
      </c>
      <c r="G244">
        <v>4.3636363636363633</v>
      </c>
    </row>
    <row r="245" spans="1:7" x14ac:dyDescent="0.2">
      <c r="A245" s="16" t="s">
        <v>548</v>
      </c>
      <c r="B245">
        <v>139</v>
      </c>
      <c r="C245">
        <v>11</v>
      </c>
      <c r="D245">
        <v>2186.5454545454545</v>
      </c>
      <c r="E245">
        <v>1700.9722727685107</v>
      </c>
      <c r="F245">
        <v>16051</v>
      </c>
      <c r="G245">
        <v>5.5454545454545459</v>
      </c>
    </row>
    <row r="246" spans="1:7" x14ac:dyDescent="0.2">
      <c r="A246" s="16" t="s">
        <v>179</v>
      </c>
      <c r="B246">
        <v>131</v>
      </c>
      <c r="C246">
        <v>13</v>
      </c>
      <c r="D246">
        <v>1766.8461538461538</v>
      </c>
      <c r="E246">
        <v>1443.8909149790279</v>
      </c>
      <c r="F246">
        <v>15250</v>
      </c>
      <c r="G246">
        <v>5.8461538461538458</v>
      </c>
    </row>
    <row r="247" spans="1:7" x14ac:dyDescent="0.2">
      <c r="A247" s="16" t="s">
        <v>52</v>
      </c>
      <c r="B247">
        <v>125</v>
      </c>
      <c r="C247">
        <v>17</v>
      </c>
      <c r="D247">
        <v>895.64705882352939</v>
      </c>
      <c r="E247">
        <v>823.99005919189267</v>
      </c>
      <c r="F247">
        <v>10462</v>
      </c>
      <c r="G247">
        <v>6.2352941176470589</v>
      </c>
    </row>
    <row r="248" spans="1:7" x14ac:dyDescent="0.2">
      <c r="A248" s="16" t="s">
        <v>504</v>
      </c>
      <c r="B248">
        <v>142</v>
      </c>
      <c r="C248">
        <v>14</v>
      </c>
      <c r="D248">
        <v>1473.9285714285713</v>
      </c>
      <c r="E248">
        <v>790.80469866369117</v>
      </c>
      <c r="F248">
        <v>12885</v>
      </c>
      <c r="G248">
        <v>7.8571428571428568</v>
      </c>
    </row>
    <row r="249" spans="1:7" x14ac:dyDescent="0.2">
      <c r="A249" s="16" t="s">
        <v>236</v>
      </c>
      <c r="B249">
        <v>252</v>
      </c>
      <c r="C249">
        <v>29</v>
      </c>
      <c r="D249">
        <v>1457.655172413793</v>
      </c>
      <c r="E249">
        <v>1284.300150606271</v>
      </c>
      <c r="F249">
        <v>28066</v>
      </c>
      <c r="G249">
        <v>6.3103448275862073</v>
      </c>
    </row>
    <row r="250" spans="1:7" x14ac:dyDescent="0.2">
      <c r="A250" s="16" t="s">
        <v>253</v>
      </c>
      <c r="B250">
        <v>179</v>
      </c>
      <c r="C250">
        <v>16</v>
      </c>
      <c r="D250">
        <v>1455.25</v>
      </c>
      <c r="E250">
        <v>1292.549238262641</v>
      </c>
      <c r="F250">
        <v>15064</v>
      </c>
      <c r="G250">
        <v>6.125</v>
      </c>
    </row>
    <row r="251" spans="1:7" x14ac:dyDescent="0.2">
      <c r="A251" s="16" t="s">
        <v>378</v>
      </c>
      <c r="B251">
        <v>157</v>
      </c>
      <c r="C251">
        <v>17</v>
      </c>
      <c r="D251">
        <v>1910.1176470588234</v>
      </c>
      <c r="E251">
        <v>1841.994736771557</v>
      </c>
      <c r="F251">
        <v>22340</v>
      </c>
      <c r="G251">
        <v>4.7058823529411766</v>
      </c>
    </row>
    <row r="252" spans="1:7" x14ac:dyDescent="0.2">
      <c r="A252" s="16" t="s">
        <v>455</v>
      </c>
      <c r="B252">
        <v>172</v>
      </c>
      <c r="C252">
        <v>14</v>
      </c>
      <c r="D252">
        <v>1861.5714285714287</v>
      </c>
      <c r="E252">
        <v>1136.974779118538</v>
      </c>
      <c r="F252">
        <v>17755</v>
      </c>
      <c r="G252">
        <v>4.2857142857142856</v>
      </c>
    </row>
    <row r="253" spans="1:7" x14ac:dyDescent="0.2">
      <c r="A253" s="16" t="s">
        <v>181</v>
      </c>
      <c r="B253">
        <v>138</v>
      </c>
      <c r="C253">
        <v>14</v>
      </c>
      <c r="D253">
        <v>1601.8571428571429</v>
      </c>
      <c r="E253">
        <v>1730.470716625653</v>
      </c>
      <c r="F253">
        <v>14324</v>
      </c>
      <c r="G253">
        <v>5</v>
      </c>
    </row>
    <row r="254" spans="1:7" x14ac:dyDescent="0.2">
      <c r="A254" s="16" t="s">
        <v>720</v>
      </c>
      <c r="B254">
        <v>149</v>
      </c>
      <c r="C254">
        <v>14</v>
      </c>
      <c r="D254">
        <v>1808</v>
      </c>
      <c r="E254">
        <v>1719.0224413445433</v>
      </c>
      <c r="F254">
        <v>16895</v>
      </c>
      <c r="G254">
        <v>5.2142857142857144</v>
      </c>
    </row>
    <row r="255" spans="1:7" x14ac:dyDescent="0.2">
      <c r="A255" s="16" t="s">
        <v>733</v>
      </c>
      <c r="B255">
        <v>118</v>
      </c>
      <c r="C255">
        <v>9</v>
      </c>
      <c r="D255">
        <v>2352.6666666666665</v>
      </c>
      <c r="E255">
        <v>1782.9483307151668</v>
      </c>
      <c r="F255">
        <v>15632</v>
      </c>
      <c r="G255">
        <v>4.7777777777777777</v>
      </c>
    </row>
    <row r="256" spans="1:7" x14ac:dyDescent="0.2">
      <c r="A256" s="16" t="s">
        <v>603</v>
      </c>
      <c r="B256">
        <v>149</v>
      </c>
      <c r="C256">
        <v>14</v>
      </c>
      <c r="D256">
        <v>2059.7142857142858</v>
      </c>
      <c r="E256">
        <v>1226.7896458500272</v>
      </c>
      <c r="F256">
        <v>17049</v>
      </c>
      <c r="G256">
        <v>4.9285714285714288</v>
      </c>
    </row>
    <row r="257" spans="1:7" x14ac:dyDescent="0.2">
      <c r="A257" s="16" t="s">
        <v>89</v>
      </c>
      <c r="B257">
        <v>161</v>
      </c>
      <c r="C257">
        <v>17</v>
      </c>
      <c r="D257">
        <v>1237.1176470588234</v>
      </c>
      <c r="E257">
        <v>1413.9572961352537</v>
      </c>
      <c r="F257">
        <v>13477</v>
      </c>
      <c r="G257">
        <v>6.8235294117647056</v>
      </c>
    </row>
    <row r="258" spans="1:7" x14ac:dyDescent="0.2">
      <c r="A258" s="16" t="s">
        <v>1138</v>
      </c>
      <c r="B258">
        <v>80</v>
      </c>
      <c r="C258">
        <v>8</v>
      </c>
      <c r="D258">
        <v>1803</v>
      </c>
      <c r="E258">
        <v>1571.2861883547141</v>
      </c>
      <c r="F258">
        <v>10092</v>
      </c>
      <c r="G258">
        <v>5.25</v>
      </c>
    </row>
    <row r="259" spans="1:7" x14ac:dyDescent="0.2">
      <c r="A259" s="16" t="s">
        <v>729</v>
      </c>
      <c r="B259">
        <v>151</v>
      </c>
      <c r="C259">
        <v>12</v>
      </c>
      <c r="D259">
        <v>1971.25</v>
      </c>
      <c r="E259">
        <v>1352.2411783943924</v>
      </c>
      <c r="F259">
        <v>16427</v>
      </c>
      <c r="G259">
        <v>6.833333333333333</v>
      </c>
    </row>
    <row r="260" spans="1:7" x14ac:dyDescent="0.2">
      <c r="A260" s="16" t="s">
        <v>488</v>
      </c>
      <c r="B260">
        <v>166</v>
      </c>
      <c r="C260">
        <v>16</v>
      </c>
      <c r="D260">
        <v>1657.9375</v>
      </c>
      <c r="E260">
        <v>1281.3969704324002</v>
      </c>
      <c r="F260">
        <v>17075</v>
      </c>
      <c r="G260">
        <v>5.75</v>
      </c>
    </row>
    <row r="261" spans="1:7" x14ac:dyDescent="0.2">
      <c r="A261" s="16" t="s">
        <v>912</v>
      </c>
      <c r="B261">
        <v>109</v>
      </c>
      <c r="C261">
        <v>11</v>
      </c>
      <c r="D261">
        <v>1439.3636363636363</v>
      </c>
      <c r="E261">
        <v>1326.5000770996792</v>
      </c>
      <c r="F261">
        <v>10227</v>
      </c>
      <c r="G261">
        <v>4.8181818181818183</v>
      </c>
    </row>
    <row r="262" spans="1:7" x14ac:dyDescent="0.2">
      <c r="A262" s="16" t="s">
        <v>363</v>
      </c>
      <c r="B262">
        <v>240</v>
      </c>
      <c r="C262">
        <v>28</v>
      </c>
      <c r="D262">
        <v>1769.8571428571429</v>
      </c>
      <c r="E262">
        <v>1662.2657387564077</v>
      </c>
      <c r="F262">
        <v>34109</v>
      </c>
      <c r="G262">
        <v>6.25</v>
      </c>
    </row>
    <row r="263" spans="1:7" x14ac:dyDescent="0.2">
      <c r="A263" s="16" t="s">
        <v>490</v>
      </c>
      <c r="B263">
        <v>106</v>
      </c>
      <c r="C263">
        <v>10</v>
      </c>
      <c r="D263">
        <v>1732.8</v>
      </c>
      <c r="E263">
        <v>1310.9179820093841</v>
      </c>
      <c r="F263">
        <v>10854</v>
      </c>
      <c r="G263">
        <v>7</v>
      </c>
    </row>
    <row r="264" spans="1:7" x14ac:dyDescent="0.2">
      <c r="A264" s="16" t="s">
        <v>380</v>
      </c>
      <c r="B264">
        <v>78</v>
      </c>
      <c r="C264">
        <v>9</v>
      </c>
      <c r="D264">
        <v>1211.7777777777778</v>
      </c>
      <c r="E264">
        <v>954.94682807182755</v>
      </c>
      <c r="F264">
        <v>6429</v>
      </c>
      <c r="G264">
        <v>5.1111111111111107</v>
      </c>
    </row>
    <row r="265" spans="1:7" x14ac:dyDescent="0.2">
      <c r="A265" s="16" t="s">
        <v>413</v>
      </c>
      <c r="B265">
        <v>128</v>
      </c>
      <c r="C265">
        <v>13</v>
      </c>
      <c r="D265">
        <v>2182.3076923076924</v>
      </c>
      <c r="E265">
        <v>1701.0581209262753</v>
      </c>
      <c r="F265">
        <v>19292</v>
      </c>
      <c r="G265">
        <v>4.5384615384615383</v>
      </c>
    </row>
    <row r="266" spans="1:7" x14ac:dyDescent="0.2">
      <c r="A266" s="16" t="s">
        <v>176</v>
      </c>
      <c r="B266">
        <v>134</v>
      </c>
      <c r="C266">
        <v>16</v>
      </c>
      <c r="D266">
        <v>1167.25</v>
      </c>
      <c r="E266">
        <v>944.00024717510894</v>
      </c>
      <c r="F266">
        <v>11426</v>
      </c>
      <c r="G266">
        <v>4.6875</v>
      </c>
    </row>
    <row r="267" spans="1:7" x14ac:dyDescent="0.2">
      <c r="A267" s="16" t="s">
        <v>882</v>
      </c>
      <c r="B267">
        <v>206</v>
      </c>
      <c r="C267">
        <v>17</v>
      </c>
      <c r="D267">
        <v>1592.5294117647059</v>
      </c>
      <c r="E267">
        <v>1745.526858775276</v>
      </c>
      <c r="F267">
        <v>17055</v>
      </c>
      <c r="G267">
        <v>6.5882352941176467</v>
      </c>
    </row>
    <row r="268" spans="1:7" x14ac:dyDescent="0.2">
      <c r="A268" s="16" t="s">
        <v>817</v>
      </c>
      <c r="B268">
        <v>28</v>
      </c>
      <c r="C268">
        <v>4</v>
      </c>
      <c r="D268">
        <v>1030.5</v>
      </c>
      <c r="E268">
        <v>604.74374738396432</v>
      </c>
      <c r="F268">
        <v>2907</v>
      </c>
      <c r="G268">
        <v>4</v>
      </c>
    </row>
    <row r="269" spans="1:7" x14ac:dyDescent="0.2">
      <c r="A269" s="16" t="s">
        <v>1573</v>
      </c>
      <c r="B269">
        <v>85</v>
      </c>
      <c r="C269">
        <v>8</v>
      </c>
      <c r="D269">
        <v>1657.875</v>
      </c>
      <c r="E269">
        <v>1293.4505830198098</v>
      </c>
      <c r="F269">
        <v>8102</v>
      </c>
      <c r="G269">
        <v>4</v>
      </c>
    </row>
    <row r="270" spans="1:7" x14ac:dyDescent="0.2">
      <c r="A270" s="16" t="s">
        <v>411</v>
      </c>
      <c r="B270">
        <v>159</v>
      </c>
      <c r="C270">
        <v>16</v>
      </c>
      <c r="D270">
        <v>1994.875</v>
      </c>
      <c r="E270">
        <v>1571.7910325485382</v>
      </c>
      <c r="F270">
        <v>20354</v>
      </c>
      <c r="G270">
        <v>6.4375</v>
      </c>
    </row>
    <row r="271" spans="1:7" x14ac:dyDescent="0.2">
      <c r="A271" s="16" t="s">
        <v>366</v>
      </c>
      <c r="B271">
        <v>126</v>
      </c>
      <c r="C271">
        <v>15</v>
      </c>
      <c r="D271">
        <v>1449.5333333333333</v>
      </c>
      <c r="E271">
        <v>1485.7048768017089</v>
      </c>
      <c r="F271">
        <v>13569</v>
      </c>
      <c r="G271">
        <v>6.2</v>
      </c>
    </row>
    <row r="272" spans="1:7" x14ac:dyDescent="0.2">
      <c r="A272" s="16" t="s">
        <v>1259</v>
      </c>
      <c r="B272">
        <v>144</v>
      </c>
      <c r="C272">
        <v>11</v>
      </c>
      <c r="D272">
        <v>2635.818181818182</v>
      </c>
      <c r="E272">
        <v>2150.8574019763291</v>
      </c>
      <c r="F272">
        <v>19585</v>
      </c>
      <c r="G272">
        <v>6.4545454545454541</v>
      </c>
    </row>
    <row r="273" spans="1:7" x14ac:dyDescent="0.2">
      <c r="A273" s="16" t="s">
        <v>116</v>
      </c>
      <c r="B273">
        <v>216</v>
      </c>
      <c r="C273">
        <v>19</v>
      </c>
      <c r="D273">
        <v>1931.8947368421052</v>
      </c>
      <c r="E273">
        <v>1661.2916291828424</v>
      </c>
      <c r="F273">
        <v>24619</v>
      </c>
      <c r="G273">
        <v>4.3157894736842106</v>
      </c>
    </row>
    <row r="274" spans="1:7" x14ac:dyDescent="0.2">
      <c r="A274" s="16" t="s">
        <v>223</v>
      </c>
      <c r="B274">
        <v>98</v>
      </c>
      <c r="C274">
        <v>10</v>
      </c>
      <c r="D274">
        <v>1556</v>
      </c>
      <c r="E274">
        <v>1184.0521760275412</v>
      </c>
      <c r="F274">
        <v>9691</v>
      </c>
      <c r="G274">
        <v>7.2</v>
      </c>
    </row>
    <row r="275" spans="1:7" x14ac:dyDescent="0.2">
      <c r="A275" s="16" t="s">
        <v>96</v>
      </c>
      <c r="B275">
        <v>157</v>
      </c>
      <c r="C275">
        <v>16</v>
      </c>
      <c r="D275">
        <v>1883.1875</v>
      </c>
      <c r="E275">
        <v>1580.7560730549164</v>
      </c>
      <c r="F275">
        <v>20454</v>
      </c>
      <c r="G275">
        <v>5.875</v>
      </c>
    </row>
    <row r="276" spans="1:7" x14ac:dyDescent="0.2">
      <c r="A276" s="16" t="s">
        <v>63</v>
      </c>
      <c r="B276">
        <v>111</v>
      </c>
      <c r="C276">
        <v>9</v>
      </c>
      <c r="D276">
        <v>2605.5555555555557</v>
      </c>
      <c r="E276">
        <v>1766.1819775373594</v>
      </c>
      <c r="F276">
        <v>16189</v>
      </c>
      <c r="G276">
        <v>5.333333333333333</v>
      </c>
    </row>
    <row r="277" spans="1:7" x14ac:dyDescent="0.2">
      <c r="A277" s="16" t="s">
        <v>121</v>
      </c>
      <c r="B277">
        <v>88</v>
      </c>
      <c r="C277">
        <v>11</v>
      </c>
      <c r="D277">
        <v>1377.6363636363637</v>
      </c>
      <c r="E277">
        <v>1239.5518765043498</v>
      </c>
      <c r="F277">
        <v>9459</v>
      </c>
      <c r="G277">
        <v>4.2727272727272725</v>
      </c>
    </row>
    <row r="278" spans="1:7" x14ac:dyDescent="0.2">
      <c r="A278" s="16" t="s">
        <v>609</v>
      </c>
      <c r="B278">
        <v>107</v>
      </c>
      <c r="C278">
        <v>11</v>
      </c>
      <c r="D278">
        <v>1686.4545454545455</v>
      </c>
      <c r="E278">
        <v>1867.5898566674837</v>
      </c>
      <c r="F278">
        <v>12948</v>
      </c>
      <c r="G278">
        <v>4.7272727272727275</v>
      </c>
    </row>
    <row r="279" spans="1:7" x14ac:dyDescent="0.2">
      <c r="A279" s="16" t="s">
        <v>126</v>
      </c>
      <c r="B279">
        <v>148</v>
      </c>
      <c r="C279">
        <v>12</v>
      </c>
      <c r="D279">
        <v>2558.1666666666665</v>
      </c>
      <c r="E279">
        <v>2363.8511271895177</v>
      </c>
      <c r="F279">
        <v>21257</v>
      </c>
      <c r="G279">
        <v>5.666666666666667</v>
      </c>
    </row>
    <row r="280" spans="1:7" x14ac:dyDescent="0.2">
      <c r="A280" s="16" t="s">
        <v>146</v>
      </c>
      <c r="B280">
        <v>149</v>
      </c>
      <c r="C280">
        <v>12</v>
      </c>
      <c r="D280">
        <v>2455.1666666666665</v>
      </c>
      <c r="E280">
        <v>2252.2746818326232</v>
      </c>
      <c r="F280">
        <v>20544</v>
      </c>
      <c r="G280">
        <v>4.833333333333333</v>
      </c>
    </row>
    <row r="281" spans="1:7" x14ac:dyDescent="0.2">
      <c r="A281" s="16" t="s">
        <v>338</v>
      </c>
      <c r="B281">
        <v>140</v>
      </c>
      <c r="C281">
        <v>14</v>
      </c>
      <c r="D281">
        <v>2055.4285714285716</v>
      </c>
      <c r="E281">
        <v>1454.5655822158838</v>
      </c>
      <c r="F281">
        <v>20238</v>
      </c>
      <c r="G281">
        <v>5.2142857142857144</v>
      </c>
    </row>
    <row r="282" spans="1:7" x14ac:dyDescent="0.2">
      <c r="A282" s="16" t="s">
        <v>118</v>
      </c>
      <c r="B282">
        <v>86</v>
      </c>
      <c r="C282">
        <v>9</v>
      </c>
      <c r="D282">
        <v>1635.1111111111111</v>
      </c>
      <c r="E282">
        <v>1537.539547820189</v>
      </c>
      <c r="F282">
        <v>9437</v>
      </c>
      <c r="G282">
        <v>5.7777777777777777</v>
      </c>
    </row>
    <row r="283" spans="1:7" x14ac:dyDescent="0.2">
      <c r="A283" s="16" t="s">
        <v>438</v>
      </c>
      <c r="B283">
        <v>115</v>
      </c>
      <c r="C283">
        <v>11</v>
      </c>
      <c r="D283">
        <v>1772.5454545454545</v>
      </c>
      <c r="E283">
        <v>1017.6078187235358</v>
      </c>
      <c r="F283">
        <v>11964</v>
      </c>
      <c r="G283">
        <v>5.6363636363636367</v>
      </c>
    </row>
    <row r="284" spans="1:7" x14ac:dyDescent="0.2">
      <c r="A284" s="16" t="s">
        <v>79</v>
      </c>
      <c r="B284">
        <v>301</v>
      </c>
      <c r="C284">
        <v>24</v>
      </c>
      <c r="D284">
        <v>1890.0416666666667</v>
      </c>
      <c r="E284">
        <v>1115.9478123673775</v>
      </c>
      <c r="F284">
        <v>30895</v>
      </c>
      <c r="G284">
        <v>5.958333333333333</v>
      </c>
    </row>
    <row r="285" spans="1:7" x14ac:dyDescent="0.2">
      <c r="A285" s="16" t="s">
        <v>1126</v>
      </c>
      <c r="B285">
        <v>87</v>
      </c>
      <c r="C285">
        <v>10</v>
      </c>
      <c r="D285">
        <v>1581.2</v>
      </c>
      <c r="E285">
        <v>1290.3231119891379</v>
      </c>
      <c r="F285">
        <v>11447</v>
      </c>
      <c r="G285">
        <v>6</v>
      </c>
    </row>
    <row r="286" spans="1:7" x14ac:dyDescent="0.2">
      <c r="A286" s="16" t="s">
        <v>359</v>
      </c>
      <c r="B286">
        <v>107</v>
      </c>
      <c r="C286">
        <v>10</v>
      </c>
      <c r="D286">
        <v>2238.3000000000002</v>
      </c>
      <c r="E286">
        <v>2182.481261215215</v>
      </c>
      <c r="F286">
        <v>15206</v>
      </c>
      <c r="G286">
        <v>4.7</v>
      </c>
    </row>
    <row r="287" spans="1:7" x14ac:dyDescent="0.2">
      <c r="A287" s="16" t="s">
        <v>143</v>
      </c>
      <c r="B287">
        <v>157</v>
      </c>
      <c r="C287">
        <v>15</v>
      </c>
      <c r="D287">
        <v>2044.2</v>
      </c>
      <c r="E287">
        <v>1633.403641829801</v>
      </c>
      <c r="F287">
        <v>20912</v>
      </c>
      <c r="G287">
        <v>5.333333333333333</v>
      </c>
    </row>
    <row r="288" spans="1:7" x14ac:dyDescent="0.2">
      <c r="A288" s="16" t="s">
        <v>341</v>
      </c>
      <c r="B288">
        <v>114</v>
      </c>
      <c r="C288">
        <v>15</v>
      </c>
      <c r="D288">
        <v>1969.9333333333334</v>
      </c>
      <c r="E288">
        <v>1750.4425753288249</v>
      </c>
      <c r="F288">
        <v>20803</v>
      </c>
      <c r="G288">
        <v>5.8</v>
      </c>
    </row>
    <row r="289" spans="1:7" x14ac:dyDescent="0.2">
      <c r="A289" s="16" t="s">
        <v>361</v>
      </c>
      <c r="B289">
        <v>229</v>
      </c>
      <c r="C289">
        <v>18</v>
      </c>
      <c r="D289">
        <v>2051.0555555555557</v>
      </c>
      <c r="E289">
        <v>1649.4568258252284</v>
      </c>
      <c r="F289">
        <v>24501</v>
      </c>
      <c r="G289">
        <v>5.9444444444444446</v>
      </c>
    </row>
    <row r="290" spans="1:7" x14ac:dyDescent="0.2">
      <c r="A290" s="16" t="s">
        <v>469</v>
      </c>
      <c r="B290">
        <v>190</v>
      </c>
      <c r="C290">
        <v>16</v>
      </c>
      <c r="D290">
        <v>2376.8125</v>
      </c>
      <c r="E290">
        <v>2387.1399126360398</v>
      </c>
      <c r="F290">
        <v>26746</v>
      </c>
      <c r="G290">
        <v>6.0625</v>
      </c>
    </row>
    <row r="291" spans="1:7" x14ac:dyDescent="0.2">
      <c r="A291" s="16" t="s">
        <v>234</v>
      </c>
      <c r="B291">
        <v>170</v>
      </c>
      <c r="C291">
        <v>17</v>
      </c>
      <c r="D291">
        <v>1452.7647058823529</v>
      </c>
      <c r="E291">
        <v>1214.7601373013811</v>
      </c>
      <c r="F291">
        <v>15499</v>
      </c>
      <c r="G291">
        <v>6.0588235294117645</v>
      </c>
    </row>
    <row r="292" spans="1:7" x14ac:dyDescent="0.2">
      <c r="A292" s="16" t="s">
        <v>108</v>
      </c>
      <c r="B292">
        <v>104</v>
      </c>
      <c r="C292">
        <v>13</v>
      </c>
      <c r="D292">
        <v>1290</v>
      </c>
      <c r="E292">
        <v>1565.4953955005212</v>
      </c>
      <c r="F292">
        <v>11219</v>
      </c>
      <c r="G292">
        <v>6.3076923076923075</v>
      </c>
    </row>
    <row r="293" spans="1:7" x14ac:dyDescent="0.2">
      <c r="A293" s="16" t="s">
        <v>279</v>
      </c>
      <c r="B293">
        <v>188</v>
      </c>
      <c r="C293">
        <v>16</v>
      </c>
      <c r="D293">
        <v>2029.625</v>
      </c>
      <c r="E293">
        <v>1949.4955202137123</v>
      </c>
      <c r="F293">
        <v>22591</v>
      </c>
      <c r="G293">
        <v>4.3125</v>
      </c>
    </row>
    <row r="294" spans="1:7" x14ac:dyDescent="0.2">
      <c r="A294" s="16" t="s">
        <v>495</v>
      </c>
      <c r="B294">
        <v>131</v>
      </c>
      <c r="C294">
        <v>11</v>
      </c>
      <c r="D294">
        <v>2336.6363636363635</v>
      </c>
      <c r="E294">
        <v>1424.2370780686249</v>
      </c>
      <c r="F294">
        <v>16651</v>
      </c>
      <c r="G294">
        <v>6.4545454545454541</v>
      </c>
    </row>
    <row r="295" spans="1:7" x14ac:dyDescent="0.2">
      <c r="A295" s="16" t="s">
        <v>1051</v>
      </c>
      <c r="B295">
        <v>98</v>
      </c>
      <c r="C295">
        <v>7</v>
      </c>
      <c r="D295">
        <v>2930.2857142857142</v>
      </c>
      <c r="E295">
        <v>2209.4775939337419</v>
      </c>
      <c r="F295">
        <v>13652</v>
      </c>
      <c r="G295">
        <v>4.4285714285714288</v>
      </c>
    </row>
    <row r="296" spans="1:7" x14ac:dyDescent="0.2">
      <c r="A296" s="16" t="s">
        <v>557</v>
      </c>
      <c r="B296">
        <v>152</v>
      </c>
      <c r="C296">
        <v>14</v>
      </c>
      <c r="D296">
        <v>1514.2142857142858</v>
      </c>
      <c r="E296">
        <v>1379.7832147769518</v>
      </c>
      <c r="F296">
        <v>13733</v>
      </c>
      <c r="G296">
        <v>6.1428571428571432</v>
      </c>
    </row>
    <row r="297" spans="1:7" x14ac:dyDescent="0.2">
      <c r="A297" s="16" t="s">
        <v>67</v>
      </c>
      <c r="B297">
        <v>216</v>
      </c>
      <c r="C297">
        <v>25</v>
      </c>
      <c r="D297">
        <v>2061.64</v>
      </c>
      <c r="E297">
        <v>1856.4229914901759</v>
      </c>
      <c r="F297">
        <v>36343</v>
      </c>
      <c r="G297">
        <v>5.36</v>
      </c>
    </row>
    <row r="298" spans="1:7" x14ac:dyDescent="0.2">
      <c r="A298" s="16" t="s">
        <v>4102</v>
      </c>
    </row>
    <row r="299" spans="1:7" x14ac:dyDescent="0.2">
      <c r="A299" s="16" t="s">
        <v>4103</v>
      </c>
      <c r="B299">
        <v>41993</v>
      </c>
      <c r="C299">
        <v>4001</v>
      </c>
      <c r="D299">
        <v>1815.2899275181205</v>
      </c>
      <c r="E299">
        <v>1516.2755138565747</v>
      </c>
      <c r="F299">
        <v>4844292</v>
      </c>
      <c r="G299">
        <v>5.5413646588352909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03"/>
  <sheetViews>
    <sheetView topLeftCell="A3974" workbookViewId="0">
      <selection activeCell="B3" sqref="B3"/>
    </sheetView>
  </sheetViews>
  <sheetFormatPr baseColWidth="10" defaultColWidth="8.83203125" defaultRowHeight="15" x14ac:dyDescent="0.2"/>
  <cols>
    <col min="1" max="1" width="10.83203125" bestFit="1" customWidth="1"/>
    <col min="13" max="13" width="13.5" customWidth="1"/>
    <col min="14" max="14" width="21.83203125" style="11" bestFit="1" customWidth="1"/>
  </cols>
  <sheetData>
    <row r="1" spans="1:14" ht="32" x14ac:dyDescent="0.2">
      <c r="A1" s="1" t="s">
        <v>3</v>
      </c>
      <c r="B1" s="1" t="s">
        <v>5</v>
      </c>
      <c r="C1" s="1" t="s">
        <v>7</v>
      </c>
      <c r="D1" s="1" t="s">
        <v>9</v>
      </c>
      <c r="E1" s="1" t="s">
        <v>11</v>
      </c>
      <c r="F1" s="1" t="s">
        <v>13</v>
      </c>
      <c r="G1" s="1" t="s">
        <v>15</v>
      </c>
      <c r="H1" s="2" t="s">
        <v>17</v>
      </c>
      <c r="I1" s="2" t="s">
        <v>19</v>
      </c>
      <c r="J1" s="1" t="s">
        <v>21</v>
      </c>
      <c r="K1" s="1" t="s">
        <v>23</v>
      </c>
      <c r="L1" s="1" t="s">
        <v>25</v>
      </c>
      <c r="M1" s="1" t="s">
        <v>27</v>
      </c>
      <c r="N1" s="11" t="s">
        <v>29</v>
      </c>
    </row>
    <row r="2" spans="1:14" ht="16" x14ac:dyDescent="0.2">
      <c r="A2" s="3">
        <v>45554.630495183897</v>
      </c>
      <c r="B2" s="1" t="s">
        <v>30</v>
      </c>
      <c r="C2" t="s">
        <v>31</v>
      </c>
      <c r="D2">
        <v>15</v>
      </c>
      <c r="E2">
        <v>280</v>
      </c>
      <c r="F2">
        <v>70</v>
      </c>
      <c r="G2">
        <v>4200</v>
      </c>
      <c r="H2" s="4">
        <v>1050</v>
      </c>
      <c r="I2" s="4">
        <v>3150</v>
      </c>
      <c r="J2" t="s">
        <v>32</v>
      </c>
      <c r="K2" t="s">
        <v>33</v>
      </c>
      <c r="L2" s="4">
        <v>10.278063859084313</v>
      </c>
      <c r="M2" s="1" t="s">
        <v>34</v>
      </c>
      <c r="N2" s="11">
        <f>+IF(M2="Dissatisfied",1,IF(M2="Satisfied",10,5))</f>
        <v>1</v>
      </c>
    </row>
    <row r="3" spans="1:14" ht="16" x14ac:dyDescent="0.2">
      <c r="A3" s="3">
        <v>43388.154223035701</v>
      </c>
      <c r="B3" s="1" t="s">
        <v>35</v>
      </c>
      <c r="C3" t="s">
        <v>36</v>
      </c>
      <c r="D3">
        <v>8</v>
      </c>
      <c r="E3">
        <v>102</v>
      </c>
      <c r="F3">
        <v>51</v>
      </c>
      <c r="G3">
        <v>816</v>
      </c>
      <c r="H3" s="4">
        <v>408</v>
      </c>
      <c r="I3" s="4">
        <v>408</v>
      </c>
      <c r="J3" t="s">
        <v>37</v>
      </c>
      <c r="K3" t="s">
        <v>33</v>
      </c>
      <c r="L3" s="4">
        <v>13.299525114817991</v>
      </c>
      <c r="M3" s="1" t="s">
        <v>38</v>
      </c>
      <c r="N3" s="11">
        <f t="shared" ref="N3:N66" si="0">+IF(M3="Dissatisfied",1,IF(M3="Satisfied",10,5))</f>
        <v>5</v>
      </c>
    </row>
    <row r="4" spans="1:14" ht="16" x14ac:dyDescent="0.2">
      <c r="A4" s="3">
        <v>43463.08203716619</v>
      </c>
      <c r="B4" s="1" t="s">
        <v>39</v>
      </c>
      <c r="C4" t="s">
        <v>40</v>
      </c>
      <c r="D4">
        <v>13</v>
      </c>
      <c r="E4">
        <v>46</v>
      </c>
      <c r="F4">
        <v>23</v>
      </c>
      <c r="G4">
        <v>598</v>
      </c>
      <c r="H4" s="4">
        <v>299</v>
      </c>
      <c r="I4" s="4">
        <v>299</v>
      </c>
      <c r="J4" t="s">
        <v>41</v>
      </c>
      <c r="K4" t="s">
        <v>42</v>
      </c>
      <c r="L4" s="4">
        <v>9.3226775515721787</v>
      </c>
      <c r="M4" s="1" t="s">
        <v>34</v>
      </c>
      <c r="N4" s="11">
        <f t="shared" si="0"/>
        <v>1</v>
      </c>
    </row>
    <row r="5" spans="1:14" ht="16" x14ac:dyDescent="0.2">
      <c r="A5" s="3">
        <v>44541.777655506987</v>
      </c>
      <c r="B5" s="1" t="s">
        <v>43</v>
      </c>
      <c r="C5" t="s">
        <v>44</v>
      </c>
      <c r="D5">
        <v>4</v>
      </c>
      <c r="E5">
        <v>114</v>
      </c>
      <c r="F5">
        <v>57</v>
      </c>
      <c r="G5">
        <v>456</v>
      </c>
      <c r="H5" s="4">
        <v>228</v>
      </c>
      <c r="I5" s="4">
        <v>228</v>
      </c>
      <c r="J5" t="s">
        <v>45</v>
      </c>
      <c r="K5" t="s">
        <v>42</v>
      </c>
      <c r="L5" s="4">
        <v>10.06992029407844</v>
      </c>
      <c r="M5" s="1" t="s">
        <v>38</v>
      </c>
      <c r="N5" s="11">
        <f t="shared" si="0"/>
        <v>5</v>
      </c>
    </row>
    <row r="6" spans="1:14" ht="16" x14ac:dyDescent="0.2">
      <c r="A6" s="3">
        <v>44789.861243412983</v>
      </c>
      <c r="B6" s="1" t="s">
        <v>46</v>
      </c>
      <c r="C6" t="s">
        <v>47</v>
      </c>
      <c r="D6">
        <v>2</v>
      </c>
      <c r="E6">
        <v>231</v>
      </c>
      <c r="F6">
        <v>77</v>
      </c>
      <c r="G6">
        <v>462</v>
      </c>
      <c r="H6" s="4">
        <v>154</v>
      </c>
      <c r="I6" s="4">
        <v>308</v>
      </c>
      <c r="J6" t="s">
        <v>48</v>
      </c>
      <c r="K6" t="s">
        <v>49</v>
      </c>
      <c r="L6" s="4">
        <v>15.24190997853951</v>
      </c>
      <c r="M6" s="1" t="s">
        <v>38</v>
      </c>
      <c r="N6" s="11">
        <f t="shared" si="0"/>
        <v>5</v>
      </c>
    </row>
    <row r="7" spans="1:14" ht="16" x14ac:dyDescent="0.2">
      <c r="A7" s="3">
        <v>44100.480226181651</v>
      </c>
      <c r="B7" s="1" t="s">
        <v>50</v>
      </c>
      <c r="C7" t="s">
        <v>51</v>
      </c>
      <c r="D7">
        <v>3</v>
      </c>
      <c r="E7">
        <v>160</v>
      </c>
      <c r="F7">
        <v>80</v>
      </c>
      <c r="G7">
        <v>480</v>
      </c>
      <c r="H7" s="4">
        <v>240</v>
      </c>
      <c r="I7" s="4">
        <v>240</v>
      </c>
      <c r="J7" t="s">
        <v>52</v>
      </c>
      <c r="K7" t="s">
        <v>53</v>
      </c>
      <c r="L7" s="4">
        <v>12.169266722245851</v>
      </c>
      <c r="M7" s="1" t="s">
        <v>54</v>
      </c>
      <c r="N7" s="11">
        <f t="shared" si="0"/>
        <v>10</v>
      </c>
    </row>
    <row r="8" spans="1:14" ht="16" x14ac:dyDescent="0.2">
      <c r="A8" s="3">
        <v>43152.556458106374</v>
      </c>
      <c r="B8" s="1" t="s">
        <v>55</v>
      </c>
      <c r="C8" t="s">
        <v>56</v>
      </c>
      <c r="D8">
        <v>6</v>
      </c>
      <c r="E8">
        <v>38</v>
      </c>
      <c r="F8">
        <v>19</v>
      </c>
      <c r="G8">
        <v>228</v>
      </c>
      <c r="H8" s="4">
        <v>114</v>
      </c>
      <c r="I8" s="4">
        <v>114</v>
      </c>
      <c r="J8" t="s">
        <v>57</v>
      </c>
      <c r="K8" t="s">
        <v>58</v>
      </c>
      <c r="L8" s="4">
        <v>11.749993886708426</v>
      </c>
      <c r="M8" s="1" t="s">
        <v>38</v>
      </c>
      <c r="N8" s="11">
        <f t="shared" si="0"/>
        <v>5</v>
      </c>
    </row>
    <row r="9" spans="1:14" ht="16" x14ac:dyDescent="0.2">
      <c r="A9" s="3">
        <v>43842.897505346009</v>
      </c>
      <c r="B9" s="1" t="s">
        <v>59</v>
      </c>
      <c r="C9" t="s">
        <v>56</v>
      </c>
      <c r="D9">
        <v>11</v>
      </c>
      <c r="E9">
        <v>38</v>
      </c>
      <c r="F9">
        <v>19</v>
      </c>
      <c r="G9">
        <v>418</v>
      </c>
      <c r="H9" s="4">
        <v>209</v>
      </c>
      <c r="I9" s="4">
        <v>209</v>
      </c>
      <c r="J9" t="s">
        <v>60</v>
      </c>
      <c r="K9" t="s">
        <v>53</v>
      </c>
      <c r="L9" s="4">
        <v>11.048444680405545</v>
      </c>
      <c r="M9" s="1" t="s">
        <v>38</v>
      </c>
      <c r="N9" s="11">
        <f t="shared" si="0"/>
        <v>5</v>
      </c>
    </row>
    <row r="10" spans="1:14" ht="16" x14ac:dyDescent="0.2">
      <c r="A10" s="3">
        <v>44474.758177476659</v>
      </c>
      <c r="B10" s="1" t="s">
        <v>61</v>
      </c>
      <c r="C10" t="s">
        <v>62</v>
      </c>
      <c r="D10">
        <v>4</v>
      </c>
      <c r="E10">
        <v>80</v>
      </c>
      <c r="F10">
        <v>20</v>
      </c>
      <c r="G10">
        <v>320</v>
      </c>
      <c r="H10" s="4">
        <v>80</v>
      </c>
      <c r="I10" s="4">
        <v>240</v>
      </c>
      <c r="J10" t="s">
        <v>63</v>
      </c>
      <c r="K10" t="s">
        <v>64</v>
      </c>
      <c r="L10" s="4">
        <v>10.988762477277161</v>
      </c>
      <c r="M10" s="1" t="s">
        <v>38</v>
      </c>
      <c r="N10" s="11">
        <f t="shared" si="0"/>
        <v>5</v>
      </c>
    </row>
    <row r="11" spans="1:14" ht="16" x14ac:dyDescent="0.2">
      <c r="A11" s="3">
        <v>44218.773129716028</v>
      </c>
      <c r="B11" s="1" t="s">
        <v>65</v>
      </c>
      <c r="C11" t="s">
        <v>66</v>
      </c>
      <c r="D11">
        <v>14</v>
      </c>
      <c r="E11">
        <v>144</v>
      </c>
      <c r="F11">
        <v>48</v>
      </c>
      <c r="G11">
        <v>2016</v>
      </c>
      <c r="H11" s="4">
        <v>672</v>
      </c>
      <c r="I11" s="4">
        <v>1344</v>
      </c>
      <c r="J11" t="s">
        <v>67</v>
      </c>
      <c r="K11" t="s">
        <v>64</v>
      </c>
      <c r="L11" s="4">
        <v>15.602184182549776</v>
      </c>
      <c r="M11" s="1" t="s">
        <v>38</v>
      </c>
      <c r="N11" s="11">
        <f t="shared" si="0"/>
        <v>5</v>
      </c>
    </row>
    <row r="12" spans="1:14" ht="16" x14ac:dyDescent="0.2">
      <c r="A12" s="3">
        <v>43898.469720813293</v>
      </c>
      <c r="B12" s="1" t="s">
        <v>68</v>
      </c>
      <c r="C12" t="s">
        <v>69</v>
      </c>
      <c r="D12">
        <v>20</v>
      </c>
      <c r="E12">
        <v>184</v>
      </c>
      <c r="F12">
        <v>92</v>
      </c>
      <c r="G12">
        <v>3680</v>
      </c>
      <c r="H12" s="4">
        <v>1840</v>
      </c>
      <c r="I12" s="4">
        <v>1840</v>
      </c>
      <c r="J12" t="s">
        <v>70</v>
      </c>
      <c r="K12" t="s">
        <v>49</v>
      </c>
      <c r="L12" s="4">
        <v>12.957303170959879</v>
      </c>
      <c r="M12" s="1" t="s">
        <v>54</v>
      </c>
      <c r="N12" s="11">
        <f t="shared" si="0"/>
        <v>10</v>
      </c>
    </row>
    <row r="13" spans="1:14" ht="16" x14ac:dyDescent="0.2">
      <c r="A13" s="3">
        <v>44085.409696365205</v>
      </c>
      <c r="B13" s="1" t="s">
        <v>71</v>
      </c>
      <c r="C13" t="s">
        <v>72</v>
      </c>
      <c r="D13">
        <v>2</v>
      </c>
      <c r="E13">
        <v>352</v>
      </c>
      <c r="F13">
        <v>88</v>
      </c>
      <c r="G13">
        <v>704</v>
      </c>
      <c r="H13" s="4">
        <v>176</v>
      </c>
      <c r="I13" s="4">
        <v>528</v>
      </c>
      <c r="J13" t="s">
        <v>73</v>
      </c>
      <c r="K13" t="s">
        <v>58</v>
      </c>
      <c r="L13" s="4">
        <v>8.2871811249429097</v>
      </c>
      <c r="M13" s="1" t="s">
        <v>54</v>
      </c>
      <c r="N13" s="11">
        <f t="shared" si="0"/>
        <v>10</v>
      </c>
    </row>
    <row r="14" spans="1:14" ht="16" x14ac:dyDescent="0.2">
      <c r="A14" s="3">
        <v>43671.066754054642</v>
      </c>
      <c r="B14" s="1" t="s">
        <v>74</v>
      </c>
      <c r="C14" t="s">
        <v>75</v>
      </c>
      <c r="D14">
        <v>5</v>
      </c>
      <c r="E14">
        <v>76</v>
      </c>
      <c r="F14">
        <v>19</v>
      </c>
      <c r="G14">
        <v>380</v>
      </c>
      <c r="H14" s="4">
        <v>95</v>
      </c>
      <c r="I14" s="4">
        <v>285</v>
      </c>
      <c r="J14" t="s">
        <v>76</v>
      </c>
      <c r="K14" t="s">
        <v>58</v>
      </c>
      <c r="L14" s="4">
        <v>9.8384363471888783</v>
      </c>
      <c r="M14" s="1" t="s">
        <v>38</v>
      </c>
      <c r="N14" s="11">
        <f t="shared" si="0"/>
        <v>5</v>
      </c>
    </row>
    <row r="15" spans="1:14" ht="16" x14ac:dyDescent="0.2">
      <c r="A15" s="3">
        <v>43997.695311678624</v>
      </c>
      <c r="B15" s="1" t="s">
        <v>77</v>
      </c>
      <c r="C15" t="s">
        <v>78</v>
      </c>
      <c r="D15">
        <v>14</v>
      </c>
      <c r="E15">
        <v>94</v>
      </c>
      <c r="F15">
        <v>47</v>
      </c>
      <c r="G15">
        <v>1316</v>
      </c>
      <c r="H15" s="4">
        <v>658</v>
      </c>
      <c r="I15" s="4">
        <v>658</v>
      </c>
      <c r="J15" t="s">
        <v>79</v>
      </c>
      <c r="K15" t="s">
        <v>64</v>
      </c>
      <c r="L15" s="4">
        <v>12.163730387337393</v>
      </c>
      <c r="M15" s="1" t="s">
        <v>38</v>
      </c>
      <c r="N15" s="11">
        <f t="shared" si="0"/>
        <v>5</v>
      </c>
    </row>
    <row r="16" spans="1:14" ht="16" x14ac:dyDescent="0.2">
      <c r="A16" s="3">
        <v>44224.975784060145</v>
      </c>
      <c r="B16" s="1" t="s">
        <v>80</v>
      </c>
      <c r="C16" t="s">
        <v>81</v>
      </c>
      <c r="D16">
        <v>16</v>
      </c>
      <c r="E16">
        <v>166</v>
      </c>
      <c r="F16">
        <v>83</v>
      </c>
      <c r="G16">
        <v>2656</v>
      </c>
      <c r="H16" s="4">
        <v>1328</v>
      </c>
      <c r="I16" s="4">
        <v>1328</v>
      </c>
      <c r="J16" t="s">
        <v>82</v>
      </c>
      <c r="K16" t="s">
        <v>58</v>
      </c>
      <c r="L16" s="4">
        <v>13.45980057156361</v>
      </c>
      <c r="M16" s="1" t="s">
        <v>54</v>
      </c>
      <c r="N16" s="11">
        <f t="shared" si="0"/>
        <v>10</v>
      </c>
    </row>
    <row r="17" spans="1:14" ht="16" x14ac:dyDescent="0.2">
      <c r="A17" s="3">
        <v>44117.050844999409</v>
      </c>
      <c r="B17" s="1" t="s">
        <v>83</v>
      </c>
      <c r="C17" t="s">
        <v>84</v>
      </c>
      <c r="D17">
        <v>7</v>
      </c>
      <c r="E17">
        <v>126</v>
      </c>
      <c r="F17">
        <v>42</v>
      </c>
      <c r="G17">
        <v>882</v>
      </c>
      <c r="H17" s="4">
        <v>294</v>
      </c>
      <c r="I17" s="4">
        <v>588</v>
      </c>
      <c r="J17" t="s">
        <v>85</v>
      </c>
      <c r="K17" t="s">
        <v>86</v>
      </c>
      <c r="L17" s="4">
        <v>11.631646244583138</v>
      </c>
      <c r="M17" s="1" t="s">
        <v>34</v>
      </c>
      <c r="N17" s="11">
        <f t="shared" si="0"/>
        <v>1</v>
      </c>
    </row>
    <row r="18" spans="1:14" ht="16" x14ac:dyDescent="0.2">
      <c r="A18" s="3">
        <v>43834.899299365818</v>
      </c>
      <c r="B18" s="1" t="s">
        <v>87</v>
      </c>
      <c r="C18" t="s">
        <v>88</v>
      </c>
      <c r="D18">
        <v>10</v>
      </c>
      <c r="E18">
        <v>210</v>
      </c>
      <c r="F18">
        <v>70</v>
      </c>
      <c r="G18">
        <v>2100</v>
      </c>
      <c r="H18" s="4">
        <v>700</v>
      </c>
      <c r="I18" s="4">
        <v>1400</v>
      </c>
      <c r="J18" t="s">
        <v>89</v>
      </c>
      <c r="K18" t="s">
        <v>64</v>
      </c>
      <c r="L18" s="4">
        <v>12.865074657680612</v>
      </c>
      <c r="M18" s="1" t="s">
        <v>38</v>
      </c>
      <c r="N18" s="11">
        <f t="shared" si="0"/>
        <v>5</v>
      </c>
    </row>
    <row r="19" spans="1:14" ht="16" x14ac:dyDescent="0.2">
      <c r="A19" s="3">
        <v>44320.298250196422</v>
      </c>
      <c r="B19" s="1" t="s">
        <v>90</v>
      </c>
      <c r="C19" t="s">
        <v>91</v>
      </c>
      <c r="D19">
        <v>6</v>
      </c>
      <c r="E19">
        <v>300</v>
      </c>
      <c r="F19">
        <v>75</v>
      </c>
      <c r="G19">
        <v>1800</v>
      </c>
      <c r="H19" s="4">
        <v>450</v>
      </c>
      <c r="I19" s="4">
        <v>1350</v>
      </c>
      <c r="J19" t="s">
        <v>67</v>
      </c>
      <c r="K19" t="s">
        <v>64</v>
      </c>
      <c r="L19" s="4">
        <v>15.602184182549776</v>
      </c>
      <c r="M19" s="1" t="s">
        <v>38</v>
      </c>
      <c r="N19" s="11">
        <f t="shared" si="0"/>
        <v>5</v>
      </c>
    </row>
    <row r="20" spans="1:14" ht="16" x14ac:dyDescent="0.2">
      <c r="A20" s="3">
        <v>43253.266109296121</v>
      </c>
      <c r="B20" s="1" t="s">
        <v>92</v>
      </c>
      <c r="C20" t="s">
        <v>93</v>
      </c>
      <c r="D20">
        <v>12</v>
      </c>
      <c r="E20">
        <v>204</v>
      </c>
      <c r="F20">
        <v>51</v>
      </c>
      <c r="G20">
        <v>2448</v>
      </c>
      <c r="H20" s="4">
        <v>612</v>
      </c>
      <c r="I20" s="4">
        <v>1836</v>
      </c>
      <c r="J20" t="s">
        <v>94</v>
      </c>
      <c r="K20" t="s">
        <v>49</v>
      </c>
      <c r="L20" s="4">
        <v>9.8238489437106278</v>
      </c>
      <c r="M20" s="1" t="s">
        <v>38</v>
      </c>
      <c r="N20" s="11">
        <f t="shared" si="0"/>
        <v>5</v>
      </c>
    </row>
    <row r="21" spans="1:14" ht="16" x14ac:dyDescent="0.2">
      <c r="A21" s="3">
        <v>43499.754798296264</v>
      </c>
      <c r="B21" s="1" t="s">
        <v>95</v>
      </c>
      <c r="C21" t="s">
        <v>62</v>
      </c>
      <c r="D21">
        <v>3</v>
      </c>
      <c r="E21">
        <v>80</v>
      </c>
      <c r="F21">
        <v>20</v>
      </c>
      <c r="G21">
        <v>240</v>
      </c>
      <c r="H21" s="4">
        <v>60</v>
      </c>
      <c r="I21" s="4">
        <v>180</v>
      </c>
      <c r="J21" t="s">
        <v>96</v>
      </c>
      <c r="K21" t="s">
        <v>64</v>
      </c>
      <c r="L21" s="4">
        <v>12.072414596936037</v>
      </c>
      <c r="M21" s="1" t="s">
        <v>54</v>
      </c>
      <c r="N21" s="11">
        <f t="shared" si="0"/>
        <v>10</v>
      </c>
    </row>
    <row r="22" spans="1:14" ht="16" x14ac:dyDescent="0.2">
      <c r="A22" s="3">
        <v>44125.238116793589</v>
      </c>
      <c r="B22" s="1" t="s">
        <v>97</v>
      </c>
      <c r="C22" t="s">
        <v>98</v>
      </c>
      <c r="D22">
        <v>17</v>
      </c>
      <c r="E22">
        <v>156</v>
      </c>
      <c r="F22">
        <v>78</v>
      </c>
      <c r="G22">
        <v>2652</v>
      </c>
      <c r="H22" s="4">
        <v>1326</v>
      </c>
      <c r="I22" s="4">
        <v>1326</v>
      </c>
      <c r="J22" t="s">
        <v>99</v>
      </c>
      <c r="K22" t="s">
        <v>86</v>
      </c>
      <c r="L22" s="4">
        <v>15.140903556171683</v>
      </c>
      <c r="M22" s="1" t="s">
        <v>38</v>
      </c>
      <c r="N22" s="11">
        <f t="shared" si="0"/>
        <v>5</v>
      </c>
    </row>
    <row r="23" spans="1:14" ht="16" x14ac:dyDescent="0.2">
      <c r="A23" s="3">
        <v>44357.627465247504</v>
      </c>
      <c r="B23" s="1" t="s">
        <v>100</v>
      </c>
      <c r="C23" t="s">
        <v>101</v>
      </c>
      <c r="D23">
        <v>9</v>
      </c>
      <c r="E23">
        <v>50</v>
      </c>
      <c r="F23">
        <v>25</v>
      </c>
      <c r="G23">
        <v>450</v>
      </c>
      <c r="H23" s="4">
        <v>225</v>
      </c>
      <c r="I23" s="4">
        <v>225</v>
      </c>
      <c r="J23" t="s">
        <v>102</v>
      </c>
      <c r="K23" t="s">
        <v>49</v>
      </c>
      <c r="L23" s="4">
        <v>15.12637675023732</v>
      </c>
      <c r="M23" s="1" t="s">
        <v>34</v>
      </c>
      <c r="N23" s="11">
        <f t="shared" si="0"/>
        <v>1</v>
      </c>
    </row>
    <row r="24" spans="1:14" ht="16" x14ac:dyDescent="0.2">
      <c r="A24" s="3">
        <v>44807.029077968175</v>
      </c>
      <c r="B24" s="1" t="s">
        <v>103</v>
      </c>
      <c r="C24" t="s">
        <v>31</v>
      </c>
      <c r="D24">
        <v>1</v>
      </c>
      <c r="E24">
        <v>280</v>
      </c>
      <c r="F24">
        <v>70</v>
      </c>
      <c r="G24">
        <v>280</v>
      </c>
      <c r="H24" s="4">
        <v>70</v>
      </c>
      <c r="I24" s="4">
        <v>210</v>
      </c>
      <c r="J24" t="s">
        <v>52</v>
      </c>
      <c r="K24" t="s">
        <v>53</v>
      </c>
      <c r="L24" s="4">
        <v>12.169266722245851</v>
      </c>
      <c r="M24" s="1" t="s">
        <v>38</v>
      </c>
      <c r="N24" s="11">
        <f t="shared" si="0"/>
        <v>5</v>
      </c>
    </row>
    <row r="25" spans="1:14" ht="16" x14ac:dyDescent="0.2">
      <c r="A25" s="3">
        <v>43068.002087508416</v>
      </c>
      <c r="B25" s="1" t="s">
        <v>104</v>
      </c>
      <c r="C25" t="s">
        <v>105</v>
      </c>
      <c r="D25">
        <v>5</v>
      </c>
      <c r="E25">
        <v>201</v>
      </c>
      <c r="F25">
        <v>67</v>
      </c>
      <c r="G25">
        <v>1005</v>
      </c>
      <c r="H25" s="4">
        <v>335</v>
      </c>
      <c r="I25" s="4">
        <v>670</v>
      </c>
      <c r="J25" t="s">
        <v>106</v>
      </c>
      <c r="K25" t="s">
        <v>42</v>
      </c>
      <c r="L25" s="4">
        <v>13.717776078041958</v>
      </c>
      <c r="M25" s="1" t="s">
        <v>54</v>
      </c>
      <c r="N25" s="11">
        <f t="shared" si="0"/>
        <v>10</v>
      </c>
    </row>
    <row r="26" spans="1:14" ht="16" x14ac:dyDescent="0.2">
      <c r="A26" s="3">
        <v>44066.936649507814</v>
      </c>
      <c r="B26" s="1" t="s">
        <v>107</v>
      </c>
      <c r="C26" t="s">
        <v>84</v>
      </c>
      <c r="D26">
        <v>3</v>
      </c>
      <c r="E26">
        <v>126</v>
      </c>
      <c r="F26">
        <v>42</v>
      </c>
      <c r="G26">
        <v>378</v>
      </c>
      <c r="H26" s="4">
        <v>126</v>
      </c>
      <c r="I26" s="4">
        <v>252</v>
      </c>
      <c r="J26" t="s">
        <v>108</v>
      </c>
      <c r="K26" t="s">
        <v>64</v>
      </c>
      <c r="L26" s="4">
        <v>9.7467096260695598</v>
      </c>
      <c r="M26" s="1" t="s">
        <v>34</v>
      </c>
      <c r="N26" s="11">
        <f t="shared" si="0"/>
        <v>1</v>
      </c>
    </row>
    <row r="27" spans="1:14" ht="16" x14ac:dyDescent="0.2">
      <c r="A27" s="3">
        <v>43608.538608737108</v>
      </c>
      <c r="B27" s="1" t="s">
        <v>109</v>
      </c>
      <c r="C27" t="s">
        <v>110</v>
      </c>
      <c r="D27">
        <v>12</v>
      </c>
      <c r="E27">
        <v>144</v>
      </c>
      <c r="F27">
        <v>36</v>
      </c>
      <c r="G27">
        <v>1728</v>
      </c>
      <c r="H27" s="4">
        <v>432</v>
      </c>
      <c r="I27" s="4">
        <v>1296</v>
      </c>
      <c r="J27" t="s">
        <v>111</v>
      </c>
      <c r="K27" t="s">
        <v>53</v>
      </c>
      <c r="L27" s="4">
        <v>13.407340878370247</v>
      </c>
      <c r="M27" s="1" t="s">
        <v>54</v>
      </c>
      <c r="N27" s="11">
        <f t="shared" si="0"/>
        <v>10</v>
      </c>
    </row>
    <row r="28" spans="1:14" ht="16" x14ac:dyDescent="0.2">
      <c r="A28" s="3">
        <v>43624.553374148498</v>
      </c>
      <c r="B28" s="1" t="s">
        <v>112</v>
      </c>
      <c r="C28" t="s">
        <v>113</v>
      </c>
      <c r="D28">
        <v>5</v>
      </c>
      <c r="E28">
        <v>66</v>
      </c>
      <c r="F28">
        <v>33</v>
      </c>
      <c r="G28">
        <v>330</v>
      </c>
      <c r="H28" s="4">
        <v>165</v>
      </c>
      <c r="I28" s="4">
        <v>165</v>
      </c>
      <c r="J28" t="s">
        <v>111</v>
      </c>
      <c r="K28" t="s">
        <v>53</v>
      </c>
      <c r="L28" s="4">
        <v>13.407340878370247</v>
      </c>
      <c r="M28" s="1" t="s">
        <v>38</v>
      </c>
      <c r="N28" s="11">
        <f t="shared" si="0"/>
        <v>5</v>
      </c>
    </row>
    <row r="29" spans="1:14" ht="16" x14ac:dyDescent="0.2">
      <c r="A29" s="3">
        <v>43952.991850262981</v>
      </c>
      <c r="B29" s="1" t="s">
        <v>114</v>
      </c>
      <c r="C29" t="s">
        <v>115</v>
      </c>
      <c r="D29">
        <v>14</v>
      </c>
      <c r="E29">
        <v>81</v>
      </c>
      <c r="F29">
        <v>27</v>
      </c>
      <c r="G29">
        <v>1134</v>
      </c>
      <c r="H29" s="4">
        <v>378</v>
      </c>
      <c r="I29" s="4">
        <v>756</v>
      </c>
      <c r="J29" t="s">
        <v>116</v>
      </c>
      <c r="K29" t="s">
        <v>64</v>
      </c>
      <c r="L29" s="4">
        <v>14.697745043716761</v>
      </c>
      <c r="M29" s="1" t="s">
        <v>38</v>
      </c>
      <c r="N29" s="11">
        <f t="shared" si="0"/>
        <v>5</v>
      </c>
    </row>
    <row r="30" spans="1:14" ht="16" x14ac:dyDescent="0.2">
      <c r="A30" s="3">
        <v>44248.205871746592</v>
      </c>
      <c r="B30" s="1" t="s">
        <v>117</v>
      </c>
      <c r="C30" t="s">
        <v>69</v>
      </c>
      <c r="D30">
        <v>18</v>
      </c>
      <c r="E30">
        <v>184</v>
      </c>
      <c r="F30">
        <v>92</v>
      </c>
      <c r="G30">
        <v>3312</v>
      </c>
      <c r="H30" s="4">
        <v>1656</v>
      </c>
      <c r="I30" s="4">
        <v>1656</v>
      </c>
      <c r="J30" t="s">
        <v>118</v>
      </c>
      <c r="K30" t="s">
        <v>64</v>
      </c>
      <c r="L30" s="4">
        <v>11.128721898968678</v>
      </c>
      <c r="M30" s="1" t="s">
        <v>54</v>
      </c>
      <c r="N30" s="11">
        <f t="shared" si="0"/>
        <v>10</v>
      </c>
    </row>
    <row r="31" spans="1:14" ht="16" x14ac:dyDescent="0.2">
      <c r="A31" s="3">
        <v>43717.584902113063</v>
      </c>
      <c r="B31" s="1" t="s">
        <v>119</v>
      </c>
      <c r="C31" t="s">
        <v>120</v>
      </c>
      <c r="D31">
        <v>4</v>
      </c>
      <c r="E31">
        <v>252</v>
      </c>
      <c r="F31">
        <v>63</v>
      </c>
      <c r="G31">
        <v>1008</v>
      </c>
      <c r="H31" s="4">
        <v>252</v>
      </c>
      <c r="I31" s="4">
        <v>756</v>
      </c>
      <c r="J31" t="s">
        <v>121</v>
      </c>
      <c r="K31" t="s">
        <v>64</v>
      </c>
      <c r="L31" s="4">
        <v>14.16303548174143</v>
      </c>
      <c r="M31" s="1" t="s">
        <v>38</v>
      </c>
      <c r="N31" s="11">
        <f t="shared" si="0"/>
        <v>5</v>
      </c>
    </row>
    <row r="32" spans="1:14" ht="16" x14ac:dyDescent="0.2">
      <c r="A32" s="3">
        <v>43447.602320310034</v>
      </c>
      <c r="B32" s="1" t="s">
        <v>122</v>
      </c>
      <c r="C32" t="s">
        <v>88</v>
      </c>
      <c r="D32">
        <v>10</v>
      </c>
      <c r="E32">
        <v>210</v>
      </c>
      <c r="F32">
        <v>70</v>
      </c>
      <c r="G32">
        <v>2100</v>
      </c>
      <c r="H32" s="4">
        <v>700</v>
      </c>
      <c r="I32" s="4">
        <v>1400</v>
      </c>
      <c r="J32" t="s">
        <v>123</v>
      </c>
      <c r="K32" t="s">
        <v>53</v>
      </c>
      <c r="L32" s="4">
        <v>10.42743035829395</v>
      </c>
      <c r="M32" s="1" t="s">
        <v>38</v>
      </c>
      <c r="N32" s="11">
        <f t="shared" si="0"/>
        <v>5</v>
      </c>
    </row>
    <row r="33" spans="1:14" ht="16" x14ac:dyDescent="0.2">
      <c r="A33" s="3">
        <v>43413.651347910083</v>
      </c>
      <c r="B33" s="1" t="s">
        <v>124</v>
      </c>
      <c r="C33" t="s">
        <v>125</v>
      </c>
      <c r="D33">
        <v>12</v>
      </c>
      <c r="E33">
        <v>176</v>
      </c>
      <c r="F33">
        <v>88</v>
      </c>
      <c r="G33">
        <v>2112</v>
      </c>
      <c r="H33" s="4">
        <v>1056</v>
      </c>
      <c r="I33" s="4">
        <v>1056</v>
      </c>
      <c r="J33" t="s">
        <v>126</v>
      </c>
      <c r="K33" t="s">
        <v>64</v>
      </c>
      <c r="L33" s="4">
        <v>11.006397834696006</v>
      </c>
      <c r="M33" s="1" t="s">
        <v>38</v>
      </c>
      <c r="N33" s="11">
        <f t="shared" si="0"/>
        <v>5</v>
      </c>
    </row>
    <row r="34" spans="1:14" ht="16" x14ac:dyDescent="0.2">
      <c r="A34" s="3">
        <v>44213.14588483698</v>
      </c>
      <c r="B34" s="1" t="s">
        <v>127</v>
      </c>
      <c r="C34" t="s">
        <v>69</v>
      </c>
      <c r="D34">
        <v>15</v>
      </c>
      <c r="E34">
        <v>184</v>
      </c>
      <c r="F34">
        <v>92</v>
      </c>
      <c r="G34">
        <v>2760</v>
      </c>
      <c r="H34" s="4">
        <v>1380</v>
      </c>
      <c r="I34" s="4">
        <v>1380</v>
      </c>
      <c r="J34" t="s">
        <v>128</v>
      </c>
      <c r="K34" t="s">
        <v>42</v>
      </c>
      <c r="L34" s="4">
        <v>15.487214309603928</v>
      </c>
      <c r="M34" s="1" t="s">
        <v>38</v>
      </c>
      <c r="N34" s="11">
        <f t="shared" si="0"/>
        <v>5</v>
      </c>
    </row>
    <row r="35" spans="1:14" ht="16" x14ac:dyDescent="0.2">
      <c r="A35" s="3">
        <v>43907.018524348234</v>
      </c>
      <c r="B35" s="1" t="s">
        <v>129</v>
      </c>
      <c r="C35" t="s">
        <v>130</v>
      </c>
      <c r="D35">
        <v>17</v>
      </c>
      <c r="E35">
        <v>144</v>
      </c>
      <c r="F35">
        <v>48</v>
      </c>
      <c r="G35">
        <v>2448</v>
      </c>
      <c r="H35" s="4">
        <v>816</v>
      </c>
      <c r="I35" s="4">
        <v>1632</v>
      </c>
      <c r="J35" t="s">
        <v>131</v>
      </c>
      <c r="K35" t="s">
        <v>33</v>
      </c>
      <c r="L35" s="4">
        <v>12.844063202784817</v>
      </c>
      <c r="M35" s="1" t="s">
        <v>38</v>
      </c>
      <c r="N35" s="11">
        <f t="shared" si="0"/>
        <v>5</v>
      </c>
    </row>
    <row r="36" spans="1:14" ht="16" x14ac:dyDescent="0.2">
      <c r="A36" s="3">
        <v>43704.678963489612</v>
      </c>
      <c r="B36" s="1" t="s">
        <v>132</v>
      </c>
      <c r="C36" t="s">
        <v>133</v>
      </c>
      <c r="D36">
        <v>7</v>
      </c>
      <c r="E36">
        <v>189</v>
      </c>
      <c r="F36">
        <v>63</v>
      </c>
      <c r="G36">
        <v>1323</v>
      </c>
      <c r="H36" s="4">
        <v>441</v>
      </c>
      <c r="I36" s="4">
        <v>882</v>
      </c>
      <c r="J36" t="s">
        <v>134</v>
      </c>
      <c r="K36" t="s">
        <v>33</v>
      </c>
      <c r="L36" s="4">
        <v>9.4200113153305907</v>
      </c>
      <c r="M36" s="1" t="s">
        <v>34</v>
      </c>
      <c r="N36" s="11">
        <f t="shared" si="0"/>
        <v>1</v>
      </c>
    </row>
    <row r="37" spans="1:14" ht="16" x14ac:dyDescent="0.2">
      <c r="A37" s="3">
        <v>44358.081929443055</v>
      </c>
      <c r="B37" s="1" t="s">
        <v>135</v>
      </c>
      <c r="C37" t="s">
        <v>136</v>
      </c>
      <c r="D37">
        <v>7</v>
      </c>
      <c r="E37">
        <v>154</v>
      </c>
      <c r="F37">
        <v>77</v>
      </c>
      <c r="G37">
        <v>1078</v>
      </c>
      <c r="H37" s="4">
        <v>539</v>
      </c>
      <c r="I37" s="4">
        <v>539</v>
      </c>
      <c r="J37" t="s">
        <v>137</v>
      </c>
      <c r="K37" t="s">
        <v>42</v>
      </c>
      <c r="L37" s="4">
        <v>11.410471033945758</v>
      </c>
      <c r="M37" s="1" t="s">
        <v>38</v>
      </c>
      <c r="N37" s="11">
        <f t="shared" si="0"/>
        <v>5</v>
      </c>
    </row>
    <row r="38" spans="1:14" ht="16" x14ac:dyDescent="0.2">
      <c r="A38" s="3">
        <v>44285.752007182877</v>
      </c>
      <c r="B38" s="1" t="s">
        <v>138</v>
      </c>
      <c r="C38" t="s">
        <v>139</v>
      </c>
      <c r="D38">
        <v>18</v>
      </c>
      <c r="E38">
        <v>320</v>
      </c>
      <c r="F38">
        <v>80</v>
      </c>
      <c r="G38">
        <v>5760</v>
      </c>
      <c r="H38" s="4">
        <v>1440</v>
      </c>
      <c r="I38" s="4">
        <v>4320</v>
      </c>
      <c r="J38" t="s">
        <v>140</v>
      </c>
      <c r="K38" t="s">
        <v>53</v>
      </c>
      <c r="L38" s="4">
        <v>7.1104128275166252</v>
      </c>
      <c r="M38" s="1" t="s">
        <v>54</v>
      </c>
      <c r="N38" s="11">
        <f t="shared" si="0"/>
        <v>10</v>
      </c>
    </row>
    <row r="39" spans="1:14" ht="16" x14ac:dyDescent="0.2">
      <c r="A39" s="3">
        <v>44467.407895777098</v>
      </c>
      <c r="B39" s="1" t="s">
        <v>141</v>
      </c>
      <c r="C39" t="s">
        <v>142</v>
      </c>
      <c r="D39">
        <v>11</v>
      </c>
      <c r="E39">
        <v>210</v>
      </c>
      <c r="F39">
        <v>70</v>
      </c>
      <c r="G39">
        <v>2310</v>
      </c>
      <c r="H39" s="4">
        <v>770</v>
      </c>
      <c r="I39" s="4">
        <v>1540</v>
      </c>
      <c r="J39" t="s">
        <v>143</v>
      </c>
      <c r="K39" t="s">
        <v>64</v>
      </c>
      <c r="L39" s="4">
        <v>11.406233913305266</v>
      </c>
      <c r="M39" s="1" t="s">
        <v>54</v>
      </c>
      <c r="N39" s="11">
        <f t="shared" si="0"/>
        <v>10</v>
      </c>
    </row>
    <row r="40" spans="1:14" ht="16" x14ac:dyDescent="0.2">
      <c r="A40" s="3">
        <v>43336.700124947252</v>
      </c>
      <c r="B40" s="1" t="s">
        <v>144</v>
      </c>
      <c r="C40" t="s">
        <v>145</v>
      </c>
      <c r="D40">
        <v>1</v>
      </c>
      <c r="E40">
        <v>207</v>
      </c>
      <c r="F40">
        <v>69</v>
      </c>
      <c r="G40">
        <v>207</v>
      </c>
      <c r="H40" s="4">
        <v>69</v>
      </c>
      <c r="I40" s="4">
        <v>138</v>
      </c>
      <c r="J40" t="s">
        <v>146</v>
      </c>
      <c r="K40" t="s">
        <v>64</v>
      </c>
      <c r="L40" s="4">
        <v>12.487915239531313</v>
      </c>
      <c r="M40" s="1" t="s">
        <v>38</v>
      </c>
      <c r="N40" s="11">
        <f t="shared" si="0"/>
        <v>5</v>
      </c>
    </row>
    <row r="41" spans="1:14" ht="16" x14ac:dyDescent="0.2">
      <c r="A41" s="3">
        <v>43690.881247645957</v>
      </c>
      <c r="B41" s="1" t="s">
        <v>147</v>
      </c>
      <c r="C41" t="s">
        <v>148</v>
      </c>
      <c r="D41">
        <v>17</v>
      </c>
      <c r="E41">
        <v>144</v>
      </c>
      <c r="F41">
        <v>36</v>
      </c>
      <c r="G41">
        <v>2448</v>
      </c>
      <c r="H41" s="4">
        <v>612</v>
      </c>
      <c r="I41" s="4">
        <v>1836</v>
      </c>
      <c r="J41" t="s">
        <v>149</v>
      </c>
      <c r="K41" t="s">
        <v>58</v>
      </c>
      <c r="L41" s="4">
        <v>8.1085102757869372</v>
      </c>
      <c r="M41" s="1" t="s">
        <v>38</v>
      </c>
      <c r="N41" s="11">
        <f t="shared" si="0"/>
        <v>5</v>
      </c>
    </row>
    <row r="42" spans="1:14" ht="16" x14ac:dyDescent="0.2">
      <c r="A42" s="3">
        <v>43662.096730977901</v>
      </c>
      <c r="B42" s="1" t="s">
        <v>150</v>
      </c>
      <c r="C42" t="s">
        <v>151</v>
      </c>
      <c r="D42">
        <v>6</v>
      </c>
      <c r="E42">
        <v>153</v>
      </c>
      <c r="F42">
        <v>51</v>
      </c>
      <c r="G42">
        <v>918</v>
      </c>
      <c r="H42" s="4">
        <v>306</v>
      </c>
      <c r="I42" s="4">
        <v>612</v>
      </c>
      <c r="J42" t="s">
        <v>152</v>
      </c>
      <c r="K42" t="s">
        <v>33</v>
      </c>
      <c r="L42" s="4">
        <v>11.749038185128619</v>
      </c>
      <c r="M42" s="1" t="s">
        <v>38</v>
      </c>
      <c r="N42" s="11">
        <f t="shared" si="0"/>
        <v>5</v>
      </c>
    </row>
    <row r="43" spans="1:14" ht="16" x14ac:dyDescent="0.2">
      <c r="A43" s="3">
        <v>44132.42771175356</v>
      </c>
      <c r="B43" s="1" t="s">
        <v>153</v>
      </c>
      <c r="C43" t="s">
        <v>154</v>
      </c>
      <c r="D43">
        <v>15</v>
      </c>
      <c r="E43">
        <v>308</v>
      </c>
      <c r="F43">
        <v>77</v>
      </c>
      <c r="G43">
        <v>4620</v>
      </c>
      <c r="H43" s="4">
        <v>1155</v>
      </c>
      <c r="I43" s="4">
        <v>3465</v>
      </c>
      <c r="J43" t="s">
        <v>155</v>
      </c>
      <c r="K43" t="s">
        <v>42</v>
      </c>
      <c r="L43" s="4">
        <v>13.378080355059918</v>
      </c>
      <c r="M43" s="1" t="s">
        <v>38</v>
      </c>
      <c r="N43" s="11">
        <f t="shared" si="0"/>
        <v>5</v>
      </c>
    </row>
    <row r="44" spans="1:14" ht="16" x14ac:dyDescent="0.2">
      <c r="A44" s="3">
        <v>44320.151116144494</v>
      </c>
      <c r="B44" s="1" t="s">
        <v>156</v>
      </c>
      <c r="C44" t="s">
        <v>157</v>
      </c>
      <c r="D44">
        <v>14</v>
      </c>
      <c r="E44">
        <v>50</v>
      </c>
      <c r="F44">
        <v>25</v>
      </c>
      <c r="G44">
        <v>700</v>
      </c>
      <c r="H44" s="4">
        <v>350</v>
      </c>
      <c r="I44" s="4">
        <v>350</v>
      </c>
      <c r="J44" t="s">
        <v>158</v>
      </c>
      <c r="K44" t="s">
        <v>58</v>
      </c>
      <c r="L44" s="4">
        <v>11.841063669683448</v>
      </c>
      <c r="M44" s="1" t="s">
        <v>38</v>
      </c>
      <c r="N44" s="11">
        <f t="shared" si="0"/>
        <v>5</v>
      </c>
    </row>
    <row r="45" spans="1:14" ht="16" x14ac:dyDescent="0.2">
      <c r="A45" s="3">
        <v>44435.702969546583</v>
      </c>
      <c r="B45" s="1" t="s">
        <v>159</v>
      </c>
      <c r="C45" t="s">
        <v>160</v>
      </c>
      <c r="D45">
        <v>15</v>
      </c>
      <c r="E45">
        <v>132</v>
      </c>
      <c r="F45">
        <v>33</v>
      </c>
      <c r="G45">
        <v>1980</v>
      </c>
      <c r="H45" s="4">
        <v>495</v>
      </c>
      <c r="I45" s="4">
        <v>1485</v>
      </c>
      <c r="J45" t="s">
        <v>161</v>
      </c>
      <c r="K45" t="s">
        <v>33</v>
      </c>
      <c r="L45" s="4">
        <v>14.370283356317486</v>
      </c>
      <c r="M45" s="1" t="s">
        <v>38</v>
      </c>
      <c r="N45" s="11">
        <f t="shared" si="0"/>
        <v>5</v>
      </c>
    </row>
    <row r="46" spans="1:14" ht="16" x14ac:dyDescent="0.2">
      <c r="A46" s="3">
        <v>44005.711532196023</v>
      </c>
      <c r="B46" s="1" t="s">
        <v>162</v>
      </c>
      <c r="C46" t="s">
        <v>163</v>
      </c>
      <c r="D46">
        <v>9</v>
      </c>
      <c r="E46">
        <v>108</v>
      </c>
      <c r="F46">
        <v>36</v>
      </c>
      <c r="G46">
        <v>972</v>
      </c>
      <c r="H46" s="4">
        <v>324</v>
      </c>
      <c r="I46" s="4">
        <v>648</v>
      </c>
      <c r="J46" t="s">
        <v>164</v>
      </c>
      <c r="K46" t="s">
        <v>86</v>
      </c>
      <c r="L46" s="4">
        <v>12.452986387489583</v>
      </c>
      <c r="M46" s="1" t="s">
        <v>34</v>
      </c>
      <c r="N46" s="11">
        <f t="shared" si="0"/>
        <v>1</v>
      </c>
    </row>
    <row r="47" spans="1:14" ht="16" x14ac:dyDescent="0.2">
      <c r="A47" s="3">
        <v>43092.206453010251</v>
      </c>
      <c r="B47" s="1" t="s">
        <v>165</v>
      </c>
      <c r="C47" t="s">
        <v>163</v>
      </c>
      <c r="D47">
        <v>11</v>
      </c>
      <c r="E47">
        <v>108</v>
      </c>
      <c r="F47">
        <v>36</v>
      </c>
      <c r="G47">
        <v>1188</v>
      </c>
      <c r="H47" s="4">
        <v>396</v>
      </c>
      <c r="I47" s="4">
        <v>792</v>
      </c>
      <c r="J47" t="s">
        <v>89</v>
      </c>
      <c r="K47" t="s">
        <v>64</v>
      </c>
      <c r="L47" s="4">
        <v>12.865074657680612</v>
      </c>
      <c r="M47" s="1" t="s">
        <v>54</v>
      </c>
      <c r="N47" s="11">
        <f t="shared" si="0"/>
        <v>10</v>
      </c>
    </row>
    <row r="48" spans="1:14" ht="16" x14ac:dyDescent="0.2">
      <c r="A48" s="3">
        <v>44486.276970967083</v>
      </c>
      <c r="B48" s="1" t="s">
        <v>166</v>
      </c>
      <c r="C48" t="s">
        <v>51</v>
      </c>
      <c r="D48">
        <v>19</v>
      </c>
      <c r="E48">
        <v>160</v>
      </c>
      <c r="F48">
        <v>80</v>
      </c>
      <c r="G48">
        <v>3040</v>
      </c>
      <c r="H48" s="4">
        <v>1520</v>
      </c>
      <c r="I48" s="4">
        <v>1520</v>
      </c>
      <c r="J48" t="s">
        <v>167</v>
      </c>
      <c r="K48" t="s">
        <v>86</v>
      </c>
      <c r="L48" s="4">
        <v>10.216282609482219</v>
      </c>
      <c r="M48" s="1" t="s">
        <v>38</v>
      </c>
      <c r="N48" s="11">
        <f t="shared" si="0"/>
        <v>5</v>
      </c>
    </row>
    <row r="49" spans="1:14" ht="16" x14ac:dyDescent="0.2">
      <c r="A49" s="3">
        <v>43872.552480655846</v>
      </c>
      <c r="B49" s="1" t="s">
        <v>168</v>
      </c>
      <c r="C49" t="s">
        <v>75</v>
      </c>
      <c r="D49">
        <v>8</v>
      </c>
      <c r="E49">
        <v>76</v>
      </c>
      <c r="F49">
        <v>19</v>
      </c>
      <c r="G49">
        <v>608</v>
      </c>
      <c r="H49" s="4">
        <v>152</v>
      </c>
      <c r="I49" s="4">
        <v>456</v>
      </c>
      <c r="J49" t="s">
        <v>169</v>
      </c>
      <c r="K49" t="s">
        <v>33</v>
      </c>
      <c r="L49" s="4">
        <v>15.121383064708469</v>
      </c>
      <c r="M49" s="1" t="s">
        <v>34</v>
      </c>
      <c r="N49" s="11">
        <f t="shared" si="0"/>
        <v>1</v>
      </c>
    </row>
    <row r="50" spans="1:14" ht="16" x14ac:dyDescent="0.2">
      <c r="A50" s="3">
        <v>44229.667558002198</v>
      </c>
      <c r="B50" s="1" t="s">
        <v>170</v>
      </c>
      <c r="C50" t="s">
        <v>171</v>
      </c>
      <c r="D50">
        <v>12</v>
      </c>
      <c r="E50">
        <v>225</v>
      </c>
      <c r="F50">
        <v>75</v>
      </c>
      <c r="G50">
        <v>2700</v>
      </c>
      <c r="H50" s="4">
        <v>900</v>
      </c>
      <c r="I50" s="4">
        <v>1800</v>
      </c>
      <c r="J50" t="s">
        <v>172</v>
      </c>
      <c r="K50" t="s">
        <v>33</v>
      </c>
      <c r="L50" s="4">
        <v>9.9311000381363836</v>
      </c>
      <c r="M50" s="1" t="s">
        <v>34</v>
      </c>
      <c r="N50" s="11">
        <f t="shared" si="0"/>
        <v>1</v>
      </c>
    </row>
    <row r="51" spans="1:14" ht="16" x14ac:dyDescent="0.2">
      <c r="A51" s="3">
        <v>43814.386657689829</v>
      </c>
      <c r="B51" s="1" t="s">
        <v>173</v>
      </c>
      <c r="C51" t="s">
        <v>56</v>
      </c>
      <c r="D51">
        <v>15</v>
      </c>
      <c r="E51">
        <v>38</v>
      </c>
      <c r="F51">
        <v>19</v>
      </c>
      <c r="G51">
        <v>570</v>
      </c>
      <c r="H51" s="4">
        <v>285</v>
      </c>
      <c r="I51" s="4">
        <v>285</v>
      </c>
      <c r="J51" t="s">
        <v>79</v>
      </c>
      <c r="K51" t="s">
        <v>64</v>
      </c>
      <c r="L51" s="4">
        <v>12.163730387337393</v>
      </c>
      <c r="M51" s="1" t="s">
        <v>38</v>
      </c>
      <c r="N51" s="11">
        <f t="shared" si="0"/>
        <v>5</v>
      </c>
    </row>
    <row r="52" spans="1:14" ht="16" x14ac:dyDescent="0.2">
      <c r="A52" s="3">
        <v>44647.5787593555</v>
      </c>
      <c r="B52" s="1" t="s">
        <v>174</v>
      </c>
      <c r="C52" t="s">
        <v>175</v>
      </c>
      <c r="D52">
        <v>1</v>
      </c>
      <c r="E52">
        <v>38</v>
      </c>
      <c r="F52">
        <v>19</v>
      </c>
      <c r="G52">
        <v>38</v>
      </c>
      <c r="H52" s="4">
        <v>19</v>
      </c>
      <c r="I52" s="4">
        <v>19</v>
      </c>
      <c r="J52" t="s">
        <v>176</v>
      </c>
      <c r="K52" t="s">
        <v>64</v>
      </c>
      <c r="L52" s="4">
        <v>12.1334991293512</v>
      </c>
      <c r="M52" s="1" t="s">
        <v>38</v>
      </c>
      <c r="N52" s="11">
        <f t="shared" si="0"/>
        <v>5</v>
      </c>
    </row>
    <row r="53" spans="1:14" ht="16" x14ac:dyDescent="0.2">
      <c r="A53" s="3">
        <v>44185.353000507159</v>
      </c>
      <c r="B53" s="1" t="s">
        <v>177</v>
      </c>
      <c r="C53" t="s">
        <v>178</v>
      </c>
      <c r="D53">
        <v>16</v>
      </c>
      <c r="E53">
        <v>189</v>
      </c>
      <c r="F53">
        <v>63</v>
      </c>
      <c r="G53">
        <v>3024</v>
      </c>
      <c r="H53" s="4">
        <v>1008</v>
      </c>
      <c r="I53" s="4">
        <v>2016</v>
      </c>
      <c r="J53" t="s">
        <v>179</v>
      </c>
      <c r="K53" t="s">
        <v>53</v>
      </c>
      <c r="L53" s="4">
        <v>11.36085047138285</v>
      </c>
      <c r="M53" s="1" t="s">
        <v>38</v>
      </c>
      <c r="N53" s="11">
        <f t="shared" si="0"/>
        <v>5</v>
      </c>
    </row>
    <row r="54" spans="1:14" ht="16" x14ac:dyDescent="0.2">
      <c r="A54" s="3">
        <v>44436.923477006603</v>
      </c>
      <c r="B54" s="1" t="s">
        <v>180</v>
      </c>
      <c r="C54" t="s">
        <v>88</v>
      </c>
      <c r="D54">
        <v>9</v>
      </c>
      <c r="E54">
        <v>210</v>
      </c>
      <c r="F54">
        <v>70</v>
      </c>
      <c r="G54">
        <v>1890</v>
      </c>
      <c r="H54" s="4">
        <v>630</v>
      </c>
      <c r="I54" s="4">
        <v>1260</v>
      </c>
      <c r="J54" t="s">
        <v>181</v>
      </c>
      <c r="K54" t="s">
        <v>53</v>
      </c>
      <c r="L54" s="4">
        <v>11.727497850343074</v>
      </c>
      <c r="M54" s="1" t="s">
        <v>38</v>
      </c>
      <c r="N54" s="11">
        <f t="shared" si="0"/>
        <v>5</v>
      </c>
    </row>
    <row r="55" spans="1:14" ht="16" x14ac:dyDescent="0.2">
      <c r="A55" s="3">
        <v>44628.843912604912</v>
      </c>
      <c r="B55" s="1" t="s">
        <v>182</v>
      </c>
      <c r="C55" t="s">
        <v>31</v>
      </c>
      <c r="D55">
        <v>15</v>
      </c>
      <c r="E55">
        <v>280</v>
      </c>
      <c r="F55">
        <v>70</v>
      </c>
      <c r="G55">
        <v>4200</v>
      </c>
      <c r="H55" s="4">
        <v>1050</v>
      </c>
      <c r="I55" s="4">
        <v>3150</v>
      </c>
      <c r="J55" t="s">
        <v>183</v>
      </c>
      <c r="K55" t="s">
        <v>58</v>
      </c>
      <c r="L55" s="4">
        <v>11.939773463335372</v>
      </c>
      <c r="M55" s="1" t="s">
        <v>54</v>
      </c>
      <c r="N55" s="11">
        <f t="shared" si="0"/>
        <v>10</v>
      </c>
    </row>
    <row r="56" spans="1:14" ht="16" x14ac:dyDescent="0.2">
      <c r="A56" s="3">
        <v>43747.489039299398</v>
      </c>
      <c r="B56" s="1" t="s">
        <v>184</v>
      </c>
      <c r="C56" t="s">
        <v>185</v>
      </c>
      <c r="D56">
        <v>15</v>
      </c>
      <c r="E56">
        <v>146</v>
      </c>
      <c r="F56">
        <v>73</v>
      </c>
      <c r="G56">
        <v>2190</v>
      </c>
      <c r="H56" s="4">
        <v>1095</v>
      </c>
      <c r="I56" s="4">
        <v>1095</v>
      </c>
      <c r="J56" t="s">
        <v>186</v>
      </c>
      <c r="K56" t="s">
        <v>58</v>
      </c>
      <c r="L56" s="4">
        <v>11.31221475547909</v>
      </c>
      <c r="M56" s="1" t="s">
        <v>38</v>
      </c>
      <c r="N56" s="11">
        <f t="shared" si="0"/>
        <v>5</v>
      </c>
    </row>
    <row r="57" spans="1:14" ht="16" x14ac:dyDescent="0.2">
      <c r="A57" s="3">
        <v>43654.266236225136</v>
      </c>
      <c r="B57" s="1" t="s">
        <v>187</v>
      </c>
      <c r="C57" t="s">
        <v>188</v>
      </c>
      <c r="D57">
        <v>18</v>
      </c>
      <c r="E57">
        <v>368</v>
      </c>
      <c r="F57">
        <v>92</v>
      </c>
      <c r="G57">
        <v>6624</v>
      </c>
      <c r="H57" s="4">
        <v>1656</v>
      </c>
      <c r="I57" s="4">
        <v>4968</v>
      </c>
      <c r="J57" t="s">
        <v>189</v>
      </c>
      <c r="K57" t="s">
        <v>58</v>
      </c>
      <c r="L57" s="4">
        <v>12.551203838971933</v>
      </c>
      <c r="M57" s="1" t="s">
        <v>54</v>
      </c>
      <c r="N57" s="11">
        <f t="shared" si="0"/>
        <v>10</v>
      </c>
    </row>
    <row r="58" spans="1:14" ht="16" x14ac:dyDescent="0.2">
      <c r="A58" s="3">
        <v>44805.169926395596</v>
      </c>
      <c r="B58" s="1" t="s">
        <v>190</v>
      </c>
      <c r="C58" t="s">
        <v>115</v>
      </c>
      <c r="D58">
        <v>11</v>
      </c>
      <c r="E58">
        <v>81</v>
      </c>
      <c r="F58">
        <v>27</v>
      </c>
      <c r="G58">
        <v>891</v>
      </c>
      <c r="H58" s="4">
        <v>297</v>
      </c>
      <c r="I58" s="4">
        <v>594</v>
      </c>
      <c r="J58" t="s">
        <v>191</v>
      </c>
      <c r="K58" t="s">
        <v>42</v>
      </c>
      <c r="L58" s="4">
        <v>10.523527521613014</v>
      </c>
      <c r="M58" s="1" t="s">
        <v>38</v>
      </c>
      <c r="N58" s="11">
        <f t="shared" si="0"/>
        <v>5</v>
      </c>
    </row>
    <row r="59" spans="1:14" ht="16" x14ac:dyDescent="0.2">
      <c r="A59" s="3">
        <v>43921.082508361287</v>
      </c>
      <c r="B59" s="1" t="s">
        <v>192</v>
      </c>
      <c r="C59" t="s">
        <v>193</v>
      </c>
      <c r="D59">
        <v>16</v>
      </c>
      <c r="E59">
        <v>348</v>
      </c>
      <c r="F59">
        <v>87</v>
      </c>
      <c r="G59">
        <v>5568</v>
      </c>
      <c r="H59" s="4">
        <v>1392</v>
      </c>
      <c r="I59" s="4">
        <v>4176</v>
      </c>
      <c r="J59" t="s">
        <v>194</v>
      </c>
      <c r="K59" t="s">
        <v>42</v>
      </c>
      <c r="L59" s="4">
        <v>14.573178107544177</v>
      </c>
      <c r="M59" s="1" t="s">
        <v>54</v>
      </c>
      <c r="N59" s="11">
        <f t="shared" si="0"/>
        <v>10</v>
      </c>
    </row>
    <row r="60" spans="1:14" ht="16" x14ac:dyDescent="0.2">
      <c r="A60" s="3">
        <v>43830.80046695636</v>
      </c>
      <c r="B60" s="1" t="s">
        <v>195</v>
      </c>
      <c r="C60" t="s">
        <v>196</v>
      </c>
      <c r="D60">
        <v>9</v>
      </c>
      <c r="E60">
        <v>192</v>
      </c>
      <c r="F60">
        <v>96</v>
      </c>
      <c r="G60">
        <v>1728</v>
      </c>
      <c r="H60" s="4">
        <v>864</v>
      </c>
      <c r="I60" s="4">
        <v>864</v>
      </c>
      <c r="J60" t="s">
        <v>197</v>
      </c>
      <c r="K60" t="s">
        <v>49</v>
      </c>
      <c r="L60" s="4">
        <v>13.288482149665386</v>
      </c>
      <c r="M60" s="1" t="s">
        <v>38</v>
      </c>
      <c r="N60" s="11">
        <f t="shared" si="0"/>
        <v>5</v>
      </c>
    </row>
    <row r="61" spans="1:14" ht="16" x14ac:dyDescent="0.2">
      <c r="A61" s="3">
        <v>44001.387154689291</v>
      </c>
      <c r="B61" s="1" t="s">
        <v>198</v>
      </c>
      <c r="C61" t="s">
        <v>130</v>
      </c>
      <c r="D61">
        <v>13</v>
      </c>
      <c r="E61">
        <v>144</v>
      </c>
      <c r="F61">
        <v>48</v>
      </c>
      <c r="G61">
        <v>1872</v>
      </c>
      <c r="H61" s="4">
        <v>624</v>
      </c>
      <c r="I61" s="4">
        <v>1248</v>
      </c>
      <c r="J61" t="s">
        <v>199</v>
      </c>
      <c r="K61" t="s">
        <v>86</v>
      </c>
      <c r="L61" s="4">
        <v>13.890275354050972</v>
      </c>
      <c r="M61" s="1" t="s">
        <v>38</v>
      </c>
      <c r="N61" s="11">
        <f t="shared" si="0"/>
        <v>5</v>
      </c>
    </row>
    <row r="62" spans="1:14" ht="16" x14ac:dyDescent="0.2">
      <c r="A62" s="3">
        <v>44151.646894764337</v>
      </c>
      <c r="B62" s="1" t="s">
        <v>200</v>
      </c>
      <c r="C62" t="s">
        <v>201</v>
      </c>
      <c r="D62">
        <v>15</v>
      </c>
      <c r="E62">
        <v>30</v>
      </c>
      <c r="F62">
        <v>15</v>
      </c>
      <c r="G62">
        <v>450</v>
      </c>
      <c r="H62" s="4">
        <v>225</v>
      </c>
      <c r="I62" s="4">
        <v>225</v>
      </c>
      <c r="J62" t="s">
        <v>202</v>
      </c>
      <c r="K62" t="s">
        <v>58</v>
      </c>
      <c r="L62" s="4">
        <v>13.765798454641494</v>
      </c>
      <c r="M62" s="1" t="s">
        <v>38</v>
      </c>
      <c r="N62" s="11">
        <f t="shared" si="0"/>
        <v>5</v>
      </c>
    </row>
    <row r="63" spans="1:14" ht="16" x14ac:dyDescent="0.2">
      <c r="A63" s="3">
        <v>43813.774121755458</v>
      </c>
      <c r="B63" s="1" t="s">
        <v>203</v>
      </c>
      <c r="C63" t="s">
        <v>204</v>
      </c>
      <c r="D63">
        <v>13</v>
      </c>
      <c r="E63">
        <v>57</v>
      </c>
      <c r="F63">
        <v>19</v>
      </c>
      <c r="G63">
        <v>741</v>
      </c>
      <c r="H63" s="4">
        <v>247</v>
      </c>
      <c r="I63" s="4">
        <v>494</v>
      </c>
      <c r="J63" t="s">
        <v>205</v>
      </c>
      <c r="K63" t="s">
        <v>33</v>
      </c>
      <c r="L63" s="4">
        <v>12.007834550770397</v>
      </c>
      <c r="M63" s="1" t="s">
        <v>38</v>
      </c>
      <c r="N63" s="11">
        <f t="shared" si="0"/>
        <v>5</v>
      </c>
    </row>
    <row r="64" spans="1:14" ht="16" x14ac:dyDescent="0.2">
      <c r="A64" s="3">
        <v>44758.713263261256</v>
      </c>
      <c r="B64" s="1" t="s">
        <v>206</v>
      </c>
      <c r="C64" t="s">
        <v>151</v>
      </c>
      <c r="D64">
        <v>7</v>
      </c>
      <c r="E64">
        <v>153</v>
      </c>
      <c r="F64">
        <v>51</v>
      </c>
      <c r="G64">
        <v>1071</v>
      </c>
      <c r="H64" s="4">
        <v>357</v>
      </c>
      <c r="I64" s="4">
        <v>714</v>
      </c>
      <c r="J64" t="s">
        <v>207</v>
      </c>
      <c r="K64" t="s">
        <v>42</v>
      </c>
      <c r="L64" s="4">
        <v>12.177709716438097</v>
      </c>
      <c r="M64" s="1" t="s">
        <v>38</v>
      </c>
      <c r="N64" s="11">
        <f t="shared" si="0"/>
        <v>5</v>
      </c>
    </row>
    <row r="65" spans="1:14" ht="16" x14ac:dyDescent="0.2">
      <c r="A65" s="3">
        <v>43603.021610482952</v>
      </c>
      <c r="B65" s="1" t="s">
        <v>208</v>
      </c>
      <c r="C65" t="s">
        <v>209</v>
      </c>
      <c r="D65">
        <v>17</v>
      </c>
      <c r="E65">
        <v>150</v>
      </c>
      <c r="F65">
        <v>75</v>
      </c>
      <c r="G65">
        <v>2550</v>
      </c>
      <c r="H65" s="4">
        <v>1275</v>
      </c>
      <c r="I65" s="4">
        <v>1275</v>
      </c>
      <c r="J65" t="s">
        <v>210</v>
      </c>
      <c r="K65" t="s">
        <v>58</v>
      </c>
      <c r="L65" s="4">
        <v>11.995406972581796</v>
      </c>
      <c r="M65" s="1" t="s">
        <v>38</v>
      </c>
      <c r="N65" s="11">
        <f t="shared" si="0"/>
        <v>5</v>
      </c>
    </row>
    <row r="66" spans="1:14" ht="16" x14ac:dyDescent="0.2">
      <c r="A66" s="3">
        <v>44107.23789930046</v>
      </c>
      <c r="B66" s="1" t="s">
        <v>211</v>
      </c>
      <c r="C66" t="s">
        <v>212</v>
      </c>
      <c r="D66">
        <v>19</v>
      </c>
      <c r="E66">
        <v>300</v>
      </c>
      <c r="F66">
        <v>75</v>
      </c>
      <c r="G66">
        <v>5700</v>
      </c>
      <c r="H66" s="4">
        <v>1425</v>
      </c>
      <c r="I66" s="4">
        <v>4275</v>
      </c>
      <c r="J66" t="s">
        <v>213</v>
      </c>
      <c r="K66" t="s">
        <v>58</v>
      </c>
      <c r="L66" s="4">
        <v>10.980884286450312</v>
      </c>
      <c r="M66" s="1" t="s">
        <v>54</v>
      </c>
      <c r="N66" s="11">
        <f t="shared" si="0"/>
        <v>10</v>
      </c>
    </row>
    <row r="67" spans="1:14" ht="16" x14ac:dyDescent="0.2">
      <c r="A67" s="3">
        <v>44449.256182000659</v>
      </c>
      <c r="B67" s="1" t="s">
        <v>214</v>
      </c>
      <c r="C67" t="s">
        <v>215</v>
      </c>
      <c r="D67">
        <v>4</v>
      </c>
      <c r="E67">
        <v>176</v>
      </c>
      <c r="F67">
        <v>88</v>
      </c>
      <c r="G67">
        <v>704</v>
      </c>
      <c r="H67" s="4">
        <v>352</v>
      </c>
      <c r="I67" s="4">
        <v>352</v>
      </c>
      <c r="J67" t="s">
        <v>216</v>
      </c>
      <c r="K67" t="s">
        <v>58</v>
      </c>
      <c r="L67" s="4">
        <v>15.556812309269255</v>
      </c>
      <c r="M67" s="1" t="s">
        <v>38</v>
      </c>
      <c r="N67" s="11">
        <f t="shared" ref="N67:N130" si="1">+IF(M67="Dissatisfied",1,IF(M67="Satisfied",10,5))</f>
        <v>5</v>
      </c>
    </row>
    <row r="68" spans="1:14" ht="16" x14ac:dyDescent="0.2">
      <c r="A68" s="3">
        <v>43166.401264301327</v>
      </c>
      <c r="B68" s="1" t="s">
        <v>217</v>
      </c>
      <c r="C68" t="s">
        <v>218</v>
      </c>
      <c r="D68">
        <v>2</v>
      </c>
      <c r="E68">
        <v>264</v>
      </c>
      <c r="F68">
        <v>88</v>
      </c>
      <c r="G68">
        <v>528</v>
      </c>
      <c r="H68" s="4">
        <v>176</v>
      </c>
      <c r="I68" s="4">
        <v>352</v>
      </c>
      <c r="J68" t="s">
        <v>219</v>
      </c>
      <c r="K68" t="s">
        <v>49</v>
      </c>
      <c r="L68" s="4">
        <v>13.697485557052493</v>
      </c>
      <c r="M68" s="1" t="s">
        <v>38</v>
      </c>
      <c r="N68" s="11">
        <f t="shared" si="1"/>
        <v>5</v>
      </c>
    </row>
    <row r="69" spans="1:14" ht="16" x14ac:dyDescent="0.2">
      <c r="A69" s="3">
        <v>43194.922881253675</v>
      </c>
      <c r="B69" s="1" t="s">
        <v>220</v>
      </c>
      <c r="C69" t="s">
        <v>36</v>
      </c>
      <c r="D69">
        <v>1</v>
      </c>
      <c r="E69">
        <v>102</v>
      </c>
      <c r="F69">
        <v>51</v>
      </c>
      <c r="G69">
        <v>102</v>
      </c>
      <c r="H69" s="4">
        <v>51</v>
      </c>
      <c r="I69" s="4">
        <v>51</v>
      </c>
      <c r="J69" t="s">
        <v>221</v>
      </c>
      <c r="K69" t="s">
        <v>49</v>
      </c>
      <c r="L69" s="4">
        <v>12.396052160428608</v>
      </c>
      <c r="M69" s="1" t="s">
        <v>38</v>
      </c>
      <c r="N69" s="11">
        <f t="shared" si="1"/>
        <v>5</v>
      </c>
    </row>
    <row r="70" spans="1:14" ht="16" x14ac:dyDescent="0.2">
      <c r="A70" s="3">
        <v>43849.637519693977</v>
      </c>
      <c r="B70" s="1" t="s">
        <v>222</v>
      </c>
      <c r="C70" t="s">
        <v>157</v>
      </c>
      <c r="D70">
        <v>12</v>
      </c>
      <c r="E70">
        <v>50</v>
      </c>
      <c r="F70">
        <v>25</v>
      </c>
      <c r="G70">
        <v>600</v>
      </c>
      <c r="H70" s="4">
        <v>300</v>
      </c>
      <c r="I70" s="4">
        <v>300</v>
      </c>
      <c r="J70" t="s">
        <v>223</v>
      </c>
      <c r="K70" t="s">
        <v>64</v>
      </c>
      <c r="L70" s="4">
        <v>14.030594525378042</v>
      </c>
      <c r="M70" s="1" t="s">
        <v>34</v>
      </c>
      <c r="N70" s="11">
        <f t="shared" si="1"/>
        <v>1</v>
      </c>
    </row>
    <row r="71" spans="1:14" ht="16" x14ac:dyDescent="0.2">
      <c r="A71" s="3">
        <v>43576.803671903283</v>
      </c>
      <c r="B71" s="1" t="s">
        <v>224</v>
      </c>
      <c r="C71" t="s">
        <v>171</v>
      </c>
      <c r="D71">
        <v>3</v>
      </c>
      <c r="E71">
        <v>225</v>
      </c>
      <c r="F71">
        <v>75</v>
      </c>
      <c r="G71">
        <v>675</v>
      </c>
      <c r="H71" s="4">
        <v>225</v>
      </c>
      <c r="I71" s="4">
        <v>450</v>
      </c>
      <c r="J71" t="s">
        <v>225</v>
      </c>
      <c r="K71" t="s">
        <v>33</v>
      </c>
      <c r="L71" s="4">
        <v>11.083482342133532</v>
      </c>
      <c r="M71" s="1" t="s">
        <v>38</v>
      </c>
      <c r="N71" s="11">
        <f t="shared" si="1"/>
        <v>5</v>
      </c>
    </row>
    <row r="72" spans="1:14" ht="16" x14ac:dyDescent="0.2">
      <c r="A72" s="3">
        <v>44221.252128446031</v>
      </c>
      <c r="B72" s="1" t="s">
        <v>226</v>
      </c>
      <c r="C72" t="s">
        <v>227</v>
      </c>
      <c r="D72">
        <v>18</v>
      </c>
      <c r="E72">
        <v>144</v>
      </c>
      <c r="F72">
        <v>48</v>
      </c>
      <c r="G72">
        <v>2592</v>
      </c>
      <c r="H72" s="4">
        <v>864</v>
      </c>
      <c r="I72" s="4">
        <v>1728</v>
      </c>
      <c r="J72" t="s">
        <v>228</v>
      </c>
      <c r="K72" t="s">
        <v>53</v>
      </c>
      <c r="L72" s="4">
        <v>14.377134310720955</v>
      </c>
      <c r="M72" s="1" t="s">
        <v>34</v>
      </c>
      <c r="N72" s="11">
        <f t="shared" si="1"/>
        <v>1</v>
      </c>
    </row>
    <row r="73" spans="1:14" ht="16" x14ac:dyDescent="0.2">
      <c r="A73" s="3">
        <v>43427.368388040326</v>
      </c>
      <c r="B73" s="1" t="s">
        <v>229</v>
      </c>
      <c r="C73" t="s">
        <v>75</v>
      </c>
      <c r="D73">
        <v>16</v>
      </c>
      <c r="E73">
        <v>76</v>
      </c>
      <c r="F73">
        <v>19</v>
      </c>
      <c r="G73">
        <v>1216</v>
      </c>
      <c r="H73" s="4">
        <v>304</v>
      </c>
      <c r="I73" s="4">
        <v>912</v>
      </c>
      <c r="J73" t="s">
        <v>230</v>
      </c>
      <c r="K73" t="s">
        <v>42</v>
      </c>
      <c r="L73" s="4">
        <v>12.172922939334034</v>
      </c>
      <c r="M73" s="1" t="s">
        <v>54</v>
      </c>
      <c r="N73" s="11">
        <f t="shared" si="1"/>
        <v>10</v>
      </c>
    </row>
    <row r="74" spans="1:14" ht="16" x14ac:dyDescent="0.2">
      <c r="A74" s="3">
        <v>43140.297409883264</v>
      </c>
      <c r="B74" s="1" t="s">
        <v>231</v>
      </c>
      <c r="C74" t="s">
        <v>201</v>
      </c>
      <c r="D74">
        <v>6</v>
      </c>
      <c r="E74">
        <v>30</v>
      </c>
      <c r="F74">
        <v>15</v>
      </c>
      <c r="G74">
        <v>180</v>
      </c>
      <c r="H74" s="4">
        <v>90</v>
      </c>
      <c r="I74" s="4">
        <v>90</v>
      </c>
      <c r="J74" t="s">
        <v>232</v>
      </c>
      <c r="K74" t="s">
        <v>86</v>
      </c>
      <c r="L74" s="4">
        <v>11.346510807401776</v>
      </c>
      <c r="M74" s="1" t="s">
        <v>38</v>
      </c>
      <c r="N74" s="11">
        <f t="shared" si="1"/>
        <v>5</v>
      </c>
    </row>
    <row r="75" spans="1:14" ht="16" x14ac:dyDescent="0.2">
      <c r="A75" s="3">
        <v>44322.802652758692</v>
      </c>
      <c r="B75" s="1" t="s">
        <v>233</v>
      </c>
      <c r="C75" t="s">
        <v>98</v>
      </c>
      <c r="D75">
        <v>2</v>
      </c>
      <c r="E75">
        <v>156</v>
      </c>
      <c r="F75">
        <v>78</v>
      </c>
      <c r="G75">
        <v>312</v>
      </c>
      <c r="H75" s="4">
        <v>156</v>
      </c>
      <c r="I75" s="4">
        <v>156</v>
      </c>
      <c r="J75" t="s">
        <v>234</v>
      </c>
      <c r="K75" t="s">
        <v>64</v>
      </c>
      <c r="L75" s="4">
        <v>12.200533931675887</v>
      </c>
      <c r="M75" s="1" t="s">
        <v>38</v>
      </c>
      <c r="N75" s="11">
        <f t="shared" si="1"/>
        <v>5</v>
      </c>
    </row>
    <row r="76" spans="1:14" ht="16" x14ac:dyDescent="0.2">
      <c r="A76" s="3">
        <v>43261.784356640695</v>
      </c>
      <c r="B76" s="1" t="s">
        <v>235</v>
      </c>
      <c r="C76" t="s">
        <v>105</v>
      </c>
      <c r="D76">
        <v>12</v>
      </c>
      <c r="E76">
        <v>201</v>
      </c>
      <c r="F76">
        <v>67</v>
      </c>
      <c r="G76">
        <v>2412</v>
      </c>
      <c r="H76" s="4">
        <v>804</v>
      </c>
      <c r="I76" s="4">
        <v>1608</v>
      </c>
      <c r="J76" t="s">
        <v>236</v>
      </c>
      <c r="K76" t="s">
        <v>53</v>
      </c>
      <c r="L76" s="4">
        <v>9.3014286057233697</v>
      </c>
      <c r="M76" s="1" t="s">
        <v>54</v>
      </c>
      <c r="N76" s="11">
        <f t="shared" si="1"/>
        <v>10</v>
      </c>
    </row>
    <row r="77" spans="1:14" ht="16" x14ac:dyDescent="0.2">
      <c r="A77" s="3">
        <v>44835.615890552515</v>
      </c>
      <c r="B77" s="1" t="s">
        <v>237</v>
      </c>
      <c r="C77" t="s">
        <v>51</v>
      </c>
      <c r="D77">
        <v>20</v>
      </c>
      <c r="E77">
        <v>160</v>
      </c>
      <c r="F77">
        <v>80</v>
      </c>
      <c r="G77">
        <v>3200</v>
      </c>
      <c r="H77" s="4">
        <v>1600</v>
      </c>
      <c r="I77" s="4">
        <v>1600</v>
      </c>
      <c r="J77" t="s">
        <v>238</v>
      </c>
      <c r="K77" t="s">
        <v>86</v>
      </c>
      <c r="L77" s="4">
        <v>14.593670394271927</v>
      </c>
      <c r="M77" s="1" t="s">
        <v>34</v>
      </c>
      <c r="N77" s="11">
        <f t="shared" si="1"/>
        <v>1</v>
      </c>
    </row>
    <row r="78" spans="1:14" ht="16" x14ac:dyDescent="0.2">
      <c r="A78" s="3">
        <v>43680.735871961944</v>
      </c>
      <c r="B78" s="1" t="s">
        <v>239</v>
      </c>
      <c r="C78" t="s">
        <v>240</v>
      </c>
      <c r="D78">
        <v>18</v>
      </c>
      <c r="E78">
        <v>108</v>
      </c>
      <c r="F78">
        <v>54</v>
      </c>
      <c r="G78">
        <v>1944</v>
      </c>
      <c r="H78" s="4">
        <v>972</v>
      </c>
      <c r="I78" s="4">
        <v>972</v>
      </c>
      <c r="J78" t="s">
        <v>241</v>
      </c>
      <c r="K78" t="s">
        <v>33</v>
      </c>
      <c r="L78" s="4">
        <v>11.274864741138284</v>
      </c>
      <c r="M78" s="1" t="s">
        <v>38</v>
      </c>
      <c r="N78" s="11">
        <f t="shared" si="1"/>
        <v>5</v>
      </c>
    </row>
    <row r="79" spans="1:14" ht="16" x14ac:dyDescent="0.2">
      <c r="A79" s="3">
        <v>43726.319904091135</v>
      </c>
      <c r="B79" s="1" t="s">
        <v>242</v>
      </c>
      <c r="C79" t="s">
        <v>243</v>
      </c>
      <c r="D79">
        <v>10</v>
      </c>
      <c r="E79">
        <v>90</v>
      </c>
      <c r="F79">
        <v>45</v>
      </c>
      <c r="G79">
        <v>900</v>
      </c>
      <c r="H79" s="4">
        <v>450</v>
      </c>
      <c r="I79" s="4">
        <v>450</v>
      </c>
      <c r="J79" t="s">
        <v>244</v>
      </c>
      <c r="K79" t="s">
        <v>86</v>
      </c>
      <c r="L79" s="4">
        <v>15.458859683514467</v>
      </c>
      <c r="M79" s="1" t="s">
        <v>38</v>
      </c>
      <c r="N79" s="11">
        <f t="shared" si="1"/>
        <v>5</v>
      </c>
    </row>
    <row r="80" spans="1:14" ht="16" x14ac:dyDescent="0.2">
      <c r="A80" s="3">
        <v>44147.511680501972</v>
      </c>
      <c r="B80" s="1" t="s">
        <v>245</v>
      </c>
      <c r="C80" t="s">
        <v>66</v>
      </c>
      <c r="D80">
        <v>19</v>
      </c>
      <c r="E80">
        <v>144</v>
      </c>
      <c r="F80">
        <v>48</v>
      </c>
      <c r="G80">
        <v>2736</v>
      </c>
      <c r="H80" s="4">
        <v>912</v>
      </c>
      <c r="I80" s="4">
        <v>1824</v>
      </c>
      <c r="J80" t="s">
        <v>246</v>
      </c>
      <c r="K80" t="s">
        <v>58</v>
      </c>
      <c r="L80" s="4">
        <v>15.234329552872023</v>
      </c>
      <c r="M80" s="1" t="s">
        <v>34</v>
      </c>
      <c r="N80" s="11">
        <f t="shared" si="1"/>
        <v>1</v>
      </c>
    </row>
    <row r="81" spans="1:14" ht="16" x14ac:dyDescent="0.2">
      <c r="A81" s="3">
        <v>43751.771519946029</v>
      </c>
      <c r="B81" s="1" t="s">
        <v>247</v>
      </c>
      <c r="C81" t="s">
        <v>248</v>
      </c>
      <c r="D81">
        <v>2</v>
      </c>
      <c r="E81">
        <v>132</v>
      </c>
      <c r="F81">
        <v>44</v>
      </c>
      <c r="G81">
        <v>264</v>
      </c>
      <c r="H81" s="4">
        <v>88</v>
      </c>
      <c r="I81" s="4">
        <v>176</v>
      </c>
      <c r="J81" t="s">
        <v>249</v>
      </c>
      <c r="K81" t="s">
        <v>49</v>
      </c>
      <c r="L81" s="4">
        <v>12.699346182652626</v>
      </c>
      <c r="M81" s="1" t="s">
        <v>38</v>
      </c>
      <c r="N81" s="11">
        <f t="shared" si="1"/>
        <v>5</v>
      </c>
    </row>
    <row r="82" spans="1:14" ht="16" x14ac:dyDescent="0.2">
      <c r="A82" s="3">
        <v>44436.690434253986</v>
      </c>
      <c r="B82" s="1" t="s">
        <v>250</v>
      </c>
      <c r="C82" t="s">
        <v>160</v>
      </c>
      <c r="D82">
        <v>1</v>
      </c>
      <c r="E82">
        <v>132</v>
      </c>
      <c r="F82">
        <v>33</v>
      </c>
      <c r="G82">
        <v>132</v>
      </c>
      <c r="H82" s="4">
        <v>33</v>
      </c>
      <c r="I82" s="4">
        <v>99</v>
      </c>
      <c r="J82" t="s">
        <v>186</v>
      </c>
      <c r="K82" t="s">
        <v>58</v>
      </c>
      <c r="L82" s="4">
        <v>11.31221475547909</v>
      </c>
      <c r="M82" s="1" t="s">
        <v>38</v>
      </c>
      <c r="N82" s="11">
        <f t="shared" si="1"/>
        <v>5</v>
      </c>
    </row>
    <row r="83" spans="1:14" ht="16" x14ac:dyDescent="0.2">
      <c r="A83" s="3">
        <v>44420.177019710864</v>
      </c>
      <c r="B83" s="1" t="s">
        <v>251</v>
      </c>
      <c r="C83" t="s">
        <v>252</v>
      </c>
      <c r="D83">
        <v>19</v>
      </c>
      <c r="E83">
        <v>252</v>
      </c>
      <c r="F83">
        <v>63</v>
      </c>
      <c r="G83">
        <v>4788</v>
      </c>
      <c r="H83" s="4">
        <v>1197</v>
      </c>
      <c r="I83" s="4">
        <v>3591</v>
      </c>
      <c r="J83" t="s">
        <v>253</v>
      </c>
      <c r="K83" t="s">
        <v>53</v>
      </c>
      <c r="L83" s="4">
        <v>13.918153610259502</v>
      </c>
      <c r="M83" s="1" t="s">
        <v>34</v>
      </c>
      <c r="N83" s="11">
        <f t="shared" si="1"/>
        <v>1</v>
      </c>
    </row>
    <row r="84" spans="1:14" ht="16" x14ac:dyDescent="0.2">
      <c r="A84" s="3">
        <v>44589.353583096316</v>
      </c>
      <c r="B84" s="1" t="s">
        <v>254</v>
      </c>
      <c r="C84" t="s">
        <v>255</v>
      </c>
      <c r="D84">
        <v>1</v>
      </c>
      <c r="E84">
        <v>140</v>
      </c>
      <c r="F84">
        <v>70</v>
      </c>
      <c r="G84">
        <v>140</v>
      </c>
      <c r="H84" s="4">
        <v>70</v>
      </c>
      <c r="I84" s="4">
        <v>70</v>
      </c>
      <c r="J84" t="s">
        <v>176</v>
      </c>
      <c r="K84" t="s">
        <v>64</v>
      </c>
      <c r="L84" s="4">
        <v>12.1334991293512</v>
      </c>
      <c r="M84" s="1" t="s">
        <v>38</v>
      </c>
      <c r="N84" s="11">
        <f t="shared" si="1"/>
        <v>5</v>
      </c>
    </row>
    <row r="85" spans="1:14" ht="16" x14ac:dyDescent="0.2">
      <c r="A85" s="3">
        <v>44117.154606168035</v>
      </c>
      <c r="B85" s="1" t="s">
        <v>256</v>
      </c>
      <c r="C85" t="s">
        <v>257</v>
      </c>
      <c r="D85">
        <v>19</v>
      </c>
      <c r="E85">
        <v>160</v>
      </c>
      <c r="F85">
        <v>80</v>
      </c>
      <c r="G85">
        <v>3040</v>
      </c>
      <c r="H85" s="4">
        <v>1520</v>
      </c>
      <c r="I85" s="4">
        <v>1520</v>
      </c>
      <c r="J85" t="s">
        <v>137</v>
      </c>
      <c r="K85" t="s">
        <v>42</v>
      </c>
      <c r="L85" s="4">
        <v>11.410471033945758</v>
      </c>
      <c r="M85" s="1" t="s">
        <v>54</v>
      </c>
      <c r="N85" s="11">
        <f t="shared" si="1"/>
        <v>10</v>
      </c>
    </row>
    <row r="86" spans="1:14" ht="16" x14ac:dyDescent="0.2">
      <c r="A86" s="3">
        <v>43922.931374592874</v>
      </c>
      <c r="B86" s="1" t="s">
        <v>258</v>
      </c>
      <c r="C86" t="s">
        <v>259</v>
      </c>
      <c r="D86">
        <v>2</v>
      </c>
      <c r="E86">
        <v>270</v>
      </c>
      <c r="F86">
        <v>90</v>
      </c>
      <c r="G86">
        <v>540</v>
      </c>
      <c r="H86" s="4">
        <v>180</v>
      </c>
      <c r="I86" s="4">
        <v>360</v>
      </c>
      <c r="J86" t="s">
        <v>111</v>
      </c>
      <c r="K86" t="s">
        <v>53</v>
      </c>
      <c r="L86" s="4">
        <v>13.407340878370247</v>
      </c>
      <c r="M86" s="1" t="s">
        <v>38</v>
      </c>
      <c r="N86" s="11">
        <f t="shared" si="1"/>
        <v>5</v>
      </c>
    </row>
    <row r="87" spans="1:14" ht="16" x14ac:dyDescent="0.2">
      <c r="A87" s="3">
        <v>44272.03068450003</v>
      </c>
      <c r="B87" s="1" t="s">
        <v>260</v>
      </c>
      <c r="C87" t="s">
        <v>261</v>
      </c>
      <c r="D87">
        <v>13</v>
      </c>
      <c r="E87">
        <v>92</v>
      </c>
      <c r="F87">
        <v>46</v>
      </c>
      <c r="G87">
        <v>1196</v>
      </c>
      <c r="H87" s="4">
        <v>598</v>
      </c>
      <c r="I87" s="4">
        <v>598</v>
      </c>
      <c r="J87" t="s">
        <v>262</v>
      </c>
      <c r="K87" t="s">
        <v>86</v>
      </c>
      <c r="L87" s="4">
        <v>12.796588406005421</v>
      </c>
      <c r="M87" s="1" t="s">
        <v>38</v>
      </c>
      <c r="N87" s="11">
        <f t="shared" si="1"/>
        <v>5</v>
      </c>
    </row>
    <row r="88" spans="1:14" ht="16" x14ac:dyDescent="0.2">
      <c r="A88" s="3">
        <v>43350.492312475835</v>
      </c>
      <c r="B88" s="1" t="s">
        <v>263</v>
      </c>
      <c r="C88" t="s">
        <v>175</v>
      </c>
      <c r="D88">
        <v>11</v>
      </c>
      <c r="E88">
        <v>38</v>
      </c>
      <c r="F88">
        <v>19</v>
      </c>
      <c r="G88">
        <v>418</v>
      </c>
      <c r="H88" s="4">
        <v>209</v>
      </c>
      <c r="I88" s="4">
        <v>209</v>
      </c>
      <c r="J88" t="s">
        <v>264</v>
      </c>
      <c r="K88" t="s">
        <v>42</v>
      </c>
      <c r="L88" s="4">
        <v>12.514998090845811</v>
      </c>
      <c r="M88" s="1" t="s">
        <v>54</v>
      </c>
      <c r="N88" s="11">
        <f t="shared" si="1"/>
        <v>10</v>
      </c>
    </row>
    <row r="89" spans="1:14" ht="16" x14ac:dyDescent="0.2">
      <c r="A89" s="3">
        <v>44115.80742687334</v>
      </c>
      <c r="B89" s="1" t="s">
        <v>265</v>
      </c>
      <c r="C89" t="s">
        <v>266</v>
      </c>
      <c r="D89">
        <v>4</v>
      </c>
      <c r="E89">
        <v>50</v>
      </c>
      <c r="F89">
        <v>25</v>
      </c>
      <c r="G89">
        <v>200</v>
      </c>
      <c r="H89" s="4">
        <v>100</v>
      </c>
      <c r="I89" s="4">
        <v>100</v>
      </c>
      <c r="J89" t="s">
        <v>241</v>
      </c>
      <c r="K89" t="s">
        <v>33</v>
      </c>
      <c r="L89" s="4">
        <v>11.274864741138284</v>
      </c>
      <c r="M89" s="1" t="s">
        <v>38</v>
      </c>
      <c r="N89" s="11">
        <f t="shared" si="1"/>
        <v>5</v>
      </c>
    </row>
    <row r="90" spans="1:14" ht="16" x14ac:dyDescent="0.2">
      <c r="A90" s="3">
        <v>44055.581773563033</v>
      </c>
      <c r="B90" s="1" t="s">
        <v>267</v>
      </c>
      <c r="C90" t="s">
        <v>62</v>
      </c>
      <c r="D90">
        <v>6</v>
      </c>
      <c r="E90">
        <v>80</v>
      </c>
      <c r="F90">
        <v>20</v>
      </c>
      <c r="G90">
        <v>480</v>
      </c>
      <c r="H90" s="4">
        <v>120</v>
      </c>
      <c r="I90" s="4">
        <v>360</v>
      </c>
      <c r="J90" t="s">
        <v>268</v>
      </c>
      <c r="K90" t="s">
        <v>49</v>
      </c>
      <c r="L90" s="4">
        <v>11.756374828790458</v>
      </c>
      <c r="M90" s="1" t="s">
        <v>54</v>
      </c>
      <c r="N90" s="11">
        <f t="shared" si="1"/>
        <v>10</v>
      </c>
    </row>
    <row r="91" spans="1:14" ht="16" x14ac:dyDescent="0.2">
      <c r="A91" s="3">
        <v>44149.646394249998</v>
      </c>
      <c r="B91" s="1" t="s">
        <v>269</v>
      </c>
      <c r="C91" t="s">
        <v>151</v>
      </c>
      <c r="D91">
        <v>18</v>
      </c>
      <c r="E91">
        <v>153</v>
      </c>
      <c r="F91">
        <v>51</v>
      </c>
      <c r="G91">
        <v>2754</v>
      </c>
      <c r="H91" s="4">
        <v>918</v>
      </c>
      <c r="I91" s="4">
        <v>1836</v>
      </c>
      <c r="J91" t="s">
        <v>270</v>
      </c>
      <c r="K91" t="s">
        <v>42</v>
      </c>
      <c r="L91" s="4">
        <v>12.661538237835474</v>
      </c>
      <c r="M91" s="1" t="s">
        <v>38</v>
      </c>
      <c r="N91" s="11">
        <f t="shared" si="1"/>
        <v>5</v>
      </c>
    </row>
    <row r="92" spans="1:14" ht="16" x14ac:dyDescent="0.2">
      <c r="A92" s="3">
        <v>43702.682936195117</v>
      </c>
      <c r="B92" s="1" t="s">
        <v>271</v>
      </c>
      <c r="C92" t="s">
        <v>218</v>
      </c>
      <c r="D92">
        <v>16</v>
      </c>
      <c r="E92">
        <v>264</v>
      </c>
      <c r="F92">
        <v>88</v>
      </c>
      <c r="G92">
        <v>4224</v>
      </c>
      <c r="H92" s="4">
        <v>1408</v>
      </c>
      <c r="I92" s="4">
        <v>2816</v>
      </c>
      <c r="J92" t="s">
        <v>272</v>
      </c>
      <c r="K92" t="s">
        <v>49</v>
      </c>
      <c r="L92" s="4">
        <v>12.503632939408062</v>
      </c>
      <c r="M92" s="1" t="s">
        <v>54</v>
      </c>
      <c r="N92" s="11">
        <f t="shared" si="1"/>
        <v>10</v>
      </c>
    </row>
    <row r="93" spans="1:14" ht="16" x14ac:dyDescent="0.2">
      <c r="A93" s="3">
        <v>44585.042542113493</v>
      </c>
      <c r="B93" s="1" t="s">
        <v>273</v>
      </c>
      <c r="C93" t="s">
        <v>257</v>
      </c>
      <c r="D93">
        <v>2</v>
      </c>
      <c r="E93">
        <v>160</v>
      </c>
      <c r="F93">
        <v>80</v>
      </c>
      <c r="G93">
        <v>320</v>
      </c>
      <c r="H93" s="4">
        <v>160</v>
      </c>
      <c r="I93" s="4">
        <v>160</v>
      </c>
      <c r="J93" t="s">
        <v>274</v>
      </c>
      <c r="K93" t="s">
        <v>86</v>
      </c>
      <c r="L93" s="4">
        <v>9.821882845934784</v>
      </c>
      <c r="M93" s="1" t="s">
        <v>38</v>
      </c>
      <c r="N93" s="11">
        <f t="shared" si="1"/>
        <v>5</v>
      </c>
    </row>
    <row r="94" spans="1:14" ht="16" x14ac:dyDescent="0.2">
      <c r="A94" s="3">
        <v>44623.935279236939</v>
      </c>
      <c r="B94" s="1" t="s">
        <v>275</v>
      </c>
      <c r="C94" t="s">
        <v>276</v>
      </c>
      <c r="D94">
        <v>8</v>
      </c>
      <c r="E94">
        <v>57</v>
      </c>
      <c r="F94">
        <v>19</v>
      </c>
      <c r="G94">
        <v>456</v>
      </c>
      <c r="H94" s="4">
        <v>152</v>
      </c>
      <c r="I94" s="4">
        <v>304</v>
      </c>
      <c r="J94" t="s">
        <v>277</v>
      </c>
      <c r="K94" t="s">
        <v>58</v>
      </c>
      <c r="L94" s="4">
        <v>11.883396013219548</v>
      </c>
      <c r="M94" s="1" t="s">
        <v>34</v>
      </c>
      <c r="N94" s="11">
        <f t="shared" si="1"/>
        <v>1</v>
      </c>
    </row>
    <row r="95" spans="1:14" ht="16" x14ac:dyDescent="0.2">
      <c r="A95" s="3">
        <v>43747.618309221252</v>
      </c>
      <c r="B95" s="1" t="s">
        <v>278</v>
      </c>
      <c r="C95" t="s">
        <v>113</v>
      </c>
      <c r="D95">
        <v>17</v>
      </c>
      <c r="E95">
        <v>66</v>
      </c>
      <c r="F95">
        <v>33</v>
      </c>
      <c r="G95">
        <v>1122</v>
      </c>
      <c r="H95" s="4">
        <v>561</v>
      </c>
      <c r="I95" s="4">
        <v>561</v>
      </c>
      <c r="J95" t="s">
        <v>279</v>
      </c>
      <c r="K95" t="s">
        <v>64</v>
      </c>
      <c r="L95" s="4">
        <v>11.504886852416154</v>
      </c>
      <c r="M95" s="1" t="s">
        <v>38</v>
      </c>
      <c r="N95" s="11">
        <f t="shared" si="1"/>
        <v>5</v>
      </c>
    </row>
    <row r="96" spans="1:14" ht="16" x14ac:dyDescent="0.2">
      <c r="A96" s="3">
        <v>44266.901047595093</v>
      </c>
      <c r="B96" s="1" t="s">
        <v>280</v>
      </c>
      <c r="C96" t="s">
        <v>72</v>
      </c>
      <c r="D96">
        <v>1</v>
      </c>
      <c r="E96">
        <v>352</v>
      </c>
      <c r="F96">
        <v>88</v>
      </c>
      <c r="G96">
        <v>352</v>
      </c>
      <c r="H96" s="4">
        <v>88</v>
      </c>
      <c r="I96" s="4">
        <v>264</v>
      </c>
      <c r="J96" t="s">
        <v>281</v>
      </c>
      <c r="K96" t="s">
        <v>33</v>
      </c>
      <c r="L96" s="4">
        <v>11.428575823958646</v>
      </c>
      <c r="M96" s="1" t="s">
        <v>54</v>
      </c>
      <c r="N96" s="11">
        <f t="shared" si="1"/>
        <v>10</v>
      </c>
    </row>
    <row r="97" spans="1:14" ht="16" x14ac:dyDescent="0.2">
      <c r="A97" s="3">
        <v>44672.351155506069</v>
      </c>
      <c r="B97" s="1" t="s">
        <v>282</v>
      </c>
      <c r="C97" t="s">
        <v>283</v>
      </c>
      <c r="D97">
        <v>4</v>
      </c>
      <c r="E97">
        <v>144</v>
      </c>
      <c r="F97">
        <v>36</v>
      </c>
      <c r="G97">
        <v>576</v>
      </c>
      <c r="H97" s="4">
        <v>144</v>
      </c>
      <c r="I97" s="4">
        <v>432</v>
      </c>
      <c r="J97" t="s">
        <v>284</v>
      </c>
      <c r="K97" t="s">
        <v>58</v>
      </c>
      <c r="L97" s="4">
        <v>10.570474361325047</v>
      </c>
      <c r="M97" s="1" t="s">
        <v>34</v>
      </c>
      <c r="N97" s="11">
        <f t="shared" si="1"/>
        <v>1</v>
      </c>
    </row>
    <row r="98" spans="1:14" ht="16" x14ac:dyDescent="0.2">
      <c r="A98" s="3">
        <v>43441.397967314238</v>
      </c>
      <c r="B98" s="1" t="s">
        <v>285</v>
      </c>
      <c r="C98" t="s">
        <v>286</v>
      </c>
      <c r="D98">
        <v>7</v>
      </c>
      <c r="E98">
        <v>34</v>
      </c>
      <c r="F98">
        <v>17</v>
      </c>
      <c r="G98">
        <v>238</v>
      </c>
      <c r="H98" s="4">
        <v>119</v>
      </c>
      <c r="I98" s="4">
        <v>119</v>
      </c>
      <c r="J98" t="s">
        <v>232</v>
      </c>
      <c r="K98" t="s">
        <v>86</v>
      </c>
      <c r="L98" s="4">
        <v>11.346510807401776</v>
      </c>
      <c r="M98" s="1" t="s">
        <v>34</v>
      </c>
      <c r="N98" s="11">
        <f t="shared" si="1"/>
        <v>1</v>
      </c>
    </row>
    <row r="99" spans="1:14" ht="16" x14ac:dyDescent="0.2">
      <c r="A99" s="3">
        <v>43848.380145654439</v>
      </c>
      <c r="B99" s="1" t="s">
        <v>287</v>
      </c>
      <c r="C99" t="s">
        <v>288</v>
      </c>
      <c r="D99">
        <v>14</v>
      </c>
      <c r="E99">
        <v>48</v>
      </c>
      <c r="F99">
        <v>24</v>
      </c>
      <c r="G99">
        <v>672</v>
      </c>
      <c r="H99" s="4">
        <v>336</v>
      </c>
      <c r="I99" s="4">
        <v>336</v>
      </c>
      <c r="J99" t="s">
        <v>137</v>
      </c>
      <c r="K99" t="s">
        <v>42</v>
      </c>
      <c r="L99" s="4">
        <v>11.410471033945758</v>
      </c>
      <c r="M99" s="1" t="s">
        <v>54</v>
      </c>
      <c r="N99" s="11">
        <f t="shared" si="1"/>
        <v>10</v>
      </c>
    </row>
    <row r="100" spans="1:14" ht="16" x14ac:dyDescent="0.2">
      <c r="A100" s="3">
        <v>44443.648803868877</v>
      </c>
      <c r="B100" s="1" t="s">
        <v>289</v>
      </c>
      <c r="C100" t="s">
        <v>288</v>
      </c>
      <c r="D100">
        <v>19</v>
      </c>
      <c r="E100">
        <v>48</v>
      </c>
      <c r="F100">
        <v>24</v>
      </c>
      <c r="G100">
        <v>912</v>
      </c>
      <c r="H100" s="4">
        <v>456</v>
      </c>
      <c r="I100" s="4">
        <v>456</v>
      </c>
      <c r="J100" t="s">
        <v>290</v>
      </c>
      <c r="K100" t="s">
        <v>86</v>
      </c>
      <c r="L100" s="4">
        <v>12.758430621858414</v>
      </c>
      <c r="M100" s="1" t="s">
        <v>38</v>
      </c>
      <c r="N100" s="11">
        <f t="shared" si="1"/>
        <v>5</v>
      </c>
    </row>
    <row r="101" spans="1:14" ht="16" x14ac:dyDescent="0.2">
      <c r="A101" s="3">
        <v>44736.136768533092</v>
      </c>
      <c r="B101" s="1" t="s">
        <v>291</v>
      </c>
      <c r="C101" t="s">
        <v>160</v>
      </c>
      <c r="D101">
        <v>5</v>
      </c>
      <c r="E101">
        <v>132</v>
      </c>
      <c r="F101">
        <v>33</v>
      </c>
      <c r="G101">
        <v>660</v>
      </c>
      <c r="H101" s="4">
        <v>165</v>
      </c>
      <c r="I101" s="4">
        <v>495</v>
      </c>
      <c r="J101" t="s">
        <v>292</v>
      </c>
      <c r="K101" t="s">
        <v>49</v>
      </c>
      <c r="L101" s="4">
        <v>11.710935611749917</v>
      </c>
      <c r="M101" s="1" t="s">
        <v>54</v>
      </c>
      <c r="N101" s="11">
        <f t="shared" si="1"/>
        <v>10</v>
      </c>
    </row>
    <row r="102" spans="1:14" ht="16" x14ac:dyDescent="0.2">
      <c r="A102" s="3">
        <v>44431.428281453118</v>
      </c>
      <c r="B102" s="1" t="s">
        <v>293</v>
      </c>
      <c r="C102" t="s">
        <v>204</v>
      </c>
      <c r="D102">
        <v>18</v>
      </c>
      <c r="E102">
        <v>57</v>
      </c>
      <c r="F102">
        <v>19</v>
      </c>
      <c r="G102">
        <v>1026</v>
      </c>
      <c r="H102" s="4">
        <v>342</v>
      </c>
      <c r="I102" s="4">
        <v>684</v>
      </c>
      <c r="J102" t="s">
        <v>213</v>
      </c>
      <c r="K102" t="s">
        <v>58</v>
      </c>
      <c r="L102" s="4">
        <v>10.980884286450312</v>
      </c>
      <c r="M102" s="1" t="s">
        <v>38</v>
      </c>
      <c r="N102" s="11">
        <f t="shared" si="1"/>
        <v>5</v>
      </c>
    </row>
    <row r="103" spans="1:14" ht="16" x14ac:dyDescent="0.2">
      <c r="A103" s="3">
        <v>44152.756370215182</v>
      </c>
      <c r="B103" s="1" t="s">
        <v>294</v>
      </c>
      <c r="C103" t="s">
        <v>62</v>
      </c>
      <c r="D103">
        <v>13</v>
      </c>
      <c r="E103">
        <v>80</v>
      </c>
      <c r="F103">
        <v>20</v>
      </c>
      <c r="G103">
        <v>1040</v>
      </c>
      <c r="H103" s="4">
        <v>260</v>
      </c>
      <c r="I103" s="4">
        <v>780</v>
      </c>
      <c r="J103" t="s">
        <v>295</v>
      </c>
      <c r="K103" t="s">
        <v>42</v>
      </c>
      <c r="L103" s="4">
        <v>14.906846445071711</v>
      </c>
      <c r="M103" s="1" t="s">
        <v>54</v>
      </c>
      <c r="N103" s="11">
        <f t="shared" si="1"/>
        <v>10</v>
      </c>
    </row>
    <row r="104" spans="1:14" ht="16" x14ac:dyDescent="0.2">
      <c r="A104" s="3">
        <v>44756.135586854383</v>
      </c>
      <c r="B104" s="1" t="s">
        <v>296</v>
      </c>
      <c r="C104" t="s">
        <v>297</v>
      </c>
      <c r="D104">
        <v>1</v>
      </c>
      <c r="E104">
        <v>108</v>
      </c>
      <c r="F104">
        <v>36</v>
      </c>
      <c r="G104">
        <v>108</v>
      </c>
      <c r="H104" s="4">
        <v>36</v>
      </c>
      <c r="I104" s="4">
        <v>72</v>
      </c>
      <c r="J104" t="s">
        <v>189</v>
      </c>
      <c r="K104" t="s">
        <v>58</v>
      </c>
      <c r="L104" s="4">
        <v>12.551203838971933</v>
      </c>
      <c r="M104" s="1" t="s">
        <v>38</v>
      </c>
      <c r="N104" s="11">
        <f t="shared" si="1"/>
        <v>5</v>
      </c>
    </row>
    <row r="105" spans="1:14" ht="16" x14ac:dyDescent="0.2">
      <c r="A105" s="3">
        <v>44496.867508700983</v>
      </c>
      <c r="B105" s="1" t="s">
        <v>298</v>
      </c>
      <c r="C105" t="s">
        <v>299</v>
      </c>
      <c r="D105">
        <v>13</v>
      </c>
      <c r="E105">
        <v>225</v>
      </c>
      <c r="F105">
        <v>75</v>
      </c>
      <c r="G105">
        <v>2925</v>
      </c>
      <c r="H105" s="4">
        <v>975</v>
      </c>
      <c r="I105" s="4">
        <v>1950</v>
      </c>
      <c r="J105" t="s">
        <v>111</v>
      </c>
      <c r="K105" t="s">
        <v>53</v>
      </c>
      <c r="L105" s="4">
        <v>13.407340878370247</v>
      </c>
      <c r="M105" s="1" t="s">
        <v>38</v>
      </c>
      <c r="N105" s="11">
        <f t="shared" si="1"/>
        <v>5</v>
      </c>
    </row>
    <row r="106" spans="1:14" ht="16" x14ac:dyDescent="0.2">
      <c r="A106" s="3">
        <v>43902.485888719733</v>
      </c>
      <c r="B106" s="1" t="s">
        <v>300</v>
      </c>
      <c r="C106" t="s">
        <v>301</v>
      </c>
      <c r="D106">
        <v>14</v>
      </c>
      <c r="E106">
        <v>188</v>
      </c>
      <c r="F106">
        <v>94</v>
      </c>
      <c r="G106">
        <v>2632</v>
      </c>
      <c r="H106" s="4">
        <v>1316</v>
      </c>
      <c r="I106" s="4">
        <v>1316</v>
      </c>
      <c r="J106" t="s">
        <v>176</v>
      </c>
      <c r="K106" t="s">
        <v>64</v>
      </c>
      <c r="L106" s="4">
        <v>12.1334991293512</v>
      </c>
      <c r="M106" s="1" t="s">
        <v>34</v>
      </c>
      <c r="N106" s="11">
        <f t="shared" si="1"/>
        <v>1</v>
      </c>
    </row>
    <row r="107" spans="1:14" ht="16" x14ac:dyDescent="0.2">
      <c r="A107" s="3">
        <v>44577.078445270803</v>
      </c>
      <c r="B107" s="1" t="s">
        <v>302</v>
      </c>
      <c r="C107" t="s">
        <v>113</v>
      </c>
      <c r="D107">
        <v>19</v>
      </c>
      <c r="E107">
        <v>66</v>
      </c>
      <c r="F107">
        <v>33</v>
      </c>
      <c r="G107">
        <v>1254</v>
      </c>
      <c r="H107" s="4">
        <v>627</v>
      </c>
      <c r="I107" s="4">
        <v>627</v>
      </c>
      <c r="J107" t="s">
        <v>277</v>
      </c>
      <c r="K107" t="s">
        <v>58</v>
      </c>
      <c r="L107" s="4">
        <v>11.883396013219548</v>
      </c>
      <c r="M107" s="1" t="s">
        <v>54</v>
      </c>
      <c r="N107" s="11">
        <f t="shared" si="1"/>
        <v>10</v>
      </c>
    </row>
    <row r="108" spans="1:14" ht="16" x14ac:dyDescent="0.2">
      <c r="A108" s="3">
        <v>44889.4733778667</v>
      </c>
      <c r="B108" s="1" t="s">
        <v>303</v>
      </c>
      <c r="C108" t="s">
        <v>304</v>
      </c>
      <c r="D108">
        <v>6</v>
      </c>
      <c r="E108">
        <v>116</v>
      </c>
      <c r="F108">
        <v>29</v>
      </c>
      <c r="G108">
        <v>696</v>
      </c>
      <c r="H108" s="4">
        <v>174</v>
      </c>
      <c r="I108" s="4">
        <v>522</v>
      </c>
      <c r="J108" t="s">
        <v>305</v>
      </c>
      <c r="K108" t="s">
        <v>86</v>
      </c>
      <c r="L108" s="4">
        <v>10.317615395419679</v>
      </c>
      <c r="M108" s="1" t="s">
        <v>34</v>
      </c>
      <c r="N108" s="11">
        <f t="shared" si="1"/>
        <v>1</v>
      </c>
    </row>
    <row r="109" spans="1:14" ht="16" x14ac:dyDescent="0.2">
      <c r="A109" s="3">
        <v>44226.131340309381</v>
      </c>
      <c r="B109" s="1" t="s">
        <v>306</v>
      </c>
      <c r="C109" t="s">
        <v>286</v>
      </c>
      <c r="D109">
        <v>6</v>
      </c>
      <c r="E109">
        <v>34</v>
      </c>
      <c r="F109">
        <v>17</v>
      </c>
      <c r="G109">
        <v>204</v>
      </c>
      <c r="H109" s="4">
        <v>102</v>
      </c>
      <c r="I109" s="4">
        <v>102</v>
      </c>
      <c r="J109" t="s">
        <v>307</v>
      </c>
      <c r="K109" t="s">
        <v>53</v>
      </c>
      <c r="L109" s="4">
        <v>7.0114620475168028</v>
      </c>
      <c r="M109" s="1" t="s">
        <v>34</v>
      </c>
      <c r="N109" s="11">
        <f t="shared" si="1"/>
        <v>1</v>
      </c>
    </row>
    <row r="110" spans="1:14" ht="16" x14ac:dyDescent="0.2">
      <c r="A110" s="3">
        <v>43756.722300110334</v>
      </c>
      <c r="B110" s="1" t="s">
        <v>308</v>
      </c>
      <c r="C110" t="s">
        <v>145</v>
      </c>
      <c r="D110">
        <v>2</v>
      </c>
      <c r="E110">
        <v>207</v>
      </c>
      <c r="F110">
        <v>69</v>
      </c>
      <c r="G110">
        <v>414</v>
      </c>
      <c r="H110" s="4">
        <v>138</v>
      </c>
      <c r="I110" s="4">
        <v>276</v>
      </c>
      <c r="J110" t="s">
        <v>238</v>
      </c>
      <c r="K110" t="s">
        <v>86</v>
      </c>
      <c r="L110" s="4">
        <v>14.593670394271927</v>
      </c>
      <c r="M110" s="1" t="s">
        <v>34</v>
      </c>
      <c r="N110" s="11">
        <f t="shared" si="1"/>
        <v>1</v>
      </c>
    </row>
    <row r="111" spans="1:14" ht="16" x14ac:dyDescent="0.2">
      <c r="A111" s="3">
        <v>43826.143489124188</v>
      </c>
      <c r="B111" s="1" t="s">
        <v>309</v>
      </c>
      <c r="C111" t="s">
        <v>72</v>
      </c>
      <c r="D111">
        <v>19</v>
      </c>
      <c r="E111">
        <v>352</v>
      </c>
      <c r="F111">
        <v>88</v>
      </c>
      <c r="G111">
        <v>6688</v>
      </c>
      <c r="H111" s="4">
        <v>1672</v>
      </c>
      <c r="I111" s="4">
        <v>5016</v>
      </c>
      <c r="J111" t="s">
        <v>310</v>
      </c>
      <c r="K111" t="s">
        <v>58</v>
      </c>
      <c r="L111" s="4">
        <v>11.03324198943719</v>
      </c>
      <c r="M111" s="1" t="s">
        <v>38</v>
      </c>
      <c r="N111" s="11">
        <f t="shared" si="1"/>
        <v>5</v>
      </c>
    </row>
    <row r="112" spans="1:14" ht="16" x14ac:dyDescent="0.2">
      <c r="A112" s="3">
        <v>44076.446683663788</v>
      </c>
      <c r="B112" s="1" t="s">
        <v>311</v>
      </c>
      <c r="C112" t="s">
        <v>312</v>
      </c>
      <c r="D112">
        <v>13</v>
      </c>
      <c r="E112">
        <v>240</v>
      </c>
      <c r="F112">
        <v>80</v>
      </c>
      <c r="G112">
        <v>3120</v>
      </c>
      <c r="H112" s="4">
        <v>1040</v>
      </c>
      <c r="I112" s="4">
        <v>2080</v>
      </c>
      <c r="J112" t="s">
        <v>313</v>
      </c>
      <c r="K112" t="s">
        <v>49</v>
      </c>
      <c r="L112" s="4">
        <v>11.99399163482429</v>
      </c>
      <c r="M112" s="1" t="s">
        <v>38</v>
      </c>
      <c r="N112" s="11">
        <f t="shared" si="1"/>
        <v>5</v>
      </c>
    </row>
    <row r="113" spans="1:14" ht="16" x14ac:dyDescent="0.2">
      <c r="A113" s="3">
        <v>44876.39318716163</v>
      </c>
      <c r="B113" s="1" t="s">
        <v>314</v>
      </c>
      <c r="C113" t="s">
        <v>40</v>
      </c>
      <c r="D113">
        <v>7</v>
      </c>
      <c r="E113">
        <v>46</v>
      </c>
      <c r="F113">
        <v>23</v>
      </c>
      <c r="G113">
        <v>322</v>
      </c>
      <c r="H113" s="4">
        <v>161</v>
      </c>
      <c r="I113" s="4">
        <v>161</v>
      </c>
      <c r="J113" t="s">
        <v>315</v>
      </c>
      <c r="K113" t="s">
        <v>42</v>
      </c>
      <c r="L113" s="4">
        <v>10.966283117837653</v>
      </c>
      <c r="M113" s="1" t="s">
        <v>34</v>
      </c>
      <c r="N113" s="11">
        <f t="shared" si="1"/>
        <v>1</v>
      </c>
    </row>
    <row r="114" spans="1:14" ht="16" x14ac:dyDescent="0.2">
      <c r="A114" s="3">
        <v>44440.373918524107</v>
      </c>
      <c r="B114" s="1" t="s">
        <v>316</v>
      </c>
      <c r="C114" t="s">
        <v>317</v>
      </c>
      <c r="D114">
        <v>6</v>
      </c>
      <c r="E114">
        <v>352</v>
      </c>
      <c r="F114">
        <v>88</v>
      </c>
      <c r="G114">
        <v>2112</v>
      </c>
      <c r="H114" s="4">
        <v>528</v>
      </c>
      <c r="I114" s="4">
        <v>1584</v>
      </c>
      <c r="J114" t="s">
        <v>318</v>
      </c>
      <c r="K114" t="s">
        <v>33</v>
      </c>
      <c r="L114" s="4">
        <v>9.0350666811770921</v>
      </c>
      <c r="M114" s="1" t="s">
        <v>34</v>
      </c>
      <c r="N114" s="11">
        <f t="shared" si="1"/>
        <v>1</v>
      </c>
    </row>
    <row r="115" spans="1:14" ht="16" x14ac:dyDescent="0.2">
      <c r="A115" s="3">
        <v>44478.066304199761</v>
      </c>
      <c r="B115" s="1" t="s">
        <v>319</v>
      </c>
      <c r="C115" t="s">
        <v>320</v>
      </c>
      <c r="D115">
        <v>12</v>
      </c>
      <c r="E115">
        <v>280</v>
      </c>
      <c r="F115">
        <v>70</v>
      </c>
      <c r="G115">
        <v>3360</v>
      </c>
      <c r="H115" s="4">
        <v>840</v>
      </c>
      <c r="I115" s="4">
        <v>2520</v>
      </c>
      <c r="J115" t="s">
        <v>321</v>
      </c>
      <c r="K115" t="s">
        <v>42</v>
      </c>
      <c r="L115" s="4">
        <v>7.7337149713827413</v>
      </c>
      <c r="M115" s="1" t="s">
        <v>38</v>
      </c>
      <c r="N115" s="11">
        <f t="shared" si="1"/>
        <v>5</v>
      </c>
    </row>
    <row r="116" spans="1:14" ht="16" x14ac:dyDescent="0.2">
      <c r="A116" s="3">
        <v>43783.023730689281</v>
      </c>
      <c r="B116" s="1" t="s">
        <v>322</v>
      </c>
      <c r="C116" t="s">
        <v>188</v>
      </c>
      <c r="D116">
        <v>1</v>
      </c>
      <c r="E116">
        <v>368</v>
      </c>
      <c r="F116">
        <v>92</v>
      </c>
      <c r="G116">
        <v>368</v>
      </c>
      <c r="H116" s="4">
        <v>92</v>
      </c>
      <c r="I116" s="4">
        <v>276</v>
      </c>
      <c r="J116" t="s">
        <v>323</v>
      </c>
      <c r="K116" t="s">
        <v>53</v>
      </c>
      <c r="L116" s="4">
        <v>11.221666113009938</v>
      </c>
      <c r="M116" s="1" t="s">
        <v>38</v>
      </c>
      <c r="N116" s="11">
        <f t="shared" si="1"/>
        <v>5</v>
      </c>
    </row>
    <row r="117" spans="1:14" ht="16" x14ac:dyDescent="0.2">
      <c r="A117" s="3">
        <v>43562.464663530911</v>
      </c>
      <c r="B117" s="1" t="s">
        <v>324</v>
      </c>
      <c r="C117" t="s">
        <v>188</v>
      </c>
      <c r="D117">
        <v>1</v>
      </c>
      <c r="E117">
        <v>368</v>
      </c>
      <c r="F117">
        <v>92</v>
      </c>
      <c r="G117">
        <v>368</v>
      </c>
      <c r="H117" s="4">
        <v>92</v>
      </c>
      <c r="I117" s="4">
        <v>276</v>
      </c>
      <c r="J117" t="s">
        <v>76</v>
      </c>
      <c r="K117" t="s">
        <v>58</v>
      </c>
      <c r="L117" s="4">
        <v>9.8384363471888783</v>
      </c>
      <c r="M117" s="1" t="s">
        <v>54</v>
      </c>
      <c r="N117" s="11">
        <f t="shared" si="1"/>
        <v>10</v>
      </c>
    </row>
    <row r="118" spans="1:14" ht="16" x14ac:dyDescent="0.2">
      <c r="A118" s="3">
        <v>43208.21775811175</v>
      </c>
      <c r="B118" s="1" t="s">
        <v>325</v>
      </c>
      <c r="C118" t="s">
        <v>47</v>
      </c>
      <c r="D118">
        <v>10</v>
      </c>
      <c r="E118">
        <v>231</v>
      </c>
      <c r="F118">
        <v>77</v>
      </c>
      <c r="G118">
        <v>2310</v>
      </c>
      <c r="H118" s="4">
        <v>770</v>
      </c>
      <c r="I118" s="4">
        <v>1540</v>
      </c>
      <c r="J118" t="s">
        <v>106</v>
      </c>
      <c r="K118" t="s">
        <v>42</v>
      </c>
      <c r="L118" s="4">
        <v>13.717776078041958</v>
      </c>
      <c r="M118" s="1" t="s">
        <v>38</v>
      </c>
      <c r="N118" s="11">
        <f t="shared" si="1"/>
        <v>5</v>
      </c>
    </row>
    <row r="119" spans="1:14" ht="16" x14ac:dyDescent="0.2">
      <c r="A119" s="3">
        <v>43566.871446863173</v>
      </c>
      <c r="B119" s="1" t="s">
        <v>326</v>
      </c>
      <c r="C119" t="s">
        <v>227</v>
      </c>
      <c r="D119">
        <v>3</v>
      </c>
      <c r="E119">
        <v>144</v>
      </c>
      <c r="F119">
        <v>48</v>
      </c>
      <c r="G119">
        <v>432</v>
      </c>
      <c r="H119" s="4">
        <v>144</v>
      </c>
      <c r="I119" s="4">
        <v>288</v>
      </c>
      <c r="J119" t="s">
        <v>305</v>
      </c>
      <c r="K119" t="s">
        <v>86</v>
      </c>
      <c r="L119" s="4">
        <v>10.317615395419679</v>
      </c>
      <c r="M119" s="1" t="s">
        <v>38</v>
      </c>
      <c r="N119" s="11">
        <f t="shared" si="1"/>
        <v>5</v>
      </c>
    </row>
    <row r="120" spans="1:14" ht="16" x14ac:dyDescent="0.2">
      <c r="A120" s="3">
        <v>43475.205952562421</v>
      </c>
      <c r="B120" s="1" t="s">
        <v>327</v>
      </c>
      <c r="C120" t="s">
        <v>328</v>
      </c>
      <c r="D120">
        <v>13</v>
      </c>
      <c r="E120">
        <v>124</v>
      </c>
      <c r="F120">
        <v>62</v>
      </c>
      <c r="G120">
        <v>1612</v>
      </c>
      <c r="H120" s="4">
        <v>806</v>
      </c>
      <c r="I120" s="4">
        <v>806</v>
      </c>
      <c r="J120" t="s">
        <v>329</v>
      </c>
      <c r="K120" t="s">
        <v>33</v>
      </c>
      <c r="L120" s="4">
        <v>12.545140403858928</v>
      </c>
      <c r="M120" s="1" t="s">
        <v>38</v>
      </c>
      <c r="N120" s="11">
        <f t="shared" si="1"/>
        <v>5</v>
      </c>
    </row>
    <row r="121" spans="1:14" ht="16" x14ac:dyDescent="0.2">
      <c r="A121" s="3">
        <v>44196.152553506181</v>
      </c>
      <c r="B121" s="1" t="s">
        <v>330</v>
      </c>
      <c r="C121" t="s">
        <v>110</v>
      </c>
      <c r="D121">
        <v>1</v>
      </c>
      <c r="E121">
        <v>144</v>
      </c>
      <c r="F121">
        <v>36</v>
      </c>
      <c r="G121">
        <v>144</v>
      </c>
      <c r="H121" s="4">
        <v>36</v>
      </c>
      <c r="I121" s="4">
        <v>108</v>
      </c>
      <c r="J121" t="s">
        <v>331</v>
      </c>
      <c r="K121" t="s">
        <v>58</v>
      </c>
      <c r="L121" s="4">
        <v>15.18789248529443</v>
      </c>
      <c r="M121" s="1" t="s">
        <v>38</v>
      </c>
      <c r="N121" s="11">
        <f t="shared" si="1"/>
        <v>5</v>
      </c>
    </row>
    <row r="122" spans="1:14" ht="16" x14ac:dyDescent="0.2">
      <c r="A122" s="3">
        <v>43506.152854616295</v>
      </c>
      <c r="B122" s="1" t="s">
        <v>332</v>
      </c>
      <c r="C122" t="s">
        <v>133</v>
      </c>
      <c r="D122">
        <v>13</v>
      </c>
      <c r="E122">
        <v>189</v>
      </c>
      <c r="F122">
        <v>63</v>
      </c>
      <c r="G122">
        <v>2457</v>
      </c>
      <c r="H122" s="4">
        <v>819</v>
      </c>
      <c r="I122" s="4">
        <v>1638</v>
      </c>
      <c r="J122" t="s">
        <v>134</v>
      </c>
      <c r="K122" t="s">
        <v>33</v>
      </c>
      <c r="L122" s="4">
        <v>9.4200113153305907</v>
      </c>
      <c r="M122" s="1" t="s">
        <v>34</v>
      </c>
      <c r="N122" s="11">
        <f t="shared" si="1"/>
        <v>1</v>
      </c>
    </row>
    <row r="123" spans="1:14" ht="16" x14ac:dyDescent="0.2">
      <c r="A123" s="3">
        <v>43512.762008733764</v>
      </c>
      <c r="B123" s="1" t="s">
        <v>333</v>
      </c>
      <c r="C123" t="s">
        <v>136</v>
      </c>
      <c r="D123">
        <v>20</v>
      </c>
      <c r="E123">
        <v>154</v>
      </c>
      <c r="F123">
        <v>77</v>
      </c>
      <c r="G123">
        <v>3080</v>
      </c>
      <c r="H123" s="4">
        <v>1540</v>
      </c>
      <c r="I123" s="4">
        <v>1540</v>
      </c>
      <c r="J123" t="s">
        <v>225</v>
      </c>
      <c r="K123" t="s">
        <v>33</v>
      </c>
      <c r="L123" s="4">
        <v>11.083482342133532</v>
      </c>
      <c r="M123" s="1" t="s">
        <v>38</v>
      </c>
      <c r="N123" s="11">
        <f t="shared" si="1"/>
        <v>5</v>
      </c>
    </row>
    <row r="124" spans="1:14" ht="16" x14ac:dyDescent="0.2">
      <c r="A124" s="3">
        <v>44698.646175539652</v>
      </c>
      <c r="B124" s="1" t="s">
        <v>334</v>
      </c>
      <c r="C124" t="s">
        <v>91</v>
      </c>
      <c r="D124">
        <v>9</v>
      </c>
      <c r="E124">
        <v>300</v>
      </c>
      <c r="F124">
        <v>75</v>
      </c>
      <c r="G124">
        <v>2700</v>
      </c>
      <c r="H124" s="4">
        <v>675</v>
      </c>
      <c r="I124" s="4">
        <v>2025</v>
      </c>
      <c r="J124" t="s">
        <v>335</v>
      </c>
      <c r="K124" t="s">
        <v>53</v>
      </c>
      <c r="L124" s="4">
        <v>12.148236977735172</v>
      </c>
      <c r="M124" s="1" t="s">
        <v>38</v>
      </c>
      <c r="N124" s="11">
        <f t="shared" si="1"/>
        <v>5</v>
      </c>
    </row>
    <row r="125" spans="1:14" ht="16" x14ac:dyDescent="0.2">
      <c r="A125" s="3">
        <v>43190.622909527563</v>
      </c>
      <c r="B125" s="1" t="s">
        <v>336</v>
      </c>
      <c r="C125" t="s">
        <v>337</v>
      </c>
      <c r="D125">
        <v>10</v>
      </c>
      <c r="E125">
        <v>135</v>
      </c>
      <c r="F125">
        <v>45</v>
      </c>
      <c r="G125">
        <v>1350</v>
      </c>
      <c r="H125" s="4">
        <v>450</v>
      </c>
      <c r="I125" s="4">
        <v>900</v>
      </c>
      <c r="J125" t="s">
        <v>338</v>
      </c>
      <c r="K125" t="s">
        <v>64</v>
      </c>
      <c r="L125" s="4">
        <v>10.132922049221957</v>
      </c>
      <c r="M125" s="1" t="s">
        <v>54</v>
      </c>
      <c r="N125" s="11">
        <f t="shared" si="1"/>
        <v>10</v>
      </c>
    </row>
    <row r="126" spans="1:14" ht="16" x14ac:dyDescent="0.2">
      <c r="A126" s="3">
        <v>43546.398893379563</v>
      </c>
      <c r="B126" s="1" t="s">
        <v>339</v>
      </c>
      <c r="C126" t="s">
        <v>340</v>
      </c>
      <c r="D126">
        <v>1</v>
      </c>
      <c r="E126">
        <v>180</v>
      </c>
      <c r="F126">
        <v>45</v>
      </c>
      <c r="G126">
        <v>180</v>
      </c>
      <c r="H126" s="4">
        <v>45</v>
      </c>
      <c r="I126" s="4">
        <v>135</v>
      </c>
      <c r="J126" t="s">
        <v>341</v>
      </c>
      <c r="K126" t="s">
        <v>64</v>
      </c>
      <c r="L126" s="4">
        <v>10.816866337473218</v>
      </c>
      <c r="M126" s="1" t="s">
        <v>54</v>
      </c>
      <c r="N126" s="11">
        <f t="shared" si="1"/>
        <v>10</v>
      </c>
    </row>
    <row r="127" spans="1:14" ht="16" x14ac:dyDescent="0.2">
      <c r="A127" s="3">
        <v>44226.636946663144</v>
      </c>
      <c r="B127" s="1" t="s">
        <v>342</v>
      </c>
      <c r="C127" t="s">
        <v>218</v>
      </c>
      <c r="D127">
        <v>16</v>
      </c>
      <c r="E127">
        <v>264</v>
      </c>
      <c r="F127">
        <v>88</v>
      </c>
      <c r="G127">
        <v>4224</v>
      </c>
      <c r="H127" s="4">
        <v>1408</v>
      </c>
      <c r="I127" s="4">
        <v>2816</v>
      </c>
      <c r="J127" t="s">
        <v>343</v>
      </c>
      <c r="K127" t="s">
        <v>42</v>
      </c>
      <c r="L127" s="4">
        <v>9.8928038181361391</v>
      </c>
      <c r="M127" s="1" t="s">
        <v>38</v>
      </c>
      <c r="N127" s="11">
        <f t="shared" si="1"/>
        <v>5</v>
      </c>
    </row>
    <row r="128" spans="1:14" ht="16" x14ac:dyDescent="0.2">
      <c r="A128" s="3">
        <v>43319.036039246741</v>
      </c>
      <c r="B128" s="1" t="s">
        <v>344</v>
      </c>
      <c r="C128" t="s">
        <v>328</v>
      </c>
      <c r="D128">
        <v>4</v>
      </c>
      <c r="E128">
        <v>124</v>
      </c>
      <c r="F128">
        <v>62</v>
      </c>
      <c r="G128">
        <v>496</v>
      </c>
      <c r="H128" s="4">
        <v>248</v>
      </c>
      <c r="I128" s="4">
        <v>248</v>
      </c>
      <c r="J128" t="s">
        <v>345</v>
      </c>
      <c r="K128" t="s">
        <v>49</v>
      </c>
      <c r="L128" s="4">
        <v>14.687857652112591</v>
      </c>
      <c r="M128" s="1" t="s">
        <v>38</v>
      </c>
      <c r="N128" s="11">
        <f t="shared" si="1"/>
        <v>5</v>
      </c>
    </row>
    <row r="129" spans="1:14" ht="16" x14ac:dyDescent="0.2">
      <c r="A129" s="3">
        <v>44499.398590836201</v>
      </c>
      <c r="B129" s="1" t="s">
        <v>346</v>
      </c>
      <c r="C129" t="s">
        <v>75</v>
      </c>
      <c r="D129">
        <v>10</v>
      </c>
      <c r="E129">
        <v>76</v>
      </c>
      <c r="F129">
        <v>19</v>
      </c>
      <c r="G129">
        <v>760</v>
      </c>
      <c r="H129" s="4">
        <v>190</v>
      </c>
      <c r="I129" s="4">
        <v>570</v>
      </c>
      <c r="J129" t="s">
        <v>213</v>
      </c>
      <c r="K129" t="s">
        <v>58</v>
      </c>
      <c r="L129" s="4">
        <v>10.980884286450312</v>
      </c>
      <c r="M129" s="1" t="s">
        <v>38</v>
      </c>
      <c r="N129" s="11">
        <f t="shared" si="1"/>
        <v>5</v>
      </c>
    </row>
    <row r="130" spans="1:14" ht="16" x14ac:dyDescent="0.2">
      <c r="A130" s="3">
        <v>44438.190887905512</v>
      </c>
      <c r="B130" s="1" t="s">
        <v>347</v>
      </c>
      <c r="C130" t="s">
        <v>340</v>
      </c>
      <c r="D130">
        <v>11</v>
      </c>
      <c r="E130">
        <v>180</v>
      </c>
      <c r="F130">
        <v>45</v>
      </c>
      <c r="G130">
        <v>1980</v>
      </c>
      <c r="H130" s="4">
        <v>495</v>
      </c>
      <c r="I130" s="4">
        <v>1485</v>
      </c>
      <c r="J130" t="s">
        <v>348</v>
      </c>
      <c r="K130" t="s">
        <v>42</v>
      </c>
      <c r="L130" s="4">
        <v>11.769293993029555</v>
      </c>
      <c r="M130" s="1" t="s">
        <v>54</v>
      </c>
      <c r="N130" s="11">
        <f t="shared" si="1"/>
        <v>10</v>
      </c>
    </row>
    <row r="131" spans="1:14" ht="16" x14ac:dyDescent="0.2">
      <c r="A131" s="3">
        <v>43638.140518436172</v>
      </c>
      <c r="B131" s="1" t="s">
        <v>349</v>
      </c>
      <c r="C131" t="s">
        <v>51</v>
      </c>
      <c r="D131">
        <v>6</v>
      </c>
      <c r="E131">
        <v>160</v>
      </c>
      <c r="F131">
        <v>80</v>
      </c>
      <c r="G131">
        <v>960</v>
      </c>
      <c r="H131" s="4">
        <v>480</v>
      </c>
      <c r="I131" s="4">
        <v>480</v>
      </c>
      <c r="J131" t="s">
        <v>230</v>
      </c>
      <c r="K131" t="s">
        <v>42</v>
      </c>
      <c r="L131" s="4">
        <v>12.172922939334034</v>
      </c>
      <c r="M131" s="1" t="s">
        <v>38</v>
      </c>
      <c r="N131" s="11">
        <f t="shared" ref="N131:N194" si="2">+IF(M131="Dissatisfied",1,IF(M131="Satisfied",10,5))</f>
        <v>5</v>
      </c>
    </row>
    <row r="132" spans="1:14" ht="16" x14ac:dyDescent="0.2">
      <c r="A132" s="3">
        <v>43196.620165121996</v>
      </c>
      <c r="B132" s="1" t="s">
        <v>350</v>
      </c>
      <c r="C132" t="s">
        <v>196</v>
      </c>
      <c r="D132">
        <v>10</v>
      </c>
      <c r="E132">
        <v>192</v>
      </c>
      <c r="F132">
        <v>96</v>
      </c>
      <c r="G132">
        <v>1920</v>
      </c>
      <c r="H132" s="4">
        <v>960</v>
      </c>
      <c r="I132" s="4">
        <v>960</v>
      </c>
      <c r="J132" t="s">
        <v>351</v>
      </c>
      <c r="K132" t="s">
        <v>33</v>
      </c>
      <c r="L132" s="4">
        <v>11.070908141213383</v>
      </c>
      <c r="M132" s="1" t="s">
        <v>38</v>
      </c>
      <c r="N132" s="11">
        <f t="shared" si="2"/>
        <v>5</v>
      </c>
    </row>
    <row r="133" spans="1:14" ht="16" x14ac:dyDescent="0.2">
      <c r="A133" s="3">
        <v>43866.902877618289</v>
      </c>
      <c r="B133" s="1" t="s">
        <v>352</v>
      </c>
      <c r="C133" t="s">
        <v>215</v>
      </c>
      <c r="D133">
        <v>14</v>
      </c>
      <c r="E133">
        <v>176</v>
      </c>
      <c r="F133">
        <v>88</v>
      </c>
      <c r="G133">
        <v>2464</v>
      </c>
      <c r="H133" s="4">
        <v>1232</v>
      </c>
      <c r="I133" s="4">
        <v>1232</v>
      </c>
      <c r="J133" t="s">
        <v>205</v>
      </c>
      <c r="K133" t="s">
        <v>33</v>
      </c>
      <c r="L133" s="4">
        <v>12.007834550770397</v>
      </c>
      <c r="M133" s="1" t="s">
        <v>38</v>
      </c>
      <c r="N133" s="11">
        <f t="shared" si="2"/>
        <v>5</v>
      </c>
    </row>
    <row r="134" spans="1:14" ht="16" x14ac:dyDescent="0.2">
      <c r="A134" s="3">
        <v>43809.177615233537</v>
      </c>
      <c r="B134" s="1" t="s">
        <v>353</v>
      </c>
      <c r="C134" t="s">
        <v>44</v>
      </c>
      <c r="D134">
        <v>18</v>
      </c>
      <c r="E134">
        <v>114</v>
      </c>
      <c r="F134">
        <v>57</v>
      </c>
      <c r="G134">
        <v>2052</v>
      </c>
      <c r="H134" s="4">
        <v>1026</v>
      </c>
      <c r="I134" s="4">
        <v>1026</v>
      </c>
      <c r="J134" t="s">
        <v>354</v>
      </c>
      <c r="K134" t="s">
        <v>42</v>
      </c>
      <c r="L134" s="4">
        <v>13.518413464873573</v>
      </c>
      <c r="M134" s="1" t="s">
        <v>38</v>
      </c>
      <c r="N134" s="11">
        <f t="shared" si="2"/>
        <v>5</v>
      </c>
    </row>
    <row r="135" spans="1:14" ht="16" x14ac:dyDescent="0.2">
      <c r="A135" s="3">
        <v>43941.524566409564</v>
      </c>
      <c r="B135" s="1" t="s">
        <v>355</v>
      </c>
      <c r="C135" t="s">
        <v>356</v>
      </c>
      <c r="D135">
        <v>2</v>
      </c>
      <c r="E135">
        <v>356</v>
      </c>
      <c r="F135">
        <v>89</v>
      </c>
      <c r="G135">
        <v>712</v>
      </c>
      <c r="H135" s="4">
        <v>178</v>
      </c>
      <c r="I135" s="4">
        <v>534</v>
      </c>
      <c r="J135" t="s">
        <v>357</v>
      </c>
      <c r="K135" t="s">
        <v>86</v>
      </c>
      <c r="L135" s="4">
        <v>11.986565560885863</v>
      </c>
      <c r="M135" s="1" t="s">
        <v>34</v>
      </c>
      <c r="N135" s="11">
        <f t="shared" si="2"/>
        <v>1</v>
      </c>
    </row>
    <row r="136" spans="1:14" ht="16" x14ac:dyDescent="0.2">
      <c r="A136" s="3">
        <v>43824.774662035299</v>
      </c>
      <c r="B136" s="1" t="s">
        <v>358</v>
      </c>
      <c r="C136" t="s">
        <v>175</v>
      </c>
      <c r="D136">
        <v>4</v>
      </c>
      <c r="E136">
        <v>38</v>
      </c>
      <c r="F136">
        <v>19</v>
      </c>
      <c r="G136">
        <v>152</v>
      </c>
      <c r="H136" s="4">
        <v>76</v>
      </c>
      <c r="I136" s="4">
        <v>76</v>
      </c>
      <c r="J136" t="s">
        <v>359</v>
      </c>
      <c r="K136" t="s">
        <v>64</v>
      </c>
      <c r="L136" s="4">
        <v>11.970975110943924</v>
      </c>
      <c r="M136" s="1" t="s">
        <v>38</v>
      </c>
      <c r="N136" s="11">
        <f t="shared" si="2"/>
        <v>5</v>
      </c>
    </row>
    <row r="137" spans="1:14" ht="16" x14ac:dyDescent="0.2">
      <c r="A137" s="3">
        <v>44107.581953663634</v>
      </c>
      <c r="B137" s="1" t="s">
        <v>360</v>
      </c>
      <c r="C137" t="s">
        <v>193</v>
      </c>
      <c r="D137">
        <v>18</v>
      </c>
      <c r="E137">
        <v>348</v>
      </c>
      <c r="F137">
        <v>87</v>
      </c>
      <c r="G137">
        <v>6264</v>
      </c>
      <c r="H137" s="4">
        <v>1566</v>
      </c>
      <c r="I137" s="4">
        <v>4698</v>
      </c>
      <c r="J137" t="s">
        <v>361</v>
      </c>
      <c r="K137" t="s">
        <v>64</v>
      </c>
      <c r="L137" s="4">
        <v>13.092530646074781</v>
      </c>
      <c r="M137" s="1" t="s">
        <v>54</v>
      </c>
      <c r="N137" s="11">
        <f t="shared" si="2"/>
        <v>10</v>
      </c>
    </row>
    <row r="138" spans="1:14" ht="16" x14ac:dyDescent="0.2">
      <c r="A138" s="3">
        <v>43601.066638118617</v>
      </c>
      <c r="B138" s="1" t="s">
        <v>362</v>
      </c>
      <c r="C138" t="s">
        <v>31</v>
      </c>
      <c r="D138">
        <v>19</v>
      </c>
      <c r="E138">
        <v>280</v>
      </c>
      <c r="F138">
        <v>70</v>
      </c>
      <c r="G138">
        <v>5320</v>
      </c>
      <c r="H138" s="4">
        <v>1330</v>
      </c>
      <c r="I138" s="4">
        <v>3990</v>
      </c>
      <c r="J138" t="s">
        <v>363</v>
      </c>
      <c r="K138" t="s">
        <v>64</v>
      </c>
      <c r="L138" s="4">
        <v>14.690198582365463</v>
      </c>
      <c r="M138" s="1" t="s">
        <v>54</v>
      </c>
      <c r="N138" s="11">
        <f t="shared" si="2"/>
        <v>10</v>
      </c>
    </row>
    <row r="139" spans="1:14" ht="16" x14ac:dyDescent="0.2">
      <c r="A139" s="3">
        <v>43992.21546913877</v>
      </c>
      <c r="B139" s="1" t="s">
        <v>364</v>
      </c>
      <c r="C139" t="s">
        <v>365</v>
      </c>
      <c r="D139">
        <v>15</v>
      </c>
      <c r="E139">
        <v>255</v>
      </c>
      <c r="F139">
        <v>85</v>
      </c>
      <c r="G139">
        <v>3825</v>
      </c>
      <c r="H139" s="4">
        <v>1275</v>
      </c>
      <c r="I139" s="4">
        <v>2550</v>
      </c>
      <c r="J139" t="s">
        <v>366</v>
      </c>
      <c r="K139" t="s">
        <v>64</v>
      </c>
      <c r="L139" s="4">
        <v>12.342715162719054</v>
      </c>
      <c r="M139" s="1" t="s">
        <v>54</v>
      </c>
      <c r="N139" s="11">
        <f t="shared" si="2"/>
        <v>10</v>
      </c>
    </row>
    <row r="140" spans="1:14" ht="16" x14ac:dyDescent="0.2">
      <c r="A140" s="3">
        <v>43583.092911143722</v>
      </c>
      <c r="B140" s="1" t="s">
        <v>367</v>
      </c>
      <c r="C140" t="s">
        <v>212</v>
      </c>
      <c r="D140">
        <v>20</v>
      </c>
      <c r="E140">
        <v>300</v>
      </c>
      <c r="F140">
        <v>75</v>
      </c>
      <c r="G140">
        <v>6000</v>
      </c>
      <c r="H140" s="4">
        <v>1500</v>
      </c>
      <c r="I140" s="4">
        <v>4500</v>
      </c>
      <c r="J140" t="s">
        <v>313</v>
      </c>
      <c r="K140" t="s">
        <v>49</v>
      </c>
      <c r="L140" s="4">
        <v>11.99399163482429</v>
      </c>
      <c r="M140" s="1" t="s">
        <v>54</v>
      </c>
      <c r="N140" s="11">
        <f t="shared" si="2"/>
        <v>10</v>
      </c>
    </row>
    <row r="141" spans="1:14" ht="16" x14ac:dyDescent="0.2">
      <c r="A141" s="3">
        <v>44183.56370587102</v>
      </c>
      <c r="B141" s="1" t="s">
        <v>368</v>
      </c>
      <c r="C141" t="s">
        <v>248</v>
      </c>
      <c r="D141">
        <v>14</v>
      </c>
      <c r="E141">
        <v>132</v>
      </c>
      <c r="F141">
        <v>44</v>
      </c>
      <c r="G141">
        <v>1848</v>
      </c>
      <c r="H141" s="4">
        <v>616</v>
      </c>
      <c r="I141" s="4">
        <v>1232</v>
      </c>
      <c r="J141" t="s">
        <v>244</v>
      </c>
      <c r="K141" t="s">
        <v>86</v>
      </c>
      <c r="L141" s="4">
        <v>15.458859683514467</v>
      </c>
      <c r="M141" s="1" t="s">
        <v>38</v>
      </c>
      <c r="N141" s="11">
        <f t="shared" si="2"/>
        <v>5</v>
      </c>
    </row>
    <row r="142" spans="1:14" ht="16" x14ac:dyDescent="0.2">
      <c r="A142" s="3">
        <v>45090.917134912808</v>
      </c>
      <c r="B142" s="1" t="s">
        <v>369</v>
      </c>
      <c r="C142" t="s">
        <v>370</v>
      </c>
      <c r="D142">
        <v>2</v>
      </c>
      <c r="E142">
        <v>144</v>
      </c>
      <c r="F142">
        <v>36</v>
      </c>
      <c r="G142">
        <v>288</v>
      </c>
      <c r="H142" s="4">
        <v>72</v>
      </c>
      <c r="I142" s="4">
        <v>216</v>
      </c>
      <c r="J142" t="s">
        <v>371</v>
      </c>
      <c r="K142" t="s">
        <v>58</v>
      </c>
      <c r="L142" s="4">
        <v>12.004541523616258</v>
      </c>
      <c r="M142" s="1" t="s">
        <v>38</v>
      </c>
      <c r="N142" s="11">
        <f t="shared" si="2"/>
        <v>5</v>
      </c>
    </row>
    <row r="143" spans="1:14" ht="16" x14ac:dyDescent="0.2">
      <c r="A143" s="3">
        <v>43637.132603432983</v>
      </c>
      <c r="B143" s="1" t="s">
        <v>372</v>
      </c>
      <c r="C143" t="s">
        <v>160</v>
      </c>
      <c r="D143">
        <v>17</v>
      </c>
      <c r="E143">
        <v>132</v>
      </c>
      <c r="F143">
        <v>33</v>
      </c>
      <c r="G143">
        <v>2244</v>
      </c>
      <c r="H143" s="4">
        <v>561</v>
      </c>
      <c r="I143" s="4">
        <v>1683</v>
      </c>
      <c r="J143" t="s">
        <v>45</v>
      </c>
      <c r="K143" t="s">
        <v>42</v>
      </c>
      <c r="L143" s="4">
        <v>10.06992029407844</v>
      </c>
      <c r="M143" s="1" t="s">
        <v>38</v>
      </c>
      <c r="N143" s="11">
        <f t="shared" si="2"/>
        <v>5</v>
      </c>
    </row>
    <row r="144" spans="1:14" ht="16" x14ac:dyDescent="0.2">
      <c r="A144" s="3">
        <v>43929.615336095761</v>
      </c>
      <c r="B144" s="1" t="s">
        <v>373</v>
      </c>
      <c r="C144" t="s">
        <v>56</v>
      </c>
      <c r="D144">
        <v>2</v>
      </c>
      <c r="E144">
        <v>38</v>
      </c>
      <c r="F144">
        <v>19</v>
      </c>
      <c r="G144">
        <v>76</v>
      </c>
      <c r="H144" s="4">
        <v>38</v>
      </c>
      <c r="I144" s="4">
        <v>38</v>
      </c>
      <c r="J144" t="s">
        <v>181</v>
      </c>
      <c r="K144" t="s">
        <v>53</v>
      </c>
      <c r="L144" s="4">
        <v>11.727497850343074</v>
      </c>
      <c r="M144" s="1" t="s">
        <v>38</v>
      </c>
      <c r="N144" s="11">
        <f t="shared" si="2"/>
        <v>5</v>
      </c>
    </row>
    <row r="145" spans="1:14" ht="16" x14ac:dyDescent="0.2">
      <c r="A145" s="3">
        <v>44142.921663343877</v>
      </c>
      <c r="B145" s="1" t="s">
        <v>374</v>
      </c>
      <c r="C145" t="s">
        <v>375</v>
      </c>
      <c r="D145">
        <v>16</v>
      </c>
      <c r="E145">
        <v>360</v>
      </c>
      <c r="F145">
        <v>90</v>
      </c>
      <c r="G145">
        <v>5760</v>
      </c>
      <c r="H145" s="4">
        <v>1440</v>
      </c>
      <c r="I145" s="4">
        <v>4320</v>
      </c>
      <c r="J145" t="s">
        <v>376</v>
      </c>
      <c r="K145" t="s">
        <v>86</v>
      </c>
      <c r="L145" s="4">
        <v>11.655355879643379</v>
      </c>
      <c r="M145" s="1" t="s">
        <v>38</v>
      </c>
      <c r="N145" s="11">
        <f t="shared" si="2"/>
        <v>5</v>
      </c>
    </row>
    <row r="146" spans="1:14" ht="16" x14ac:dyDescent="0.2">
      <c r="A146" s="3">
        <v>43100.801769074453</v>
      </c>
      <c r="B146" s="1" t="s">
        <v>377</v>
      </c>
      <c r="C146" t="s">
        <v>240</v>
      </c>
      <c r="D146">
        <v>18</v>
      </c>
      <c r="E146">
        <v>108</v>
      </c>
      <c r="F146">
        <v>54</v>
      </c>
      <c r="G146">
        <v>1944</v>
      </c>
      <c r="H146" s="4">
        <v>972</v>
      </c>
      <c r="I146" s="4">
        <v>972</v>
      </c>
      <c r="J146" t="s">
        <v>378</v>
      </c>
      <c r="K146" t="s">
        <v>53</v>
      </c>
      <c r="L146" s="4">
        <v>14.423322704129969</v>
      </c>
      <c r="M146" s="1" t="s">
        <v>38</v>
      </c>
      <c r="N146" s="11">
        <f t="shared" si="2"/>
        <v>5</v>
      </c>
    </row>
    <row r="147" spans="1:14" ht="16" x14ac:dyDescent="0.2">
      <c r="A147" s="3">
        <v>44038.842748428593</v>
      </c>
      <c r="B147" s="1" t="s">
        <v>379</v>
      </c>
      <c r="C147" t="s">
        <v>44</v>
      </c>
      <c r="D147">
        <v>4</v>
      </c>
      <c r="E147">
        <v>114</v>
      </c>
      <c r="F147">
        <v>57</v>
      </c>
      <c r="G147">
        <v>456</v>
      </c>
      <c r="H147" s="4">
        <v>228</v>
      </c>
      <c r="I147" s="4">
        <v>228</v>
      </c>
      <c r="J147" t="s">
        <v>380</v>
      </c>
      <c r="K147" t="s">
        <v>64</v>
      </c>
      <c r="L147" s="4">
        <v>11.416048240262977</v>
      </c>
      <c r="M147" s="1" t="s">
        <v>38</v>
      </c>
      <c r="N147" s="11">
        <f t="shared" si="2"/>
        <v>5</v>
      </c>
    </row>
    <row r="148" spans="1:14" ht="16" x14ac:dyDescent="0.2">
      <c r="A148" s="3">
        <v>43803.361282270947</v>
      </c>
      <c r="B148" s="1" t="s">
        <v>381</v>
      </c>
      <c r="C148" t="s">
        <v>69</v>
      </c>
      <c r="D148">
        <v>18</v>
      </c>
      <c r="E148">
        <v>184</v>
      </c>
      <c r="F148">
        <v>92</v>
      </c>
      <c r="G148">
        <v>3312</v>
      </c>
      <c r="H148" s="4">
        <v>1656</v>
      </c>
      <c r="I148" s="4">
        <v>1656</v>
      </c>
      <c r="J148" t="s">
        <v>382</v>
      </c>
      <c r="K148" t="s">
        <v>49</v>
      </c>
      <c r="L148" s="4">
        <v>12.299779975023837</v>
      </c>
      <c r="M148" s="1" t="s">
        <v>38</v>
      </c>
      <c r="N148" s="11">
        <f t="shared" si="2"/>
        <v>5</v>
      </c>
    </row>
    <row r="149" spans="1:14" ht="16" x14ac:dyDescent="0.2">
      <c r="A149" s="3">
        <v>43680.248259186519</v>
      </c>
      <c r="B149" s="1" t="s">
        <v>383</v>
      </c>
      <c r="C149" t="s">
        <v>139</v>
      </c>
      <c r="D149">
        <v>9</v>
      </c>
      <c r="E149">
        <v>320</v>
      </c>
      <c r="F149">
        <v>80</v>
      </c>
      <c r="G149">
        <v>2880</v>
      </c>
      <c r="H149" s="4">
        <v>720</v>
      </c>
      <c r="I149" s="4">
        <v>2160</v>
      </c>
      <c r="J149" t="s">
        <v>384</v>
      </c>
      <c r="K149" t="s">
        <v>33</v>
      </c>
      <c r="L149" s="4">
        <v>11.687634894637348</v>
      </c>
      <c r="M149" s="1" t="s">
        <v>54</v>
      </c>
      <c r="N149" s="11">
        <f t="shared" si="2"/>
        <v>10</v>
      </c>
    </row>
    <row r="150" spans="1:14" ht="16" x14ac:dyDescent="0.2">
      <c r="A150" s="3">
        <v>43440.942398752639</v>
      </c>
      <c r="B150" s="1" t="s">
        <v>385</v>
      </c>
      <c r="C150" t="s">
        <v>386</v>
      </c>
      <c r="D150">
        <v>10</v>
      </c>
      <c r="E150">
        <v>110</v>
      </c>
      <c r="F150">
        <v>55</v>
      </c>
      <c r="G150">
        <v>1100</v>
      </c>
      <c r="H150" s="4">
        <v>550</v>
      </c>
      <c r="I150" s="4">
        <v>550</v>
      </c>
      <c r="J150" t="s">
        <v>387</v>
      </c>
      <c r="K150" t="s">
        <v>86</v>
      </c>
      <c r="L150" s="4">
        <v>15.60430546146185</v>
      </c>
      <c r="M150" s="1" t="s">
        <v>38</v>
      </c>
      <c r="N150" s="11">
        <f t="shared" si="2"/>
        <v>5</v>
      </c>
    </row>
    <row r="151" spans="1:14" ht="16" x14ac:dyDescent="0.2">
      <c r="A151" s="3">
        <v>43112.54762395467</v>
      </c>
      <c r="B151" s="1" t="s">
        <v>388</v>
      </c>
      <c r="C151" t="s">
        <v>193</v>
      </c>
      <c r="D151">
        <v>2</v>
      </c>
      <c r="E151">
        <v>348</v>
      </c>
      <c r="F151">
        <v>87</v>
      </c>
      <c r="G151">
        <v>696</v>
      </c>
      <c r="H151" s="4">
        <v>174</v>
      </c>
      <c r="I151" s="4">
        <v>522</v>
      </c>
      <c r="J151" t="s">
        <v>351</v>
      </c>
      <c r="K151" t="s">
        <v>33</v>
      </c>
      <c r="L151" s="4">
        <v>11.070908141213383</v>
      </c>
      <c r="M151" s="1" t="s">
        <v>38</v>
      </c>
      <c r="N151" s="11">
        <f t="shared" si="2"/>
        <v>5</v>
      </c>
    </row>
    <row r="152" spans="1:14" ht="16" x14ac:dyDescent="0.2">
      <c r="A152" s="3">
        <v>43443.820800359274</v>
      </c>
      <c r="B152" s="1" t="s">
        <v>389</v>
      </c>
      <c r="C152" t="s">
        <v>261</v>
      </c>
      <c r="D152">
        <v>3</v>
      </c>
      <c r="E152">
        <v>92</v>
      </c>
      <c r="F152">
        <v>46</v>
      </c>
      <c r="G152">
        <v>276</v>
      </c>
      <c r="H152" s="4">
        <v>138</v>
      </c>
      <c r="I152" s="4">
        <v>138</v>
      </c>
      <c r="J152" t="s">
        <v>183</v>
      </c>
      <c r="K152" t="s">
        <v>58</v>
      </c>
      <c r="L152" s="4">
        <v>11.939773463335372</v>
      </c>
      <c r="M152" s="1" t="s">
        <v>38</v>
      </c>
      <c r="N152" s="11">
        <f t="shared" si="2"/>
        <v>5</v>
      </c>
    </row>
    <row r="153" spans="1:14" ht="16" x14ac:dyDescent="0.2">
      <c r="A153" s="3">
        <v>43073.676461836461</v>
      </c>
      <c r="B153" s="1" t="s">
        <v>390</v>
      </c>
      <c r="C153" t="s">
        <v>391</v>
      </c>
      <c r="D153">
        <v>4</v>
      </c>
      <c r="E153">
        <v>72</v>
      </c>
      <c r="F153">
        <v>36</v>
      </c>
      <c r="G153">
        <v>288</v>
      </c>
      <c r="H153" s="4">
        <v>144</v>
      </c>
      <c r="I153" s="4">
        <v>144</v>
      </c>
      <c r="J153" t="s">
        <v>392</v>
      </c>
      <c r="K153" t="s">
        <v>49</v>
      </c>
      <c r="L153" s="4">
        <v>12.456740895640767</v>
      </c>
      <c r="M153" s="1" t="s">
        <v>38</v>
      </c>
      <c r="N153" s="11">
        <f t="shared" si="2"/>
        <v>5</v>
      </c>
    </row>
    <row r="154" spans="1:14" ht="16" x14ac:dyDescent="0.2">
      <c r="A154" s="3">
        <v>42968.294892015234</v>
      </c>
      <c r="B154" s="1" t="s">
        <v>393</v>
      </c>
      <c r="C154" t="s">
        <v>394</v>
      </c>
      <c r="D154">
        <v>16</v>
      </c>
      <c r="E154">
        <v>58</v>
      </c>
      <c r="F154">
        <v>29</v>
      </c>
      <c r="G154">
        <v>928</v>
      </c>
      <c r="H154" s="4">
        <v>464</v>
      </c>
      <c r="I154" s="4">
        <v>464</v>
      </c>
      <c r="J154" t="s">
        <v>37</v>
      </c>
      <c r="K154" t="s">
        <v>33</v>
      </c>
      <c r="L154" s="4">
        <v>13.299525114817991</v>
      </c>
      <c r="M154" s="1" t="s">
        <v>54</v>
      </c>
      <c r="N154" s="11">
        <f t="shared" si="2"/>
        <v>10</v>
      </c>
    </row>
    <row r="155" spans="1:14" ht="16" x14ac:dyDescent="0.2">
      <c r="A155" s="3">
        <v>44602.663987699496</v>
      </c>
      <c r="B155" s="1" t="s">
        <v>395</v>
      </c>
      <c r="C155" t="s">
        <v>240</v>
      </c>
      <c r="D155">
        <v>3</v>
      </c>
      <c r="E155">
        <v>108</v>
      </c>
      <c r="F155">
        <v>54</v>
      </c>
      <c r="G155">
        <v>324</v>
      </c>
      <c r="H155" s="4">
        <v>162</v>
      </c>
      <c r="I155" s="4">
        <v>162</v>
      </c>
      <c r="J155" t="s">
        <v>67</v>
      </c>
      <c r="K155" t="s">
        <v>64</v>
      </c>
      <c r="L155" s="4">
        <v>15.602184182549776</v>
      </c>
      <c r="M155" s="1" t="s">
        <v>54</v>
      </c>
      <c r="N155" s="11">
        <f t="shared" si="2"/>
        <v>10</v>
      </c>
    </row>
    <row r="156" spans="1:14" ht="16" x14ac:dyDescent="0.2">
      <c r="A156" s="3">
        <v>44271.566337995144</v>
      </c>
      <c r="B156" s="1" t="s">
        <v>396</v>
      </c>
      <c r="C156" t="s">
        <v>312</v>
      </c>
      <c r="D156">
        <v>1</v>
      </c>
      <c r="E156">
        <v>240</v>
      </c>
      <c r="F156">
        <v>80</v>
      </c>
      <c r="G156">
        <v>240</v>
      </c>
      <c r="H156" s="4">
        <v>80</v>
      </c>
      <c r="I156" s="4">
        <v>160</v>
      </c>
      <c r="J156" t="s">
        <v>397</v>
      </c>
      <c r="K156" t="s">
        <v>49</v>
      </c>
      <c r="L156" s="4">
        <v>9.4239783062860578</v>
      </c>
      <c r="M156" s="1" t="s">
        <v>38</v>
      </c>
      <c r="N156" s="11">
        <f t="shared" si="2"/>
        <v>5</v>
      </c>
    </row>
    <row r="157" spans="1:14" ht="16" x14ac:dyDescent="0.2">
      <c r="A157" s="3">
        <v>43810.159216807595</v>
      </c>
      <c r="B157" s="1" t="s">
        <v>398</v>
      </c>
      <c r="C157" t="s">
        <v>399</v>
      </c>
      <c r="D157">
        <v>17</v>
      </c>
      <c r="E157">
        <v>160</v>
      </c>
      <c r="F157">
        <v>80</v>
      </c>
      <c r="G157">
        <v>2720</v>
      </c>
      <c r="H157" s="4">
        <v>1360</v>
      </c>
      <c r="I157" s="4">
        <v>1360</v>
      </c>
      <c r="J157" t="s">
        <v>123</v>
      </c>
      <c r="K157" t="s">
        <v>53</v>
      </c>
      <c r="L157" s="4">
        <v>10.42743035829395</v>
      </c>
      <c r="M157" s="1" t="s">
        <v>38</v>
      </c>
      <c r="N157" s="11">
        <f t="shared" si="2"/>
        <v>5</v>
      </c>
    </row>
    <row r="158" spans="1:14" ht="16" x14ac:dyDescent="0.2">
      <c r="A158" s="3">
        <v>44160.417697712823</v>
      </c>
      <c r="B158" s="1" t="s">
        <v>400</v>
      </c>
      <c r="C158" t="s">
        <v>301</v>
      </c>
      <c r="D158">
        <v>4</v>
      </c>
      <c r="E158">
        <v>188</v>
      </c>
      <c r="F158">
        <v>94</v>
      </c>
      <c r="G158">
        <v>752</v>
      </c>
      <c r="H158" s="4">
        <v>376</v>
      </c>
      <c r="I158" s="4">
        <v>376</v>
      </c>
      <c r="J158" t="s">
        <v>401</v>
      </c>
      <c r="K158" t="s">
        <v>58</v>
      </c>
      <c r="L158" s="4">
        <v>11.394777319422785</v>
      </c>
      <c r="M158" s="1" t="s">
        <v>54</v>
      </c>
      <c r="N158" s="11">
        <f t="shared" si="2"/>
        <v>10</v>
      </c>
    </row>
    <row r="159" spans="1:14" ht="16" x14ac:dyDescent="0.2">
      <c r="A159" s="3">
        <v>44066.937394853303</v>
      </c>
      <c r="B159" s="1" t="s">
        <v>402</v>
      </c>
      <c r="C159" t="s">
        <v>154</v>
      </c>
      <c r="D159">
        <v>3</v>
      </c>
      <c r="E159">
        <v>308</v>
      </c>
      <c r="F159">
        <v>77</v>
      </c>
      <c r="G159">
        <v>924</v>
      </c>
      <c r="H159" s="4">
        <v>231</v>
      </c>
      <c r="I159" s="4">
        <v>693</v>
      </c>
      <c r="J159" t="s">
        <v>67</v>
      </c>
      <c r="K159" t="s">
        <v>64</v>
      </c>
      <c r="L159" s="4">
        <v>15.602184182549776</v>
      </c>
      <c r="M159" s="1" t="s">
        <v>34</v>
      </c>
      <c r="N159" s="11">
        <f t="shared" si="2"/>
        <v>1</v>
      </c>
    </row>
    <row r="160" spans="1:14" ht="16" x14ac:dyDescent="0.2">
      <c r="A160" s="3">
        <v>43714.852820357242</v>
      </c>
      <c r="B160" s="1" t="s">
        <v>403</v>
      </c>
      <c r="C160" t="s">
        <v>56</v>
      </c>
      <c r="D160">
        <v>11</v>
      </c>
      <c r="E160">
        <v>38</v>
      </c>
      <c r="F160">
        <v>19</v>
      </c>
      <c r="G160">
        <v>418</v>
      </c>
      <c r="H160" s="4">
        <v>209</v>
      </c>
      <c r="I160" s="4">
        <v>209</v>
      </c>
      <c r="J160" t="s">
        <v>234</v>
      </c>
      <c r="K160" t="s">
        <v>64</v>
      </c>
      <c r="L160" s="4">
        <v>12.200533931675887</v>
      </c>
      <c r="M160" s="1" t="s">
        <v>38</v>
      </c>
      <c r="N160" s="11">
        <f t="shared" si="2"/>
        <v>5</v>
      </c>
    </row>
    <row r="161" spans="1:14" ht="16" x14ac:dyDescent="0.2">
      <c r="A161" s="3">
        <v>43996.538589639502</v>
      </c>
      <c r="B161" s="1" t="s">
        <v>404</v>
      </c>
      <c r="C161" t="s">
        <v>209</v>
      </c>
      <c r="D161">
        <v>18</v>
      </c>
      <c r="E161">
        <v>150</v>
      </c>
      <c r="F161">
        <v>75</v>
      </c>
      <c r="G161">
        <v>2700</v>
      </c>
      <c r="H161" s="4">
        <v>1350</v>
      </c>
      <c r="I161" s="4">
        <v>1350</v>
      </c>
      <c r="J161" t="s">
        <v>94</v>
      </c>
      <c r="K161" t="s">
        <v>49</v>
      </c>
      <c r="L161" s="4">
        <v>9.8238489437106278</v>
      </c>
      <c r="M161" s="1" t="s">
        <v>38</v>
      </c>
      <c r="N161" s="11">
        <f t="shared" si="2"/>
        <v>5</v>
      </c>
    </row>
    <row r="162" spans="1:14" ht="16" x14ac:dyDescent="0.2">
      <c r="A162" s="3">
        <v>43600.075575385927</v>
      </c>
      <c r="B162" s="1" t="s">
        <v>405</v>
      </c>
      <c r="C162" t="s">
        <v>62</v>
      </c>
      <c r="D162">
        <v>15</v>
      </c>
      <c r="E162">
        <v>80</v>
      </c>
      <c r="F162">
        <v>20</v>
      </c>
      <c r="G162">
        <v>1200</v>
      </c>
      <c r="H162" s="4">
        <v>300</v>
      </c>
      <c r="I162" s="4">
        <v>900</v>
      </c>
      <c r="J162" t="s">
        <v>406</v>
      </c>
      <c r="K162" t="s">
        <v>58</v>
      </c>
      <c r="L162" s="4">
        <v>11.082295381980092</v>
      </c>
      <c r="M162" s="1" t="s">
        <v>38</v>
      </c>
      <c r="N162" s="11">
        <f t="shared" si="2"/>
        <v>5</v>
      </c>
    </row>
    <row r="163" spans="1:14" ht="16" x14ac:dyDescent="0.2">
      <c r="A163" s="3">
        <v>44263.359707992073</v>
      </c>
      <c r="B163" s="1" t="s">
        <v>407</v>
      </c>
      <c r="C163" t="s">
        <v>75</v>
      </c>
      <c r="D163">
        <v>16</v>
      </c>
      <c r="E163">
        <v>76</v>
      </c>
      <c r="F163">
        <v>19</v>
      </c>
      <c r="G163">
        <v>1216</v>
      </c>
      <c r="H163" s="4">
        <v>304</v>
      </c>
      <c r="I163" s="4">
        <v>912</v>
      </c>
      <c r="J163" t="s">
        <v>408</v>
      </c>
      <c r="K163" t="s">
        <v>42</v>
      </c>
      <c r="L163" s="4">
        <v>9.1877733607656964</v>
      </c>
      <c r="M163" s="1" t="s">
        <v>54</v>
      </c>
      <c r="N163" s="11">
        <f t="shared" si="2"/>
        <v>10</v>
      </c>
    </row>
    <row r="164" spans="1:14" ht="16" x14ac:dyDescent="0.2">
      <c r="A164" s="3">
        <v>44014.523882679663</v>
      </c>
      <c r="B164" s="1" t="s">
        <v>409</v>
      </c>
      <c r="C164" t="s">
        <v>410</v>
      </c>
      <c r="D164">
        <v>5</v>
      </c>
      <c r="E164">
        <v>84</v>
      </c>
      <c r="F164">
        <v>21</v>
      </c>
      <c r="G164">
        <v>420</v>
      </c>
      <c r="H164" s="4">
        <v>105</v>
      </c>
      <c r="I164" s="4">
        <v>315</v>
      </c>
      <c r="J164" t="s">
        <v>411</v>
      </c>
      <c r="K164" t="s">
        <v>64</v>
      </c>
      <c r="L164" s="4">
        <v>13.115597690631557</v>
      </c>
      <c r="M164" s="1" t="s">
        <v>38</v>
      </c>
      <c r="N164" s="11">
        <f t="shared" si="2"/>
        <v>5</v>
      </c>
    </row>
    <row r="165" spans="1:14" ht="16" x14ac:dyDescent="0.2">
      <c r="A165" s="3">
        <v>43571.104270554919</v>
      </c>
      <c r="B165" s="1" t="s">
        <v>412</v>
      </c>
      <c r="C165" t="s">
        <v>47</v>
      </c>
      <c r="D165">
        <v>18</v>
      </c>
      <c r="E165">
        <v>231</v>
      </c>
      <c r="F165">
        <v>77</v>
      </c>
      <c r="G165">
        <v>4158</v>
      </c>
      <c r="H165" s="4">
        <v>1386</v>
      </c>
      <c r="I165" s="4">
        <v>2772</v>
      </c>
      <c r="J165" t="s">
        <v>413</v>
      </c>
      <c r="K165" t="s">
        <v>64</v>
      </c>
      <c r="L165" s="4">
        <v>12.682358648534777</v>
      </c>
      <c r="M165" s="1" t="s">
        <v>38</v>
      </c>
      <c r="N165" s="11">
        <f t="shared" si="2"/>
        <v>5</v>
      </c>
    </row>
    <row r="166" spans="1:14" ht="16" x14ac:dyDescent="0.2">
      <c r="A166" s="3">
        <v>43801.970849481055</v>
      </c>
      <c r="B166" s="1" t="s">
        <v>414</v>
      </c>
      <c r="C166" t="s">
        <v>66</v>
      </c>
      <c r="D166">
        <v>4</v>
      </c>
      <c r="E166">
        <v>144</v>
      </c>
      <c r="F166">
        <v>48</v>
      </c>
      <c r="G166">
        <v>576</v>
      </c>
      <c r="H166" s="4">
        <v>192</v>
      </c>
      <c r="I166" s="4">
        <v>384</v>
      </c>
      <c r="J166" t="s">
        <v>284</v>
      </c>
      <c r="K166" t="s">
        <v>58</v>
      </c>
      <c r="L166" s="4">
        <v>10.570474361325047</v>
      </c>
      <c r="M166" s="1" t="s">
        <v>34</v>
      </c>
      <c r="N166" s="11">
        <f t="shared" si="2"/>
        <v>1</v>
      </c>
    </row>
    <row r="167" spans="1:14" ht="16" x14ac:dyDescent="0.2">
      <c r="A167" s="3">
        <v>43121.652589096368</v>
      </c>
      <c r="B167" s="1" t="s">
        <v>415</v>
      </c>
      <c r="C167" t="s">
        <v>105</v>
      </c>
      <c r="D167">
        <v>4</v>
      </c>
      <c r="E167">
        <v>201</v>
      </c>
      <c r="F167">
        <v>67</v>
      </c>
      <c r="G167">
        <v>804</v>
      </c>
      <c r="H167" s="4">
        <v>268</v>
      </c>
      <c r="I167" s="4">
        <v>536</v>
      </c>
      <c r="J167" t="s">
        <v>416</v>
      </c>
      <c r="K167" t="s">
        <v>58</v>
      </c>
      <c r="L167" s="4">
        <v>12.399050786131125</v>
      </c>
      <c r="M167" s="1" t="s">
        <v>54</v>
      </c>
      <c r="N167" s="11">
        <f t="shared" si="2"/>
        <v>10</v>
      </c>
    </row>
    <row r="168" spans="1:14" ht="16" x14ac:dyDescent="0.2">
      <c r="A168" s="3">
        <v>44040.822354875789</v>
      </c>
      <c r="B168" s="1" t="s">
        <v>417</v>
      </c>
      <c r="C168" t="s">
        <v>240</v>
      </c>
      <c r="D168">
        <v>16</v>
      </c>
      <c r="E168">
        <v>108</v>
      </c>
      <c r="F168">
        <v>54</v>
      </c>
      <c r="G168">
        <v>1728</v>
      </c>
      <c r="H168" s="4">
        <v>864</v>
      </c>
      <c r="I168" s="4">
        <v>864</v>
      </c>
      <c r="J168" t="s">
        <v>418</v>
      </c>
      <c r="K168" t="s">
        <v>42</v>
      </c>
      <c r="L168" s="4">
        <v>11.644564584314265</v>
      </c>
      <c r="M168" s="1" t="s">
        <v>34</v>
      </c>
      <c r="N168" s="11">
        <f t="shared" si="2"/>
        <v>1</v>
      </c>
    </row>
    <row r="169" spans="1:14" ht="16" x14ac:dyDescent="0.2">
      <c r="A169" s="3">
        <v>43436.240834367934</v>
      </c>
      <c r="B169" s="1" t="s">
        <v>419</v>
      </c>
      <c r="C169" t="s">
        <v>420</v>
      </c>
      <c r="D169">
        <v>5</v>
      </c>
      <c r="E169">
        <v>162</v>
      </c>
      <c r="F169">
        <v>54</v>
      </c>
      <c r="G169">
        <v>810</v>
      </c>
      <c r="H169" s="4">
        <v>270</v>
      </c>
      <c r="I169" s="4">
        <v>540</v>
      </c>
      <c r="J169" t="s">
        <v>421</v>
      </c>
      <c r="K169" t="s">
        <v>53</v>
      </c>
      <c r="L169" s="4">
        <v>10.96230865592911</v>
      </c>
      <c r="M169" s="1" t="s">
        <v>38</v>
      </c>
      <c r="N169" s="11">
        <f t="shared" si="2"/>
        <v>5</v>
      </c>
    </row>
    <row r="170" spans="1:14" ht="16" x14ac:dyDescent="0.2">
      <c r="A170" s="3">
        <v>43972.4154384172</v>
      </c>
      <c r="B170" s="1" t="s">
        <v>422</v>
      </c>
      <c r="C170" t="s">
        <v>130</v>
      </c>
      <c r="D170">
        <v>5</v>
      </c>
      <c r="E170">
        <v>144</v>
      </c>
      <c r="F170">
        <v>48</v>
      </c>
      <c r="G170">
        <v>720</v>
      </c>
      <c r="H170" s="4">
        <v>240</v>
      </c>
      <c r="I170" s="4">
        <v>480</v>
      </c>
      <c r="J170" t="s">
        <v>423</v>
      </c>
      <c r="K170" t="s">
        <v>86</v>
      </c>
      <c r="L170" s="4">
        <v>10.813269600021069</v>
      </c>
      <c r="M170" s="1" t="s">
        <v>38</v>
      </c>
      <c r="N170" s="11">
        <f t="shared" si="2"/>
        <v>5</v>
      </c>
    </row>
    <row r="171" spans="1:14" ht="16" x14ac:dyDescent="0.2">
      <c r="A171" s="3">
        <v>43600.352867805632</v>
      </c>
      <c r="B171" s="1" t="s">
        <v>424</v>
      </c>
      <c r="C171" t="s">
        <v>425</v>
      </c>
      <c r="D171">
        <v>11</v>
      </c>
      <c r="E171">
        <v>352</v>
      </c>
      <c r="F171">
        <v>88</v>
      </c>
      <c r="G171">
        <v>3872</v>
      </c>
      <c r="H171" s="4">
        <v>968</v>
      </c>
      <c r="I171" s="4">
        <v>2904</v>
      </c>
      <c r="J171" t="s">
        <v>426</v>
      </c>
      <c r="K171" t="s">
        <v>53</v>
      </c>
      <c r="L171" s="4">
        <v>13.923194761258239</v>
      </c>
      <c r="M171" s="1" t="s">
        <v>38</v>
      </c>
      <c r="N171" s="11">
        <f t="shared" si="2"/>
        <v>5</v>
      </c>
    </row>
    <row r="172" spans="1:14" ht="16" x14ac:dyDescent="0.2">
      <c r="A172" s="3">
        <v>43728.943767785786</v>
      </c>
      <c r="B172" s="1" t="s">
        <v>427</v>
      </c>
      <c r="C172" t="s">
        <v>218</v>
      </c>
      <c r="D172">
        <v>19</v>
      </c>
      <c r="E172">
        <v>264</v>
      </c>
      <c r="F172">
        <v>88</v>
      </c>
      <c r="G172">
        <v>5016</v>
      </c>
      <c r="H172" s="4">
        <v>1672</v>
      </c>
      <c r="I172" s="4">
        <v>3344</v>
      </c>
      <c r="J172" t="s">
        <v>387</v>
      </c>
      <c r="K172" t="s">
        <v>86</v>
      </c>
      <c r="L172" s="4">
        <v>15.60430546146185</v>
      </c>
      <c r="M172" s="1" t="s">
        <v>38</v>
      </c>
      <c r="N172" s="11">
        <f t="shared" si="2"/>
        <v>5</v>
      </c>
    </row>
    <row r="173" spans="1:14" ht="16" x14ac:dyDescent="0.2">
      <c r="A173" s="3">
        <v>44023.044043435766</v>
      </c>
      <c r="B173" s="1" t="s">
        <v>428</v>
      </c>
      <c r="C173" t="s">
        <v>142</v>
      </c>
      <c r="D173">
        <v>5</v>
      </c>
      <c r="E173">
        <v>210</v>
      </c>
      <c r="F173">
        <v>70</v>
      </c>
      <c r="G173">
        <v>1050</v>
      </c>
      <c r="H173" s="4">
        <v>350</v>
      </c>
      <c r="I173" s="4">
        <v>700</v>
      </c>
      <c r="J173" t="s">
        <v>429</v>
      </c>
      <c r="K173" t="s">
        <v>33</v>
      </c>
      <c r="L173" s="4">
        <v>11.701919153133453</v>
      </c>
      <c r="M173" s="1" t="s">
        <v>38</v>
      </c>
      <c r="N173" s="11">
        <f t="shared" si="2"/>
        <v>5</v>
      </c>
    </row>
    <row r="174" spans="1:14" ht="16" x14ac:dyDescent="0.2">
      <c r="A174" s="3">
        <v>44275.96934373433</v>
      </c>
      <c r="B174" s="1" t="s">
        <v>430</v>
      </c>
      <c r="C174" t="s">
        <v>431</v>
      </c>
      <c r="D174">
        <v>5</v>
      </c>
      <c r="E174">
        <v>356</v>
      </c>
      <c r="F174">
        <v>89</v>
      </c>
      <c r="G174">
        <v>1780</v>
      </c>
      <c r="H174" s="4">
        <v>445</v>
      </c>
      <c r="I174" s="4">
        <v>1335</v>
      </c>
      <c r="J174" t="s">
        <v>432</v>
      </c>
      <c r="K174" t="s">
        <v>49</v>
      </c>
      <c r="L174" s="4">
        <v>13.857835104514242</v>
      </c>
      <c r="M174" s="1" t="s">
        <v>38</v>
      </c>
      <c r="N174" s="11">
        <f t="shared" si="2"/>
        <v>5</v>
      </c>
    </row>
    <row r="175" spans="1:14" ht="16" x14ac:dyDescent="0.2">
      <c r="A175" s="3">
        <v>44027.971148338976</v>
      </c>
      <c r="B175" s="1" t="s">
        <v>433</v>
      </c>
      <c r="C175" t="s">
        <v>81</v>
      </c>
      <c r="D175">
        <v>17</v>
      </c>
      <c r="E175">
        <v>166</v>
      </c>
      <c r="F175">
        <v>83</v>
      </c>
      <c r="G175">
        <v>2822</v>
      </c>
      <c r="H175" s="4">
        <v>1411</v>
      </c>
      <c r="I175" s="4">
        <v>1411</v>
      </c>
      <c r="J175" t="s">
        <v>264</v>
      </c>
      <c r="K175" t="s">
        <v>42</v>
      </c>
      <c r="L175" s="4">
        <v>12.514998090845811</v>
      </c>
      <c r="M175" s="1" t="s">
        <v>54</v>
      </c>
      <c r="N175" s="11">
        <f t="shared" si="2"/>
        <v>10</v>
      </c>
    </row>
    <row r="176" spans="1:14" ht="16" x14ac:dyDescent="0.2">
      <c r="A176" s="3">
        <v>43946.626953495193</v>
      </c>
      <c r="B176" s="1" t="s">
        <v>434</v>
      </c>
      <c r="C176" t="s">
        <v>31</v>
      </c>
      <c r="D176">
        <v>20</v>
      </c>
      <c r="E176">
        <v>280</v>
      </c>
      <c r="F176">
        <v>70</v>
      </c>
      <c r="G176">
        <v>5600</v>
      </c>
      <c r="H176" s="4">
        <v>1400</v>
      </c>
      <c r="I176" s="4">
        <v>4200</v>
      </c>
      <c r="J176" t="s">
        <v>435</v>
      </c>
      <c r="K176" t="s">
        <v>33</v>
      </c>
      <c r="L176" s="4">
        <v>5.9872353338051019</v>
      </c>
      <c r="M176" s="1" t="s">
        <v>38</v>
      </c>
      <c r="N176" s="11">
        <f t="shared" si="2"/>
        <v>5</v>
      </c>
    </row>
    <row r="177" spans="1:14" ht="16" x14ac:dyDescent="0.2">
      <c r="A177" s="3">
        <v>44656.769100246536</v>
      </c>
      <c r="B177" s="1" t="s">
        <v>436</v>
      </c>
      <c r="C177" t="s">
        <v>196</v>
      </c>
      <c r="D177">
        <v>4</v>
      </c>
      <c r="E177">
        <v>192</v>
      </c>
      <c r="F177">
        <v>96</v>
      </c>
      <c r="G177">
        <v>768</v>
      </c>
      <c r="H177" s="4">
        <v>384</v>
      </c>
      <c r="I177" s="4">
        <v>384</v>
      </c>
      <c r="J177" t="s">
        <v>169</v>
      </c>
      <c r="K177" t="s">
        <v>33</v>
      </c>
      <c r="L177" s="4">
        <v>15.121383064708469</v>
      </c>
      <c r="M177" s="1" t="s">
        <v>38</v>
      </c>
      <c r="N177" s="11">
        <f t="shared" si="2"/>
        <v>5</v>
      </c>
    </row>
    <row r="178" spans="1:14" ht="16" x14ac:dyDescent="0.2">
      <c r="A178" s="3">
        <v>43921.669446442917</v>
      </c>
      <c r="B178" s="1" t="s">
        <v>437</v>
      </c>
      <c r="C178" t="s">
        <v>88</v>
      </c>
      <c r="D178">
        <v>12</v>
      </c>
      <c r="E178">
        <v>210</v>
      </c>
      <c r="F178">
        <v>70</v>
      </c>
      <c r="G178">
        <v>2520</v>
      </c>
      <c r="H178" s="4">
        <v>840</v>
      </c>
      <c r="I178" s="4">
        <v>1680</v>
      </c>
      <c r="J178" t="s">
        <v>438</v>
      </c>
      <c r="K178" t="s">
        <v>64</v>
      </c>
      <c r="L178" s="4">
        <v>12.532428411174646</v>
      </c>
      <c r="M178" s="1" t="s">
        <v>38</v>
      </c>
      <c r="N178" s="11">
        <f t="shared" si="2"/>
        <v>5</v>
      </c>
    </row>
    <row r="179" spans="1:14" ht="16" x14ac:dyDescent="0.2">
      <c r="A179" s="3">
        <v>43984.376904329751</v>
      </c>
      <c r="B179" s="1" t="s">
        <v>439</v>
      </c>
      <c r="C179" t="s">
        <v>148</v>
      </c>
      <c r="D179">
        <v>10</v>
      </c>
      <c r="E179">
        <v>144</v>
      </c>
      <c r="F179">
        <v>36</v>
      </c>
      <c r="G179">
        <v>1440</v>
      </c>
      <c r="H179" s="4">
        <v>360</v>
      </c>
      <c r="I179" s="4">
        <v>1080</v>
      </c>
      <c r="J179" t="s">
        <v>440</v>
      </c>
      <c r="K179" t="s">
        <v>33</v>
      </c>
      <c r="L179" s="4">
        <v>10.408704992688252</v>
      </c>
      <c r="M179" s="1" t="s">
        <v>38</v>
      </c>
      <c r="N179" s="11">
        <f t="shared" si="2"/>
        <v>5</v>
      </c>
    </row>
    <row r="180" spans="1:14" ht="16" x14ac:dyDescent="0.2">
      <c r="A180" s="3">
        <v>44463.671744758198</v>
      </c>
      <c r="B180" s="1" t="s">
        <v>441</v>
      </c>
      <c r="C180" t="s">
        <v>317</v>
      </c>
      <c r="D180">
        <v>15</v>
      </c>
      <c r="E180">
        <v>352</v>
      </c>
      <c r="F180">
        <v>88</v>
      </c>
      <c r="G180">
        <v>5280</v>
      </c>
      <c r="H180" s="4">
        <v>1320</v>
      </c>
      <c r="I180" s="4">
        <v>3960</v>
      </c>
      <c r="J180" t="s">
        <v>442</v>
      </c>
      <c r="K180" t="s">
        <v>58</v>
      </c>
      <c r="L180" s="4">
        <v>16.429355109701351</v>
      </c>
      <c r="M180" s="1" t="s">
        <v>34</v>
      </c>
      <c r="N180" s="11">
        <f t="shared" si="2"/>
        <v>1</v>
      </c>
    </row>
    <row r="181" spans="1:14" ht="16" x14ac:dyDescent="0.2">
      <c r="A181" s="3">
        <v>44267.31333798547</v>
      </c>
      <c r="B181" s="1" t="s">
        <v>443</v>
      </c>
      <c r="C181" t="s">
        <v>145</v>
      </c>
      <c r="D181">
        <v>7</v>
      </c>
      <c r="E181">
        <v>207</v>
      </c>
      <c r="F181">
        <v>69</v>
      </c>
      <c r="G181">
        <v>1449</v>
      </c>
      <c r="H181" s="4">
        <v>483</v>
      </c>
      <c r="I181" s="4">
        <v>966</v>
      </c>
      <c r="J181" t="s">
        <v>444</v>
      </c>
      <c r="K181" t="s">
        <v>42</v>
      </c>
      <c r="L181" s="4">
        <v>15.861056998489449</v>
      </c>
      <c r="M181" s="1" t="s">
        <v>54</v>
      </c>
      <c r="N181" s="11">
        <f t="shared" si="2"/>
        <v>10</v>
      </c>
    </row>
    <row r="182" spans="1:14" ht="16" x14ac:dyDescent="0.2">
      <c r="A182" s="3">
        <v>44436.541897522788</v>
      </c>
      <c r="B182" s="1" t="s">
        <v>445</v>
      </c>
      <c r="C182" t="s">
        <v>185</v>
      </c>
      <c r="D182">
        <v>8</v>
      </c>
      <c r="E182">
        <v>146</v>
      </c>
      <c r="F182">
        <v>73</v>
      </c>
      <c r="G182">
        <v>1168</v>
      </c>
      <c r="H182" s="4">
        <v>584</v>
      </c>
      <c r="I182" s="4">
        <v>584</v>
      </c>
      <c r="J182" t="s">
        <v>446</v>
      </c>
      <c r="K182" t="s">
        <v>53</v>
      </c>
      <c r="L182" s="4">
        <v>12.85215703546821</v>
      </c>
      <c r="M182" s="1" t="s">
        <v>38</v>
      </c>
      <c r="N182" s="11">
        <f t="shared" si="2"/>
        <v>5</v>
      </c>
    </row>
    <row r="183" spans="1:14" ht="16" x14ac:dyDescent="0.2">
      <c r="A183" s="3">
        <v>43463.978431655734</v>
      </c>
      <c r="B183" s="1" t="s">
        <v>447</v>
      </c>
      <c r="C183" t="s">
        <v>356</v>
      </c>
      <c r="D183">
        <v>6</v>
      </c>
      <c r="E183">
        <v>356</v>
      </c>
      <c r="F183">
        <v>89</v>
      </c>
      <c r="G183">
        <v>2136</v>
      </c>
      <c r="H183" s="4">
        <v>534</v>
      </c>
      <c r="I183" s="4">
        <v>1602</v>
      </c>
      <c r="J183" t="s">
        <v>448</v>
      </c>
      <c r="K183" t="s">
        <v>58</v>
      </c>
      <c r="L183" s="4">
        <v>15.770846827234339</v>
      </c>
      <c r="M183" s="1" t="s">
        <v>34</v>
      </c>
      <c r="N183" s="11">
        <f t="shared" si="2"/>
        <v>1</v>
      </c>
    </row>
    <row r="184" spans="1:14" ht="16" x14ac:dyDescent="0.2">
      <c r="A184" s="3">
        <v>44858.979205828808</v>
      </c>
      <c r="B184" s="1" t="s">
        <v>449</v>
      </c>
      <c r="C184" t="s">
        <v>148</v>
      </c>
      <c r="D184">
        <v>17</v>
      </c>
      <c r="E184">
        <v>144</v>
      </c>
      <c r="F184">
        <v>36</v>
      </c>
      <c r="G184">
        <v>2448</v>
      </c>
      <c r="H184" s="4">
        <v>612</v>
      </c>
      <c r="I184" s="4">
        <v>1836</v>
      </c>
      <c r="J184" t="s">
        <v>450</v>
      </c>
      <c r="K184" t="s">
        <v>49</v>
      </c>
      <c r="L184" s="4">
        <v>13.332534707865639</v>
      </c>
      <c r="M184" s="1" t="s">
        <v>38</v>
      </c>
      <c r="N184" s="11">
        <f t="shared" si="2"/>
        <v>5</v>
      </c>
    </row>
    <row r="185" spans="1:14" ht="16" x14ac:dyDescent="0.2">
      <c r="A185" s="3">
        <v>44207.366798552634</v>
      </c>
      <c r="B185" s="1" t="s">
        <v>451</v>
      </c>
      <c r="C185" t="s">
        <v>110</v>
      </c>
      <c r="D185">
        <v>13</v>
      </c>
      <c r="E185">
        <v>144</v>
      </c>
      <c r="F185">
        <v>36</v>
      </c>
      <c r="G185">
        <v>1872</v>
      </c>
      <c r="H185" s="4">
        <v>468</v>
      </c>
      <c r="I185" s="4">
        <v>1404</v>
      </c>
      <c r="J185" t="s">
        <v>401</v>
      </c>
      <c r="K185" t="s">
        <v>58</v>
      </c>
      <c r="L185" s="4">
        <v>11.394777319422785</v>
      </c>
      <c r="M185" s="1" t="s">
        <v>54</v>
      </c>
      <c r="N185" s="11">
        <f t="shared" si="2"/>
        <v>10</v>
      </c>
    </row>
    <row r="186" spans="1:14" ht="16" x14ac:dyDescent="0.2">
      <c r="A186" s="3">
        <v>43793.016157706232</v>
      </c>
      <c r="B186" s="1" t="s">
        <v>452</v>
      </c>
      <c r="C186" t="s">
        <v>425</v>
      </c>
      <c r="D186">
        <v>14</v>
      </c>
      <c r="E186">
        <v>352</v>
      </c>
      <c r="F186">
        <v>88</v>
      </c>
      <c r="G186">
        <v>4928</v>
      </c>
      <c r="H186" s="4">
        <v>1232</v>
      </c>
      <c r="I186" s="4">
        <v>3696</v>
      </c>
      <c r="J186" t="s">
        <v>453</v>
      </c>
      <c r="K186" t="s">
        <v>42</v>
      </c>
      <c r="L186" s="4">
        <v>13.104576594826185</v>
      </c>
      <c r="M186" s="1" t="s">
        <v>54</v>
      </c>
      <c r="N186" s="11">
        <f t="shared" si="2"/>
        <v>10</v>
      </c>
    </row>
    <row r="187" spans="1:14" ht="16" x14ac:dyDescent="0.2">
      <c r="A187" s="3">
        <v>44045.243624860872</v>
      </c>
      <c r="B187" s="1" t="s">
        <v>454</v>
      </c>
      <c r="C187" t="s">
        <v>204</v>
      </c>
      <c r="D187">
        <v>9</v>
      </c>
      <c r="E187">
        <v>57</v>
      </c>
      <c r="F187">
        <v>19</v>
      </c>
      <c r="G187">
        <v>513</v>
      </c>
      <c r="H187" s="4">
        <v>171</v>
      </c>
      <c r="I187" s="4">
        <v>342</v>
      </c>
      <c r="J187" t="s">
        <v>455</v>
      </c>
      <c r="K187" t="s">
        <v>53</v>
      </c>
      <c r="L187" s="4">
        <v>13.574227261506472</v>
      </c>
      <c r="M187" s="1" t="s">
        <v>38</v>
      </c>
      <c r="N187" s="11">
        <f t="shared" si="2"/>
        <v>5</v>
      </c>
    </row>
    <row r="188" spans="1:14" ht="16" x14ac:dyDescent="0.2">
      <c r="A188" s="3">
        <v>43968.409887630558</v>
      </c>
      <c r="B188" s="1" t="s">
        <v>456</v>
      </c>
      <c r="C188" t="s">
        <v>304</v>
      </c>
      <c r="D188">
        <v>16</v>
      </c>
      <c r="E188">
        <v>116</v>
      </c>
      <c r="F188">
        <v>29</v>
      </c>
      <c r="G188">
        <v>1856</v>
      </c>
      <c r="H188" s="4">
        <v>464</v>
      </c>
      <c r="I188" s="4">
        <v>1392</v>
      </c>
      <c r="J188" t="s">
        <v>292</v>
      </c>
      <c r="K188" t="s">
        <v>49</v>
      </c>
      <c r="L188" s="4">
        <v>11.710935611749917</v>
      </c>
      <c r="M188" s="1" t="s">
        <v>38</v>
      </c>
      <c r="N188" s="11">
        <f t="shared" si="2"/>
        <v>5</v>
      </c>
    </row>
    <row r="189" spans="1:14" ht="16" x14ac:dyDescent="0.2">
      <c r="A189" s="3">
        <v>43955.303471169005</v>
      </c>
      <c r="B189" s="1" t="s">
        <v>457</v>
      </c>
      <c r="C189" t="s">
        <v>204</v>
      </c>
      <c r="D189">
        <v>11</v>
      </c>
      <c r="E189">
        <v>57</v>
      </c>
      <c r="F189">
        <v>19</v>
      </c>
      <c r="G189">
        <v>627</v>
      </c>
      <c r="H189" s="4">
        <v>209</v>
      </c>
      <c r="I189" s="4">
        <v>418</v>
      </c>
      <c r="J189" t="s">
        <v>361</v>
      </c>
      <c r="K189" t="s">
        <v>64</v>
      </c>
      <c r="L189" s="4">
        <v>13.092530646074781</v>
      </c>
      <c r="M189" s="1" t="s">
        <v>54</v>
      </c>
      <c r="N189" s="11">
        <f t="shared" si="2"/>
        <v>10</v>
      </c>
    </row>
    <row r="190" spans="1:14" ht="16" x14ac:dyDescent="0.2">
      <c r="A190" s="3">
        <v>44662.77681116022</v>
      </c>
      <c r="B190" s="1" t="s">
        <v>458</v>
      </c>
      <c r="C190" t="s">
        <v>40</v>
      </c>
      <c r="D190">
        <v>6</v>
      </c>
      <c r="E190">
        <v>46</v>
      </c>
      <c r="F190">
        <v>23</v>
      </c>
      <c r="G190">
        <v>276</v>
      </c>
      <c r="H190" s="4">
        <v>138</v>
      </c>
      <c r="I190" s="4">
        <v>138</v>
      </c>
      <c r="J190" t="s">
        <v>52</v>
      </c>
      <c r="K190" t="s">
        <v>53</v>
      </c>
      <c r="L190" s="4">
        <v>12.169266722245851</v>
      </c>
      <c r="M190" s="1" t="s">
        <v>38</v>
      </c>
      <c r="N190" s="11">
        <f t="shared" si="2"/>
        <v>5</v>
      </c>
    </row>
    <row r="191" spans="1:14" ht="16" x14ac:dyDescent="0.2">
      <c r="A191" s="3">
        <v>44234.871855545112</v>
      </c>
      <c r="B191" s="1" t="s">
        <v>459</v>
      </c>
      <c r="C191" t="s">
        <v>375</v>
      </c>
      <c r="D191">
        <v>18</v>
      </c>
      <c r="E191">
        <v>360</v>
      </c>
      <c r="F191">
        <v>90</v>
      </c>
      <c r="G191">
        <v>6480</v>
      </c>
      <c r="H191" s="4">
        <v>1620</v>
      </c>
      <c r="I191" s="4">
        <v>4860</v>
      </c>
      <c r="J191" t="s">
        <v>37</v>
      </c>
      <c r="K191" t="s">
        <v>33</v>
      </c>
      <c r="L191" s="4">
        <v>13.299525114817991</v>
      </c>
      <c r="M191" s="1" t="s">
        <v>54</v>
      </c>
      <c r="N191" s="11">
        <f t="shared" si="2"/>
        <v>10</v>
      </c>
    </row>
    <row r="192" spans="1:14" ht="16" x14ac:dyDescent="0.2">
      <c r="A192" s="3">
        <v>44029.254980353027</v>
      </c>
      <c r="B192" s="1" t="s">
        <v>460</v>
      </c>
      <c r="C192" t="s">
        <v>317</v>
      </c>
      <c r="D192">
        <v>18</v>
      </c>
      <c r="E192">
        <v>352</v>
      </c>
      <c r="F192">
        <v>88</v>
      </c>
      <c r="G192">
        <v>6336</v>
      </c>
      <c r="H192" s="4">
        <v>1584</v>
      </c>
      <c r="I192" s="4">
        <v>4752</v>
      </c>
      <c r="J192" t="s">
        <v>128</v>
      </c>
      <c r="K192" t="s">
        <v>42</v>
      </c>
      <c r="L192" s="4">
        <v>15.487214309603928</v>
      </c>
      <c r="M192" s="1" t="s">
        <v>38</v>
      </c>
      <c r="N192" s="11">
        <f t="shared" si="2"/>
        <v>5</v>
      </c>
    </row>
    <row r="193" spans="1:14" ht="16" x14ac:dyDescent="0.2">
      <c r="A193" s="3">
        <v>44512.408145091067</v>
      </c>
      <c r="B193" s="1" t="s">
        <v>461</v>
      </c>
      <c r="C193" t="s">
        <v>75</v>
      </c>
      <c r="D193">
        <v>19</v>
      </c>
      <c r="E193">
        <v>76</v>
      </c>
      <c r="F193">
        <v>19</v>
      </c>
      <c r="G193">
        <v>1444</v>
      </c>
      <c r="H193" s="4">
        <v>361</v>
      </c>
      <c r="I193" s="4">
        <v>1083</v>
      </c>
      <c r="J193" t="s">
        <v>462</v>
      </c>
      <c r="K193" t="s">
        <v>86</v>
      </c>
      <c r="L193" s="4">
        <v>12.732640267350657</v>
      </c>
      <c r="M193" s="1" t="s">
        <v>38</v>
      </c>
      <c r="N193" s="11">
        <f t="shared" si="2"/>
        <v>5</v>
      </c>
    </row>
    <row r="194" spans="1:14" ht="16" x14ac:dyDescent="0.2">
      <c r="A194" s="3">
        <v>43865.94336360415</v>
      </c>
      <c r="B194" s="1" t="s">
        <v>463</v>
      </c>
      <c r="C194" t="s">
        <v>110</v>
      </c>
      <c r="D194">
        <v>14</v>
      </c>
      <c r="E194">
        <v>144</v>
      </c>
      <c r="F194">
        <v>36</v>
      </c>
      <c r="G194">
        <v>2016</v>
      </c>
      <c r="H194" s="4">
        <v>504</v>
      </c>
      <c r="I194" s="4">
        <v>1512</v>
      </c>
      <c r="J194" t="s">
        <v>172</v>
      </c>
      <c r="K194" t="s">
        <v>33</v>
      </c>
      <c r="L194" s="4">
        <v>9.9311000381363836</v>
      </c>
      <c r="M194" s="1" t="s">
        <v>34</v>
      </c>
      <c r="N194" s="11">
        <f t="shared" si="2"/>
        <v>1</v>
      </c>
    </row>
    <row r="195" spans="1:14" ht="16" x14ac:dyDescent="0.2">
      <c r="A195" s="3">
        <v>43845.670973481007</v>
      </c>
      <c r="B195" s="1" t="s">
        <v>464</v>
      </c>
      <c r="C195" t="s">
        <v>193</v>
      </c>
      <c r="D195">
        <v>4</v>
      </c>
      <c r="E195">
        <v>348</v>
      </c>
      <c r="F195">
        <v>87</v>
      </c>
      <c r="G195">
        <v>1392</v>
      </c>
      <c r="H195" s="4">
        <v>348</v>
      </c>
      <c r="I195" s="4">
        <v>1044</v>
      </c>
      <c r="J195" t="s">
        <v>73</v>
      </c>
      <c r="K195" t="s">
        <v>58</v>
      </c>
      <c r="L195" s="4">
        <v>8.2871811249429097</v>
      </c>
      <c r="M195" s="1" t="s">
        <v>38</v>
      </c>
      <c r="N195" s="11">
        <f t="shared" ref="N195:N258" si="3">+IF(M195="Dissatisfied",1,IF(M195="Satisfied",10,5))</f>
        <v>5</v>
      </c>
    </row>
    <row r="196" spans="1:14" ht="16" x14ac:dyDescent="0.2">
      <c r="A196" s="3">
        <v>43963.292149603309</v>
      </c>
      <c r="B196" s="1" t="s">
        <v>465</v>
      </c>
      <c r="C196" t="s">
        <v>142</v>
      </c>
      <c r="D196">
        <v>10</v>
      </c>
      <c r="E196">
        <v>210</v>
      </c>
      <c r="F196">
        <v>70</v>
      </c>
      <c r="G196">
        <v>2100</v>
      </c>
      <c r="H196" s="4">
        <v>700</v>
      </c>
      <c r="I196" s="4">
        <v>1400</v>
      </c>
      <c r="J196" t="s">
        <v>466</v>
      </c>
      <c r="K196" t="s">
        <v>49</v>
      </c>
      <c r="L196" s="4">
        <v>16.368863536738775</v>
      </c>
      <c r="M196" s="1" t="s">
        <v>34</v>
      </c>
      <c r="N196" s="11">
        <f t="shared" si="3"/>
        <v>1</v>
      </c>
    </row>
    <row r="197" spans="1:14" ht="16" x14ac:dyDescent="0.2">
      <c r="A197" s="3">
        <v>43702.598707324789</v>
      </c>
      <c r="B197" s="1" t="s">
        <v>467</v>
      </c>
      <c r="C197" t="s">
        <v>201</v>
      </c>
      <c r="D197">
        <v>20</v>
      </c>
      <c r="E197">
        <v>30</v>
      </c>
      <c r="F197">
        <v>15</v>
      </c>
      <c r="G197">
        <v>600</v>
      </c>
      <c r="H197" s="4">
        <v>300</v>
      </c>
      <c r="I197" s="4">
        <v>300</v>
      </c>
      <c r="J197" t="s">
        <v>79</v>
      </c>
      <c r="K197" t="s">
        <v>64</v>
      </c>
      <c r="L197" s="4">
        <v>12.163730387337393</v>
      </c>
      <c r="M197" s="1" t="s">
        <v>38</v>
      </c>
      <c r="N197" s="11">
        <f t="shared" si="3"/>
        <v>5</v>
      </c>
    </row>
    <row r="198" spans="1:14" ht="16" x14ac:dyDescent="0.2">
      <c r="A198" s="3">
        <v>44037.825651848238</v>
      </c>
      <c r="B198" s="1" t="s">
        <v>468</v>
      </c>
      <c r="C198" t="s">
        <v>218</v>
      </c>
      <c r="D198">
        <v>9</v>
      </c>
      <c r="E198">
        <v>264</v>
      </c>
      <c r="F198">
        <v>88</v>
      </c>
      <c r="G198">
        <v>2376</v>
      </c>
      <c r="H198" s="4">
        <v>792</v>
      </c>
      <c r="I198" s="4">
        <v>1584</v>
      </c>
      <c r="J198" t="s">
        <v>469</v>
      </c>
      <c r="K198" t="s">
        <v>64</v>
      </c>
      <c r="L198" s="4">
        <v>7.9963422143733238</v>
      </c>
      <c r="M198" s="1" t="s">
        <v>38</v>
      </c>
      <c r="N198" s="11">
        <f t="shared" si="3"/>
        <v>5</v>
      </c>
    </row>
    <row r="199" spans="1:14" ht="16" x14ac:dyDescent="0.2">
      <c r="A199" s="3">
        <v>43052.329198839223</v>
      </c>
      <c r="B199" s="1" t="s">
        <v>470</v>
      </c>
      <c r="C199" t="s">
        <v>375</v>
      </c>
      <c r="D199">
        <v>16</v>
      </c>
      <c r="E199">
        <v>360</v>
      </c>
      <c r="F199">
        <v>90</v>
      </c>
      <c r="G199">
        <v>5760</v>
      </c>
      <c r="H199" s="4">
        <v>1440</v>
      </c>
      <c r="I199" s="4">
        <v>4320</v>
      </c>
      <c r="J199" t="s">
        <v>471</v>
      </c>
      <c r="K199" t="s">
        <v>58</v>
      </c>
      <c r="L199" s="4">
        <v>10.764293826791503</v>
      </c>
      <c r="M199" s="1" t="s">
        <v>54</v>
      </c>
      <c r="N199" s="11">
        <f t="shared" si="3"/>
        <v>10</v>
      </c>
    </row>
    <row r="200" spans="1:14" ht="16" x14ac:dyDescent="0.2">
      <c r="A200" s="3">
        <v>44675.175585371617</v>
      </c>
      <c r="B200" s="1" t="s">
        <v>472</v>
      </c>
      <c r="C200" t="s">
        <v>473</v>
      </c>
      <c r="D200">
        <v>2</v>
      </c>
      <c r="E200">
        <v>72</v>
      </c>
      <c r="F200">
        <v>36</v>
      </c>
      <c r="G200">
        <v>144</v>
      </c>
      <c r="H200" s="4">
        <v>72</v>
      </c>
      <c r="I200" s="4">
        <v>72</v>
      </c>
      <c r="J200" t="s">
        <v>474</v>
      </c>
      <c r="K200" t="s">
        <v>33</v>
      </c>
      <c r="L200" s="4">
        <v>9.629298039722805</v>
      </c>
      <c r="M200" s="1" t="s">
        <v>38</v>
      </c>
      <c r="N200" s="11">
        <f t="shared" si="3"/>
        <v>5</v>
      </c>
    </row>
    <row r="201" spans="1:14" ht="16" x14ac:dyDescent="0.2">
      <c r="A201" s="3">
        <v>43850.430373895331</v>
      </c>
      <c r="B201" s="1" t="s">
        <v>475</v>
      </c>
      <c r="C201" t="s">
        <v>101</v>
      </c>
      <c r="D201">
        <v>16</v>
      </c>
      <c r="E201">
        <v>50</v>
      </c>
      <c r="F201">
        <v>25</v>
      </c>
      <c r="G201">
        <v>800</v>
      </c>
      <c r="H201" s="4">
        <v>400</v>
      </c>
      <c r="I201" s="4">
        <v>400</v>
      </c>
      <c r="J201" t="s">
        <v>345</v>
      </c>
      <c r="K201" t="s">
        <v>49</v>
      </c>
      <c r="L201" s="4">
        <v>14.687857652112591</v>
      </c>
      <c r="M201" s="1" t="s">
        <v>38</v>
      </c>
      <c r="N201" s="11">
        <f t="shared" si="3"/>
        <v>5</v>
      </c>
    </row>
    <row r="202" spans="1:14" ht="16" x14ac:dyDescent="0.2">
      <c r="A202" s="3">
        <v>45275.821346480298</v>
      </c>
      <c r="B202" s="1" t="s">
        <v>476</v>
      </c>
      <c r="C202" t="s">
        <v>212</v>
      </c>
      <c r="D202">
        <v>2</v>
      </c>
      <c r="E202">
        <v>300</v>
      </c>
      <c r="F202">
        <v>75</v>
      </c>
      <c r="G202">
        <v>600</v>
      </c>
      <c r="H202" s="4">
        <v>150</v>
      </c>
      <c r="I202" s="4">
        <v>450</v>
      </c>
      <c r="J202" t="s">
        <v>477</v>
      </c>
      <c r="K202" t="s">
        <v>53</v>
      </c>
      <c r="L202" s="4">
        <v>14.845213075061906</v>
      </c>
      <c r="M202" s="1" t="s">
        <v>38</v>
      </c>
      <c r="N202" s="11">
        <f t="shared" si="3"/>
        <v>5</v>
      </c>
    </row>
    <row r="203" spans="1:14" ht="16" x14ac:dyDescent="0.2">
      <c r="A203" s="3">
        <v>44388.219732077749</v>
      </c>
      <c r="B203" s="1" t="s">
        <v>478</v>
      </c>
      <c r="C203" t="s">
        <v>188</v>
      </c>
      <c r="D203">
        <v>3</v>
      </c>
      <c r="E203">
        <v>368</v>
      </c>
      <c r="F203">
        <v>92</v>
      </c>
      <c r="G203">
        <v>1104</v>
      </c>
      <c r="H203" s="4">
        <v>276</v>
      </c>
      <c r="I203" s="4">
        <v>828</v>
      </c>
      <c r="J203" t="s">
        <v>126</v>
      </c>
      <c r="K203" t="s">
        <v>64</v>
      </c>
      <c r="L203" s="4">
        <v>11.006397834696006</v>
      </c>
      <c r="M203" s="1" t="s">
        <v>54</v>
      </c>
      <c r="N203" s="11">
        <f t="shared" si="3"/>
        <v>10</v>
      </c>
    </row>
    <row r="204" spans="1:14" ht="16" x14ac:dyDescent="0.2">
      <c r="A204" s="3">
        <v>43573.501837262316</v>
      </c>
      <c r="B204" s="1" t="s">
        <v>479</v>
      </c>
      <c r="C204" t="s">
        <v>299</v>
      </c>
      <c r="D204">
        <v>6</v>
      </c>
      <c r="E204">
        <v>225</v>
      </c>
      <c r="F204">
        <v>75</v>
      </c>
      <c r="G204">
        <v>1350</v>
      </c>
      <c r="H204" s="4">
        <v>450</v>
      </c>
      <c r="I204" s="4">
        <v>900</v>
      </c>
      <c r="J204" t="s">
        <v>73</v>
      </c>
      <c r="K204" t="s">
        <v>58</v>
      </c>
      <c r="L204" s="4">
        <v>8.2871811249429097</v>
      </c>
      <c r="M204" s="1" t="s">
        <v>38</v>
      </c>
      <c r="N204" s="11">
        <f t="shared" si="3"/>
        <v>5</v>
      </c>
    </row>
    <row r="205" spans="1:14" ht="16" x14ac:dyDescent="0.2">
      <c r="A205" s="3">
        <v>44176.729611685711</v>
      </c>
      <c r="B205" s="1" t="s">
        <v>480</v>
      </c>
      <c r="C205" t="s">
        <v>133</v>
      </c>
      <c r="D205">
        <v>5</v>
      </c>
      <c r="E205">
        <v>189</v>
      </c>
      <c r="F205">
        <v>63</v>
      </c>
      <c r="G205">
        <v>945</v>
      </c>
      <c r="H205" s="4">
        <v>315</v>
      </c>
      <c r="I205" s="4">
        <v>630</v>
      </c>
      <c r="J205" t="s">
        <v>205</v>
      </c>
      <c r="K205" t="s">
        <v>33</v>
      </c>
      <c r="L205" s="4">
        <v>12.007834550770397</v>
      </c>
      <c r="M205" s="1" t="s">
        <v>54</v>
      </c>
      <c r="N205" s="11">
        <f t="shared" si="3"/>
        <v>10</v>
      </c>
    </row>
    <row r="206" spans="1:14" ht="16" x14ac:dyDescent="0.2">
      <c r="A206" s="3">
        <v>44272.834893286526</v>
      </c>
      <c r="B206" s="1" t="s">
        <v>481</v>
      </c>
      <c r="C206" t="s">
        <v>391</v>
      </c>
      <c r="D206">
        <v>5</v>
      </c>
      <c r="E206">
        <v>72</v>
      </c>
      <c r="F206">
        <v>36</v>
      </c>
      <c r="G206">
        <v>360</v>
      </c>
      <c r="H206" s="4">
        <v>180</v>
      </c>
      <c r="I206" s="4">
        <v>180</v>
      </c>
      <c r="J206" t="s">
        <v>482</v>
      </c>
      <c r="K206" t="s">
        <v>42</v>
      </c>
      <c r="L206" s="4">
        <v>11.311040680082275</v>
      </c>
      <c r="M206" s="1" t="s">
        <v>34</v>
      </c>
      <c r="N206" s="11">
        <f t="shared" si="3"/>
        <v>1</v>
      </c>
    </row>
    <row r="207" spans="1:14" ht="16" x14ac:dyDescent="0.2">
      <c r="A207" s="3">
        <v>43882.310696683846</v>
      </c>
      <c r="B207" s="1" t="s">
        <v>483</v>
      </c>
      <c r="C207" t="s">
        <v>185</v>
      </c>
      <c r="D207">
        <v>4</v>
      </c>
      <c r="E207">
        <v>146</v>
      </c>
      <c r="F207">
        <v>73</v>
      </c>
      <c r="G207">
        <v>584</v>
      </c>
      <c r="H207" s="4">
        <v>292</v>
      </c>
      <c r="I207" s="4">
        <v>292</v>
      </c>
      <c r="J207" t="s">
        <v>292</v>
      </c>
      <c r="K207" t="s">
        <v>49</v>
      </c>
      <c r="L207" s="4">
        <v>11.710935611749917</v>
      </c>
      <c r="M207" s="1" t="s">
        <v>38</v>
      </c>
      <c r="N207" s="11">
        <f t="shared" si="3"/>
        <v>5</v>
      </c>
    </row>
    <row r="208" spans="1:14" ht="16" x14ac:dyDescent="0.2">
      <c r="A208" s="3">
        <v>44150.040341094937</v>
      </c>
      <c r="B208" s="1" t="s">
        <v>484</v>
      </c>
      <c r="C208" t="s">
        <v>75</v>
      </c>
      <c r="D208">
        <v>7</v>
      </c>
      <c r="E208">
        <v>76</v>
      </c>
      <c r="F208">
        <v>19</v>
      </c>
      <c r="G208">
        <v>532</v>
      </c>
      <c r="H208" s="4">
        <v>133</v>
      </c>
      <c r="I208" s="4">
        <v>399</v>
      </c>
      <c r="J208" t="s">
        <v>485</v>
      </c>
      <c r="K208" t="s">
        <v>49</v>
      </c>
      <c r="L208" s="4">
        <v>12.889576147248359</v>
      </c>
      <c r="M208" s="1" t="s">
        <v>38</v>
      </c>
      <c r="N208" s="11">
        <f t="shared" si="3"/>
        <v>5</v>
      </c>
    </row>
    <row r="209" spans="1:14" ht="16" x14ac:dyDescent="0.2">
      <c r="A209" s="3">
        <v>44393.655126037484</v>
      </c>
      <c r="B209" s="1" t="s">
        <v>486</v>
      </c>
      <c r="C209" t="s">
        <v>487</v>
      </c>
      <c r="D209">
        <v>3</v>
      </c>
      <c r="E209">
        <v>264</v>
      </c>
      <c r="F209">
        <v>88</v>
      </c>
      <c r="G209">
        <v>792</v>
      </c>
      <c r="H209" s="4">
        <v>264</v>
      </c>
      <c r="I209" s="4">
        <v>528</v>
      </c>
      <c r="J209" t="s">
        <v>488</v>
      </c>
      <c r="K209" t="s">
        <v>64</v>
      </c>
      <c r="L209" s="4">
        <v>9.458617986208397</v>
      </c>
      <c r="M209" s="1" t="s">
        <v>54</v>
      </c>
      <c r="N209" s="11">
        <f t="shared" si="3"/>
        <v>10</v>
      </c>
    </row>
    <row r="210" spans="1:14" ht="16" x14ac:dyDescent="0.2">
      <c r="A210" s="3">
        <v>44345.345199207681</v>
      </c>
      <c r="B210" s="1" t="s">
        <v>489</v>
      </c>
      <c r="C210" t="s">
        <v>98</v>
      </c>
      <c r="D210">
        <v>20</v>
      </c>
      <c r="E210">
        <v>156</v>
      </c>
      <c r="F210">
        <v>78</v>
      </c>
      <c r="G210">
        <v>3120</v>
      </c>
      <c r="H210" s="4">
        <v>1560</v>
      </c>
      <c r="I210" s="4">
        <v>1560</v>
      </c>
      <c r="J210" t="s">
        <v>490</v>
      </c>
      <c r="K210" t="s">
        <v>64</v>
      </c>
      <c r="L210" s="4">
        <v>11.249825090458803</v>
      </c>
      <c r="M210" s="1" t="s">
        <v>38</v>
      </c>
      <c r="N210" s="11">
        <f t="shared" si="3"/>
        <v>5</v>
      </c>
    </row>
    <row r="211" spans="1:14" ht="16" x14ac:dyDescent="0.2">
      <c r="A211" s="3">
        <v>43564.237428540247</v>
      </c>
      <c r="B211" s="1" t="s">
        <v>324</v>
      </c>
      <c r="C211" t="s">
        <v>209</v>
      </c>
      <c r="D211">
        <v>8</v>
      </c>
      <c r="E211">
        <v>150</v>
      </c>
      <c r="F211">
        <v>75</v>
      </c>
      <c r="G211">
        <v>1200</v>
      </c>
      <c r="H211" s="4">
        <v>600</v>
      </c>
      <c r="I211" s="4">
        <v>600</v>
      </c>
      <c r="J211" t="s">
        <v>366</v>
      </c>
      <c r="K211" t="s">
        <v>64</v>
      </c>
      <c r="L211" s="4">
        <v>12.342715162719054</v>
      </c>
      <c r="M211" s="1" t="s">
        <v>34</v>
      </c>
      <c r="N211" s="11">
        <f t="shared" si="3"/>
        <v>1</v>
      </c>
    </row>
    <row r="212" spans="1:14" ht="16" x14ac:dyDescent="0.2">
      <c r="A212" s="3">
        <v>44049.346279331323</v>
      </c>
      <c r="B212" s="1" t="s">
        <v>491</v>
      </c>
      <c r="C212" t="s">
        <v>69</v>
      </c>
      <c r="D212">
        <v>7</v>
      </c>
      <c r="E212">
        <v>184</v>
      </c>
      <c r="F212">
        <v>92</v>
      </c>
      <c r="G212">
        <v>1288</v>
      </c>
      <c r="H212" s="4">
        <v>644</v>
      </c>
      <c r="I212" s="4">
        <v>644</v>
      </c>
      <c r="J212" t="s">
        <v>492</v>
      </c>
      <c r="K212" t="s">
        <v>33</v>
      </c>
      <c r="L212" s="4">
        <v>11.799431383856128</v>
      </c>
      <c r="M212" s="1" t="s">
        <v>54</v>
      </c>
      <c r="N212" s="11">
        <f t="shared" si="3"/>
        <v>10</v>
      </c>
    </row>
    <row r="213" spans="1:14" ht="16" x14ac:dyDescent="0.2">
      <c r="A213" s="3">
        <v>42960.916614394926</v>
      </c>
      <c r="B213" s="1" t="s">
        <v>493</v>
      </c>
      <c r="C213" t="s">
        <v>185</v>
      </c>
      <c r="D213">
        <v>6</v>
      </c>
      <c r="E213">
        <v>146</v>
      </c>
      <c r="F213">
        <v>73</v>
      </c>
      <c r="G213">
        <v>876</v>
      </c>
      <c r="H213" s="4">
        <v>438</v>
      </c>
      <c r="I213" s="4">
        <v>438</v>
      </c>
      <c r="J213" t="s">
        <v>387</v>
      </c>
      <c r="K213" t="s">
        <v>86</v>
      </c>
      <c r="L213" s="4">
        <v>15.60430546146185</v>
      </c>
      <c r="M213" s="1" t="s">
        <v>38</v>
      </c>
      <c r="N213" s="11">
        <f t="shared" si="3"/>
        <v>5</v>
      </c>
    </row>
    <row r="214" spans="1:14" ht="16" x14ac:dyDescent="0.2">
      <c r="A214" s="3">
        <v>44238.01732853234</v>
      </c>
      <c r="B214" s="1" t="s">
        <v>494</v>
      </c>
      <c r="C214" t="s">
        <v>218</v>
      </c>
      <c r="D214">
        <v>20</v>
      </c>
      <c r="E214">
        <v>264</v>
      </c>
      <c r="F214">
        <v>88</v>
      </c>
      <c r="G214">
        <v>5280</v>
      </c>
      <c r="H214" s="4">
        <v>1760</v>
      </c>
      <c r="I214" s="4">
        <v>3520</v>
      </c>
      <c r="J214" t="s">
        <v>495</v>
      </c>
      <c r="K214" t="s">
        <v>64</v>
      </c>
      <c r="L214" s="4">
        <v>8.8878868765808274</v>
      </c>
      <c r="M214" s="1" t="s">
        <v>54</v>
      </c>
      <c r="N214" s="11">
        <f t="shared" si="3"/>
        <v>10</v>
      </c>
    </row>
    <row r="215" spans="1:14" ht="16" x14ac:dyDescent="0.2">
      <c r="A215" s="3">
        <v>44963.498860479318</v>
      </c>
      <c r="B215" s="1" t="s">
        <v>496</v>
      </c>
      <c r="C215" t="s">
        <v>317</v>
      </c>
      <c r="D215">
        <v>1</v>
      </c>
      <c r="E215">
        <v>352</v>
      </c>
      <c r="F215">
        <v>88</v>
      </c>
      <c r="G215">
        <v>352</v>
      </c>
      <c r="H215" s="4">
        <v>88</v>
      </c>
      <c r="I215" s="4">
        <v>264</v>
      </c>
      <c r="J215" t="s">
        <v>438</v>
      </c>
      <c r="K215" t="s">
        <v>64</v>
      </c>
      <c r="L215" s="4">
        <v>12.532428411174646</v>
      </c>
      <c r="M215" s="1" t="s">
        <v>54</v>
      </c>
      <c r="N215" s="11">
        <f t="shared" si="3"/>
        <v>10</v>
      </c>
    </row>
    <row r="216" spans="1:14" ht="16" x14ac:dyDescent="0.2">
      <c r="A216" s="3">
        <v>43478.21833910753</v>
      </c>
      <c r="B216" s="1" t="s">
        <v>497</v>
      </c>
      <c r="C216" t="s">
        <v>283</v>
      </c>
      <c r="D216">
        <v>9</v>
      </c>
      <c r="E216">
        <v>144</v>
      </c>
      <c r="F216">
        <v>36</v>
      </c>
      <c r="G216">
        <v>1296</v>
      </c>
      <c r="H216" s="4">
        <v>324</v>
      </c>
      <c r="I216" s="4">
        <v>972</v>
      </c>
      <c r="J216" t="s">
        <v>498</v>
      </c>
      <c r="K216" t="s">
        <v>58</v>
      </c>
      <c r="L216" s="4">
        <v>8.0758315802191021</v>
      </c>
      <c r="M216" s="1" t="s">
        <v>38</v>
      </c>
      <c r="N216" s="11">
        <f t="shared" si="3"/>
        <v>5</v>
      </c>
    </row>
    <row r="217" spans="1:14" ht="16" x14ac:dyDescent="0.2">
      <c r="A217" s="3">
        <v>44343.918847041816</v>
      </c>
      <c r="B217" s="1" t="s">
        <v>499</v>
      </c>
      <c r="C217" t="s">
        <v>215</v>
      </c>
      <c r="D217">
        <v>16</v>
      </c>
      <c r="E217">
        <v>176</v>
      </c>
      <c r="F217">
        <v>88</v>
      </c>
      <c r="G217">
        <v>2816</v>
      </c>
      <c r="H217" s="4">
        <v>1408</v>
      </c>
      <c r="I217" s="4">
        <v>1408</v>
      </c>
      <c r="J217" t="s">
        <v>48</v>
      </c>
      <c r="K217" t="s">
        <v>49</v>
      </c>
      <c r="L217" s="4">
        <v>15.24190997853951</v>
      </c>
      <c r="M217" s="1" t="s">
        <v>34</v>
      </c>
      <c r="N217" s="11">
        <f t="shared" si="3"/>
        <v>1</v>
      </c>
    </row>
    <row r="218" spans="1:14" ht="16" x14ac:dyDescent="0.2">
      <c r="A218" s="3">
        <v>44525.509514761114</v>
      </c>
      <c r="B218" s="1" t="s">
        <v>500</v>
      </c>
      <c r="C218" t="s">
        <v>142</v>
      </c>
      <c r="D218">
        <v>12</v>
      </c>
      <c r="E218">
        <v>210</v>
      </c>
      <c r="F218">
        <v>70</v>
      </c>
      <c r="G218">
        <v>2520</v>
      </c>
      <c r="H218" s="4">
        <v>840</v>
      </c>
      <c r="I218" s="4">
        <v>1680</v>
      </c>
      <c r="J218" t="s">
        <v>351</v>
      </c>
      <c r="K218" t="s">
        <v>33</v>
      </c>
      <c r="L218" s="4">
        <v>11.070908141213383</v>
      </c>
      <c r="M218" s="1" t="s">
        <v>54</v>
      </c>
      <c r="N218" s="11">
        <f t="shared" si="3"/>
        <v>10</v>
      </c>
    </row>
    <row r="219" spans="1:14" ht="16" x14ac:dyDescent="0.2">
      <c r="A219" s="3">
        <v>43843.764901986928</v>
      </c>
      <c r="B219" s="1" t="s">
        <v>501</v>
      </c>
      <c r="C219" t="s">
        <v>473</v>
      </c>
      <c r="D219">
        <v>9</v>
      </c>
      <c r="E219">
        <v>72</v>
      </c>
      <c r="F219">
        <v>36</v>
      </c>
      <c r="G219">
        <v>648</v>
      </c>
      <c r="H219" s="4">
        <v>324</v>
      </c>
      <c r="I219" s="4">
        <v>324</v>
      </c>
      <c r="J219" t="s">
        <v>172</v>
      </c>
      <c r="K219" t="s">
        <v>33</v>
      </c>
      <c r="L219" s="4">
        <v>9.9311000381363836</v>
      </c>
      <c r="M219" s="1" t="s">
        <v>38</v>
      </c>
      <c r="N219" s="11">
        <f t="shared" si="3"/>
        <v>5</v>
      </c>
    </row>
    <row r="220" spans="1:14" ht="16" x14ac:dyDescent="0.2">
      <c r="A220" s="3">
        <v>43184.30580887392</v>
      </c>
      <c r="B220" s="1" t="s">
        <v>502</v>
      </c>
      <c r="C220" t="s">
        <v>503</v>
      </c>
      <c r="D220">
        <v>4</v>
      </c>
      <c r="E220">
        <v>50</v>
      </c>
      <c r="F220">
        <v>25</v>
      </c>
      <c r="G220">
        <v>200</v>
      </c>
      <c r="H220" s="4">
        <v>100</v>
      </c>
      <c r="I220" s="4">
        <v>100</v>
      </c>
      <c r="J220" t="s">
        <v>504</v>
      </c>
      <c r="K220" t="s">
        <v>53</v>
      </c>
      <c r="L220" s="4">
        <v>12.801144805697081</v>
      </c>
      <c r="M220" s="1" t="s">
        <v>54</v>
      </c>
      <c r="N220" s="11">
        <f t="shared" si="3"/>
        <v>10</v>
      </c>
    </row>
    <row r="221" spans="1:14" ht="16" x14ac:dyDescent="0.2">
      <c r="A221" s="3">
        <v>44437.744883819418</v>
      </c>
      <c r="B221" s="1" t="s">
        <v>505</v>
      </c>
      <c r="C221" t="s">
        <v>286</v>
      </c>
      <c r="D221">
        <v>19</v>
      </c>
      <c r="E221">
        <v>34</v>
      </c>
      <c r="F221">
        <v>17</v>
      </c>
      <c r="G221">
        <v>646</v>
      </c>
      <c r="H221" s="4">
        <v>323</v>
      </c>
      <c r="I221" s="4">
        <v>323</v>
      </c>
      <c r="J221" t="s">
        <v>506</v>
      </c>
      <c r="K221" t="s">
        <v>33</v>
      </c>
      <c r="L221" s="4">
        <v>13.917704159139552</v>
      </c>
      <c r="M221" s="1" t="s">
        <v>38</v>
      </c>
      <c r="N221" s="11">
        <f t="shared" si="3"/>
        <v>5</v>
      </c>
    </row>
    <row r="222" spans="1:14" ht="16" x14ac:dyDescent="0.2">
      <c r="A222" s="3">
        <v>43117.17640253999</v>
      </c>
      <c r="B222" s="1" t="s">
        <v>507</v>
      </c>
      <c r="C222" t="s">
        <v>399</v>
      </c>
      <c r="D222">
        <v>18</v>
      </c>
      <c r="E222">
        <v>160</v>
      </c>
      <c r="F222">
        <v>80</v>
      </c>
      <c r="G222">
        <v>2880</v>
      </c>
      <c r="H222" s="4">
        <v>1440</v>
      </c>
      <c r="I222" s="4">
        <v>1440</v>
      </c>
      <c r="J222" t="s">
        <v>234</v>
      </c>
      <c r="K222" t="s">
        <v>64</v>
      </c>
      <c r="L222" s="4">
        <v>12.200533931675887</v>
      </c>
      <c r="M222" s="1" t="s">
        <v>34</v>
      </c>
      <c r="N222" s="11">
        <f t="shared" si="3"/>
        <v>1</v>
      </c>
    </row>
    <row r="223" spans="1:14" ht="16" x14ac:dyDescent="0.2">
      <c r="A223" s="3">
        <v>43714.184889352706</v>
      </c>
      <c r="B223" s="1" t="s">
        <v>508</v>
      </c>
      <c r="C223" t="s">
        <v>136</v>
      </c>
      <c r="D223">
        <v>8</v>
      </c>
      <c r="E223">
        <v>154</v>
      </c>
      <c r="F223">
        <v>77</v>
      </c>
      <c r="G223">
        <v>1232</v>
      </c>
      <c r="H223" s="4">
        <v>616</v>
      </c>
      <c r="I223" s="4">
        <v>616</v>
      </c>
      <c r="J223" t="s">
        <v>186</v>
      </c>
      <c r="K223" t="s">
        <v>58</v>
      </c>
      <c r="L223" s="4">
        <v>11.31221475547909</v>
      </c>
      <c r="M223" s="1" t="s">
        <v>54</v>
      </c>
      <c r="N223" s="11">
        <f t="shared" si="3"/>
        <v>10</v>
      </c>
    </row>
    <row r="224" spans="1:14" ht="16" x14ac:dyDescent="0.2">
      <c r="A224" s="3">
        <v>44894.625236493084</v>
      </c>
      <c r="B224" s="1" t="s">
        <v>509</v>
      </c>
      <c r="C224" t="s">
        <v>283</v>
      </c>
      <c r="D224">
        <v>11</v>
      </c>
      <c r="E224">
        <v>144</v>
      </c>
      <c r="F224">
        <v>36</v>
      </c>
      <c r="G224">
        <v>1584</v>
      </c>
      <c r="H224" s="4">
        <v>396</v>
      </c>
      <c r="I224" s="4">
        <v>1188</v>
      </c>
      <c r="J224" t="s">
        <v>343</v>
      </c>
      <c r="K224" t="s">
        <v>42</v>
      </c>
      <c r="L224" s="4">
        <v>9.8928038181361391</v>
      </c>
      <c r="M224" s="1" t="s">
        <v>54</v>
      </c>
      <c r="N224" s="11">
        <f t="shared" si="3"/>
        <v>10</v>
      </c>
    </row>
    <row r="225" spans="1:14" ht="16" x14ac:dyDescent="0.2">
      <c r="A225" s="3">
        <v>43920.734724955873</v>
      </c>
      <c r="B225" s="1" t="s">
        <v>510</v>
      </c>
      <c r="C225" t="s">
        <v>101</v>
      </c>
      <c r="D225">
        <v>16</v>
      </c>
      <c r="E225">
        <v>50</v>
      </c>
      <c r="F225">
        <v>25</v>
      </c>
      <c r="G225">
        <v>800</v>
      </c>
      <c r="H225" s="4">
        <v>400</v>
      </c>
      <c r="I225" s="4">
        <v>400</v>
      </c>
      <c r="J225" t="s">
        <v>354</v>
      </c>
      <c r="K225" t="s">
        <v>42</v>
      </c>
      <c r="L225" s="4">
        <v>13.518413464873573</v>
      </c>
      <c r="M225" s="1" t="s">
        <v>54</v>
      </c>
      <c r="N225" s="11">
        <f t="shared" si="3"/>
        <v>10</v>
      </c>
    </row>
    <row r="226" spans="1:14" ht="16" x14ac:dyDescent="0.2">
      <c r="A226" s="3">
        <v>44448.661245048723</v>
      </c>
      <c r="B226" s="1" t="s">
        <v>511</v>
      </c>
      <c r="C226" t="s">
        <v>72</v>
      </c>
      <c r="D226">
        <v>20</v>
      </c>
      <c r="E226">
        <v>352</v>
      </c>
      <c r="F226">
        <v>88</v>
      </c>
      <c r="G226">
        <v>7040</v>
      </c>
      <c r="H226" s="4">
        <v>1760</v>
      </c>
      <c r="I226" s="4">
        <v>5280</v>
      </c>
      <c r="J226" t="s">
        <v>292</v>
      </c>
      <c r="K226" t="s">
        <v>49</v>
      </c>
      <c r="L226" s="4">
        <v>11.710935611749917</v>
      </c>
      <c r="M226" s="1" t="s">
        <v>54</v>
      </c>
      <c r="N226" s="11">
        <f t="shared" si="3"/>
        <v>10</v>
      </c>
    </row>
    <row r="227" spans="1:14" ht="16" x14ac:dyDescent="0.2">
      <c r="A227" s="3">
        <v>44237.44782786131</v>
      </c>
      <c r="B227" s="1" t="s">
        <v>512</v>
      </c>
      <c r="C227" t="s">
        <v>133</v>
      </c>
      <c r="D227">
        <v>12</v>
      </c>
      <c r="E227">
        <v>189</v>
      </c>
      <c r="F227">
        <v>63</v>
      </c>
      <c r="G227">
        <v>2268</v>
      </c>
      <c r="H227" s="4">
        <v>756</v>
      </c>
      <c r="I227" s="4">
        <v>1512</v>
      </c>
      <c r="J227" t="s">
        <v>513</v>
      </c>
      <c r="K227" t="s">
        <v>58</v>
      </c>
      <c r="L227" s="4">
        <v>15.207985888346794</v>
      </c>
      <c r="M227" s="1" t="s">
        <v>38</v>
      </c>
      <c r="N227" s="11">
        <f t="shared" si="3"/>
        <v>5</v>
      </c>
    </row>
    <row r="228" spans="1:14" ht="16" x14ac:dyDescent="0.2">
      <c r="A228" s="3">
        <v>44500.020678846558</v>
      </c>
      <c r="B228" s="1" t="s">
        <v>514</v>
      </c>
      <c r="C228" t="s">
        <v>431</v>
      </c>
      <c r="D228">
        <v>9</v>
      </c>
      <c r="E228">
        <v>356</v>
      </c>
      <c r="F228">
        <v>89</v>
      </c>
      <c r="G228">
        <v>3204</v>
      </c>
      <c r="H228" s="4">
        <v>801</v>
      </c>
      <c r="I228" s="4">
        <v>2403</v>
      </c>
      <c r="J228" t="s">
        <v>450</v>
      </c>
      <c r="K228" t="s">
        <v>49</v>
      </c>
      <c r="L228" s="4">
        <v>13.332534707865639</v>
      </c>
      <c r="M228" s="1" t="s">
        <v>54</v>
      </c>
      <c r="N228" s="11">
        <f t="shared" si="3"/>
        <v>10</v>
      </c>
    </row>
    <row r="229" spans="1:14" ht="16" x14ac:dyDescent="0.2">
      <c r="A229" s="3">
        <v>42641.299427045058</v>
      </c>
      <c r="B229" s="1" t="s">
        <v>515</v>
      </c>
      <c r="C229" t="s">
        <v>75</v>
      </c>
      <c r="D229">
        <v>20</v>
      </c>
      <c r="E229">
        <v>76</v>
      </c>
      <c r="F229">
        <v>19</v>
      </c>
      <c r="G229">
        <v>1520</v>
      </c>
      <c r="H229" s="4">
        <v>380</v>
      </c>
      <c r="I229" s="4">
        <v>1140</v>
      </c>
      <c r="J229" t="s">
        <v>331</v>
      </c>
      <c r="K229" t="s">
        <v>58</v>
      </c>
      <c r="L229" s="4">
        <v>15.18789248529443</v>
      </c>
      <c r="M229" s="1" t="s">
        <v>38</v>
      </c>
      <c r="N229" s="11">
        <f t="shared" si="3"/>
        <v>5</v>
      </c>
    </row>
    <row r="230" spans="1:14" ht="16" x14ac:dyDescent="0.2">
      <c r="A230" s="3">
        <v>43867.539858857308</v>
      </c>
      <c r="B230" s="1" t="s">
        <v>516</v>
      </c>
      <c r="C230" t="s">
        <v>243</v>
      </c>
      <c r="D230">
        <v>9</v>
      </c>
      <c r="E230">
        <v>90</v>
      </c>
      <c r="F230">
        <v>45</v>
      </c>
      <c r="G230">
        <v>810</v>
      </c>
      <c r="H230" s="4">
        <v>405</v>
      </c>
      <c r="I230" s="4">
        <v>405</v>
      </c>
      <c r="J230" t="s">
        <v>517</v>
      </c>
      <c r="K230" t="s">
        <v>86</v>
      </c>
      <c r="L230" s="4">
        <v>13.57003172959007</v>
      </c>
      <c r="M230" s="1" t="s">
        <v>38</v>
      </c>
      <c r="N230" s="11">
        <f t="shared" si="3"/>
        <v>5</v>
      </c>
    </row>
    <row r="231" spans="1:14" ht="16" x14ac:dyDescent="0.2">
      <c r="A231" s="3">
        <v>44295.10510915878</v>
      </c>
      <c r="B231" s="1" t="s">
        <v>518</v>
      </c>
      <c r="C231" t="s">
        <v>304</v>
      </c>
      <c r="D231">
        <v>3</v>
      </c>
      <c r="E231">
        <v>116</v>
      </c>
      <c r="F231">
        <v>29</v>
      </c>
      <c r="G231">
        <v>348</v>
      </c>
      <c r="H231" s="4">
        <v>87</v>
      </c>
      <c r="I231" s="4">
        <v>261</v>
      </c>
      <c r="J231" t="s">
        <v>236</v>
      </c>
      <c r="K231" t="s">
        <v>53</v>
      </c>
      <c r="L231" s="4">
        <v>9.3014286057233697</v>
      </c>
      <c r="M231" s="1" t="s">
        <v>54</v>
      </c>
      <c r="N231" s="11">
        <f t="shared" si="3"/>
        <v>10</v>
      </c>
    </row>
    <row r="232" spans="1:14" ht="16" x14ac:dyDescent="0.2">
      <c r="A232" s="3">
        <v>44123.619849299415</v>
      </c>
      <c r="B232" s="1" t="s">
        <v>519</v>
      </c>
      <c r="C232" t="s">
        <v>328</v>
      </c>
      <c r="D232">
        <v>2</v>
      </c>
      <c r="E232">
        <v>124</v>
      </c>
      <c r="F232">
        <v>62</v>
      </c>
      <c r="G232">
        <v>248</v>
      </c>
      <c r="H232" s="4">
        <v>124</v>
      </c>
      <c r="I232" s="4">
        <v>124</v>
      </c>
      <c r="J232" t="s">
        <v>408</v>
      </c>
      <c r="K232" t="s">
        <v>42</v>
      </c>
      <c r="L232" s="4">
        <v>9.1877733607656964</v>
      </c>
      <c r="M232" s="1" t="s">
        <v>38</v>
      </c>
      <c r="N232" s="11">
        <f t="shared" si="3"/>
        <v>5</v>
      </c>
    </row>
    <row r="233" spans="1:14" ht="16" x14ac:dyDescent="0.2">
      <c r="A233" s="3">
        <v>44205.215515418793</v>
      </c>
      <c r="B233" s="1" t="s">
        <v>520</v>
      </c>
      <c r="C233" t="s">
        <v>473</v>
      </c>
      <c r="D233">
        <v>4</v>
      </c>
      <c r="E233">
        <v>72</v>
      </c>
      <c r="F233">
        <v>36</v>
      </c>
      <c r="G233">
        <v>288</v>
      </c>
      <c r="H233" s="4">
        <v>144</v>
      </c>
      <c r="I233" s="4">
        <v>144</v>
      </c>
      <c r="J233" t="s">
        <v>521</v>
      </c>
      <c r="K233" t="s">
        <v>58</v>
      </c>
      <c r="L233" s="4">
        <v>8.8514729234790472</v>
      </c>
      <c r="M233" s="1" t="s">
        <v>38</v>
      </c>
      <c r="N233" s="11">
        <f t="shared" si="3"/>
        <v>5</v>
      </c>
    </row>
    <row r="234" spans="1:14" ht="16" x14ac:dyDescent="0.2">
      <c r="A234" s="3">
        <v>44115.696903001604</v>
      </c>
      <c r="B234" s="1" t="s">
        <v>522</v>
      </c>
      <c r="C234" t="s">
        <v>523</v>
      </c>
      <c r="D234">
        <v>17</v>
      </c>
      <c r="E234">
        <v>92</v>
      </c>
      <c r="F234">
        <v>46</v>
      </c>
      <c r="G234">
        <v>1564</v>
      </c>
      <c r="H234" s="4">
        <v>782</v>
      </c>
      <c r="I234" s="4">
        <v>782</v>
      </c>
      <c r="J234" t="s">
        <v>221</v>
      </c>
      <c r="K234" t="s">
        <v>49</v>
      </c>
      <c r="L234" s="4">
        <v>12.396052160428608</v>
      </c>
      <c r="M234" s="1" t="s">
        <v>34</v>
      </c>
      <c r="N234" s="11">
        <f t="shared" si="3"/>
        <v>1</v>
      </c>
    </row>
    <row r="235" spans="1:14" ht="16" x14ac:dyDescent="0.2">
      <c r="A235" s="3">
        <v>44291.432215954621</v>
      </c>
      <c r="B235" s="1" t="s">
        <v>524</v>
      </c>
      <c r="C235" t="s">
        <v>212</v>
      </c>
      <c r="D235">
        <v>16</v>
      </c>
      <c r="E235">
        <v>300</v>
      </c>
      <c r="F235">
        <v>75</v>
      </c>
      <c r="G235">
        <v>4800</v>
      </c>
      <c r="H235" s="4">
        <v>1200</v>
      </c>
      <c r="I235" s="4">
        <v>3600</v>
      </c>
      <c r="J235" t="s">
        <v>354</v>
      </c>
      <c r="K235" t="s">
        <v>42</v>
      </c>
      <c r="L235" s="4">
        <v>13.518413464873573</v>
      </c>
      <c r="M235" s="1" t="s">
        <v>34</v>
      </c>
      <c r="N235" s="11">
        <f t="shared" si="3"/>
        <v>1</v>
      </c>
    </row>
    <row r="236" spans="1:14" ht="16" x14ac:dyDescent="0.2">
      <c r="A236" s="3">
        <v>44290.017635508681</v>
      </c>
      <c r="B236" s="1" t="s">
        <v>525</v>
      </c>
      <c r="C236" t="s">
        <v>301</v>
      </c>
      <c r="D236">
        <v>9</v>
      </c>
      <c r="E236">
        <v>188</v>
      </c>
      <c r="F236">
        <v>94</v>
      </c>
      <c r="G236">
        <v>1692</v>
      </c>
      <c r="H236" s="4">
        <v>846</v>
      </c>
      <c r="I236" s="4">
        <v>846</v>
      </c>
      <c r="J236" t="s">
        <v>488</v>
      </c>
      <c r="K236" t="s">
        <v>64</v>
      </c>
      <c r="L236" s="4">
        <v>9.458617986208397</v>
      </c>
      <c r="M236" s="1" t="s">
        <v>38</v>
      </c>
      <c r="N236" s="11">
        <f t="shared" si="3"/>
        <v>5</v>
      </c>
    </row>
    <row r="237" spans="1:14" ht="16" x14ac:dyDescent="0.2">
      <c r="A237" s="3">
        <v>44221.345554713022</v>
      </c>
      <c r="B237" s="1" t="s">
        <v>526</v>
      </c>
      <c r="C237" t="s">
        <v>276</v>
      </c>
      <c r="D237">
        <v>5</v>
      </c>
      <c r="E237">
        <v>57</v>
      </c>
      <c r="F237">
        <v>19</v>
      </c>
      <c r="G237">
        <v>285</v>
      </c>
      <c r="H237" s="4">
        <v>95</v>
      </c>
      <c r="I237" s="4">
        <v>190</v>
      </c>
      <c r="J237" t="s">
        <v>67</v>
      </c>
      <c r="K237" t="s">
        <v>64</v>
      </c>
      <c r="L237" s="4">
        <v>15.602184182549776</v>
      </c>
      <c r="M237" s="1" t="s">
        <v>54</v>
      </c>
      <c r="N237" s="11">
        <f t="shared" si="3"/>
        <v>10</v>
      </c>
    </row>
    <row r="238" spans="1:14" ht="16" x14ac:dyDescent="0.2">
      <c r="A238" s="3">
        <v>44236.737785904646</v>
      </c>
      <c r="B238" s="1" t="s">
        <v>527</v>
      </c>
      <c r="C238" t="s">
        <v>163</v>
      </c>
      <c r="D238">
        <v>15</v>
      </c>
      <c r="E238">
        <v>108</v>
      </c>
      <c r="F238">
        <v>36</v>
      </c>
      <c r="G238">
        <v>1620</v>
      </c>
      <c r="H238" s="4">
        <v>540</v>
      </c>
      <c r="I238" s="4">
        <v>1080</v>
      </c>
      <c r="J238" t="s">
        <v>528</v>
      </c>
      <c r="K238" t="s">
        <v>33</v>
      </c>
      <c r="L238" s="4">
        <v>11.003496633574638</v>
      </c>
      <c r="M238" s="1" t="s">
        <v>54</v>
      </c>
      <c r="N238" s="11">
        <f t="shared" si="3"/>
        <v>10</v>
      </c>
    </row>
    <row r="239" spans="1:14" ht="16" x14ac:dyDescent="0.2">
      <c r="A239" s="3">
        <v>44303.987571247322</v>
      </c>
      <c r="B239" s="1" t="s">
        <v>529</v>
      </c>
      <c r="C239" t="s">
        <v>301</v>
      </c>
      <c r="D239">
        <v>17</v>
      </c>
      <c r="E239">
        <v>188</v>
      </c>
      <c r="F239">
        <v>94</v>
      </c>
      <c r="G239">
        <v>3196</v>
      </c>
      <c r="H239" s="4">
        <v>1598</v>
      </c>
      <c r="I239" s="4">
        <v>1598</v>
      </c>
      <c r="J239" t="s">
        <v>444</v>
      </c>
      <c r="K239" t="s">
        <v>42</v>
      </c>
      <c r="L239" s="4">
        <v>15.861056998489449</v>
      </c>
      <c r="M239" s="1" t="s">
        <v>54</v>
      </c>
      <c r="N239" s="11">
        <f t="shared" si="3"/>
        <v>10</v>
      </c>
    </row>
    <row r="240" spans="1:14" ht="16" x14ac:dyDescent="0.2">
      <c r="A240" s="3">
        <v>43575.40031504447</v>
      </c>
      <c r="B240" s="1" t="s">
        <v>530</v>
      </c>
      <c r="C240" t="s">
        <v>78</v>
      </c>
      <c r="D240">
        <v>16</v>
      </c>
      <c r="E240">
        <v>94</v>
      </c>
      <c r="F240">
        <v>47</v>
      </c>
      <c r="G240">
        <v>1504</v>
      </c>
      <c r="H240" s="4">
        <v>752</v>
      </c>
      <c r="I240" s="4">
        <v>752</v>
      </c>
      <c r="J240" t="s">
        <v>531</v>
      </c>
      <c r="K240" t="s">
        <v>58</v>
      </c>
      <c r="L240" s="4">
        <v>14.064516999204997</v>
      </c>
      <c r="M240" s="1" t="s">
        <v>38</v>
      </c>
      <c r="N240" s="11">
        <f t="shared" si="3"/>
        <v>5</v>
      </c>
    </row>
    <row r="241" spans="1:14" ht="16" x14ac:dyDescent="0.2">
      <c r="A241" s="3">
        <v>43998.568515508974</v>
      </c>
      <c r="B241" s="1" t="s">
        <v>532</v>
      </c>
      <c r="C241" t="s">
        <v>240</v>
      </c>
      <c r="D241">
        <v>17</v>
      </c>
      <c r="E241">
        <v>108</v>
      </c>
      <c r="F241">
        <v>54</v>
      </c>
      <c r="G241">
        <v>1836</v>
      </c>
      <c r="H241" s="4">
        <v>918</v>
      </c>
      <c r="I241" s="4">
        <v>918</v>
      </c>
      <c r="J241" t="s">
        <v>329</v>
      </c>
      <c r="K241" t="s">
        <v>33</v>
      </c>
      <c r="L241" s="4">
        <v>12.545140403858928</v>
      </c>
      <c r="M241" s="1" t="s">
        <v>34</v>
      </c>
      <c r="N241" s="11">
        <f t="shared" si="3"/>
        <v>1</v>
      </c>
    </row>
    <row r="242" spans="1:14" ht="16" x14ac:dyDescent="0.2">
      <c r="A242" s="3">
        <v>44169.214125760649</v>
      </c>
      <c r="B242" s="1" t="s">
        <v>533</v>
      </c>
      <c r="C242" t="s">
        <v>101</v>
      </c>
      <c r="D242">
        <v>4</v>
      </c>
      <c r="E242">
        <v>50</v>
      </c>
      <c r="F242">
        <v>25</v>
      </c>
      <c r="G242">
        <v>200</v>
      </c>
      <c r="H242" s="4">
        <v>100</v>
      </c>
      <c r="I242" s="4">
        <v>100</v>
      </c>
      <c r="J242" t="s">
        <v>186</v>
      </c>
      <c r="K242" t="s">
        <v>58</v>
      </c>
      <c r="L242" s="4">
        <v>11.31221475547909</v>
      </c>
      <c r="M242" s="1" t="s">
        <v>34</v>
      </c>
      <c r="N242" s="11">
        <f t="shared" si="3"/>
        <v>1</v>
      </c>
    </row>
    <row r="243" spans="1:14" ht="16" x14ac:dyDescent="0.2">
      <c r="A243" s="3">
        <v>44732.336820268807</v>
      </c>
      <c r="B243" s="1" t="s">
        <v>534</v>
      </c>
      <c r="C243" t="s">
        <v>81</v>
      </c>
      <c r="D243">
        <v>19</v>
      </c>
      <c r="E243">
        <v>166</v>
      </c>
      <c r="F243">
        <v>83</v>
      </c>
      <c r="G243">
        <v>3154</v>
      </c>
      <c r="H243" s="4">
        <v>1577</v>
      </c>
      <c r="I243" s="4">
        <v>1577</v>
      </c>
      <c r="J243" t="s">
        <v>535</v>
      </c>
      <c r="K243" t="s">
        <v>33</v>
      </c>
      <c r="L243" s="4">
        <v>14.554851510602212</v>
      </c>
      <c r="M243" s="1" t="s">
        <v>54</v>
      </c>
      <c r="N243" s="11">
        <f t="shared" si="3"/>
        <v>10</v>
      </c>
    </row>
    <row r="244" spans="1:14" ht="16" x14ac:dyDescent="0.2">
      <c r="A244" s="3">
        <v>44462.717499070735</v>
      </c>
      <c r="B244" s="1" t="s">
        <v>536</v>
      </c>
      <c r="C244" t="s">
        <v>425</v>
      </c>
      <c r="D244">
        <v>7</v>
      </c>
      <c r="E244">
        <v>352</v>
      </c>
      <c r="F244">
        <v>88</v>
      </c>
      <c r="G244">
        <v>2464</v>
      </c>
      <c r="H244" s="4">
        <v>616</v>
      </c>
      <c r="I244" s="4">
        <v>1848</v>
      </c>
      <c r="J244" t="s">
        <v>223</v>
      </c>
      <c r="K244" t="s">
        <v>64</v>
      </c>
      <c r="L244" s="4">
        <v>14.030594525378042</v>
      </c>
      <c r="M244" s="1" t="s">
        <v>54</v>
      </c>
      <c r="N244" s="11">
        <f t="shared" si="3"/>
        <v>10</v>
      </c>
    </row>
    <row r="245" spans="1:14" ht="16" x14ac:dyDescent="0.2">
      <c r="A245" s="3">
        <v>43850.786472796397</v>
      </c>
      <c r="B245" s="1" t="s">
        <v>537</v>
      </c>
      <c r="C245" t="s">
        <v>538</v>
      </c>
      <c r="D245">
        <v>7</v>
      </c>
      <c r="E245">
        <v>261</v>
      </c>
      <c r="F245">
        <v>87</v>
      </c>
      <c r="G245">
        <v>1827</v>
      </c>
      <c r="H245" s="4">
        <v>609</v>
      </c>
      <c r="I245" s="4">
        <v>1218</v>
      </c>
      <c r="J245" t="s">
        <v>539</v>
      </c>
      <c r="K245" t="s">
        <v>49</v>
      </c>
      <c r="L245" s="4">
        <v>10.954865572729823</v>
      </c>
      <c r="M245" s="1" t="s">
        <v>38</v>
      </c>
      <c r="N245" s="11">
        <f t="shared" si="3"/>
        <v>5</v>
      </c>
    </row>
    <row r="246" spans="1:14" ht="16" x14ac:dyDescent="0.2">
      <c r="A246" s="3">
        <v>43929.712498668574</v>
      </c>
      <c r="B246" s="1" t="s">
        <v>540</v>
      </c>
      <c r="C246" t="s">
        <v>84</v>
      </c>
      <c r="D246">
        <v>1</v>
      </c>
      <c r="E246">
        <v>126</v>
      </c>
      <c r="F246">
        <v>42</v>
      </c>
      <c r="G246">
        <v>126</v>
      </c>
      <c r="H246" s="4">
        <v>42</v>
      </c>
      <c r="I246" s="4">
        <v>84</v>
      </c>
      <c r="J246" t="s">
        <v>149</v>
      </c>
      <c r="K246" t="s">
        <v>58</v>
      </c>
      <c r="L246" s="4">
        <v>8.1085102757869372</v>
      </c>
      <c r="M246" s="1" t="s">
        <v>38</v>
      </c>
      <c r="N246" s="11">
        <f t="shared" si="3"/>
        <v>5</v>
      </c>
    </row>
    <row r="247" spans="1:14" ht="16" x14ac:dyDescent="0.2">
      <c r="A247" s="3">
        <v>43434.134967780352</v>
      </c>
      <c r="B247" s="1" t="s">
        <v>122</v>
      </c>
      <c r="C247" t="s">
        <v>163</v>
      </c>
      <c r="D247">
        <v>11</v>
      </c>
      <c r="E247">
        <v>108</v>
      </c>
      <c r="F247">
        <v>36</v>
      </c>
      <c r="G247">
        <v>1188</v>
      </c>
      <c r="H247" s="4">
        <v>396</v>
      </c>
      <c r="I247" s="4">
        <v>792</v>
      </c>
      <c r="J247" t="s">
        <v>48</v>
      </c>
      <c r="K247" t="s">
        <v>49</v>
      </c>
      <c r="L247" s="4">
        <v>15.24190997853951</v>
      </c>
      <c r="M247" s="1" t="s">
        <v>54</v>
      </c>
      <c r="N247" s="11">
        <f t="shared" si="3"/>
        <v>10</v>
      </c>
    </row>
    <row r="248" spans="1:14" ht="16" x14ac:dyDescent="0.2">
      <c r="A248" s="3">
        <v>44360.754241304159</v>
      </c>
      <c r="B248" s="1" t="s">
        <v>541</v>
      </c>
      <c r="C248" t="s">
        <v>193</v>
      </c>
      <c r="D248">
        <v>5</v>
      </c>
      <c r="E248">
        <v>348</v>
      </c>
      <c r="F248">
        <v>87</v>
      </c>
      <c r="G248">
        <v>1740</v>
      </c>
      <c r="H248" s="4">
        <v>435</v>
      </c>
      <c r="I248" s="4">
        <v>1305</v>
      </c>
      <c r="J248" t="s">
        <v>542</v>
      </c>
      <c r="K248" t="s">
        <v>58</v>
      </c>
      <c r="L248" s="4">
        <v>13.929237493388955</v>
      </c>
      <c r="M248" s="1" t="s">
        <v>38</v>
      </c>
      <c r="N248" s="11">
        <f t="shared" si="3"/>
        <v>5</v>
      </c>
    </row>
    <row r="249" spans="1:14" ht="16" x14ac:dyDescent="0.2">
      <c r="A249" s="3">
        <v>44167.650248455269</v>
      </c>
      <c r="B249" s="1" t="s">
        <v>543</v>
      </c>
      <c r="C249" t="s">
        <v>544</v>
      </c>
      <c r="D249">
        <v>5</v>
      </c>
      <c r="E249">
        <v>267</v>
      </c>
      <c r="F249">
        <v>89</v>
      </c>
      <c r="G249">
        <v>1335</v>
      </c>
      <c r="H249" s="4">
        <v>445</v>
      </c>
      <c r="I249" s="4">
        <v>890</v>
      </c>
      <c r="J249" t="s">
        <v>545</v>
      </c>
      <c r="K249" t="s">
        <v>53</v>
      </c>
      <c r="L249" s="4">
        <v>10.112765954734209</v>
      </c>
      <c r="M249" s="1" t="s">
        <v>38</v>
      </c>
      <c r="N249" s="11">
        <f t="shared" si="3"/>
        <v>5</v>
      </c>
    </row>
    <row r="250" spans="1:14" ht="16" x14ac:dyDescent="0.2">
      <c r="A250" s="3">
        <v>43525.082003265445</v>
      </c>
      <c r="B250" s="1" t="s">
        <v>546</v>
      </c>
      <c r="C250" t="s">
        <v>547</v>
      </c>
      <c r="D250">
        <v>17</v>
      </c>
      <c r="E250">
        <v>300</v>
      </c>
      <c r="F250">
        <v>75</v>
      </c>
      <c r="G250">
        <v>5100</v>
      </c>
      <c r="H250" s="4">
        <v>1275</v>
      </c>
      <c r="I250" s="4">
        <v>3825</v>
      </c>
      <c r="J250" t="s">
        <v>548</v>
      </c>
      <c r="K250" t="s">
        <v>53</v>
      </c>
      <c r="L250" s="4">
        <v>16.695690968264284</v>
      </c>
      <c r="M250" s="1" t="s">
        <v>38</v>
      </c>
      <c r="N250" s="11">
        <f t="shared" si="3"/>
        <v>5</v>
      </c>
    </row>
    <row r="251" spans="1:14" ht="16" x14ac:dyDescent="0.2">
      <c r="A251" s="3">
        <v>43599.633189274973</v>
      </c>
      <c r="B251" s="1" t="s">
        <v>549</v>
      </c>
      <c r="C251" t="s">
        <v>212</v>
      </c>
      <c r="D251">
        <v>3</v>
      </c>
      <c r="E251">
        <v>300</v>
      </c>
      <c r="F251">
        <v>75</v>
      </c>
      <c r="G251">
        <v>900</v>
      </c>
      <c r="H251" s="4">
        <v>225</v>
      </c>
      <c r="I251" s="4">
        <v>675</v>
      </c>
      <c r="J251" t="s">
        <v>521</v>
      </c>
      <c r="K251" t="s">
        <v>58</v>
      </c>
      <c r="L251" s="4">
        <v>8.8514729234790472</v>
      </c>
      <c r="M251" s="1" t="s">
        <v>34</v>
      </c>
      <c r="N251" s="11">
        <f t="shared" si="3"/>
        <v>1</v>
      </c>
    </row>
    <row r="252" spans="1:14" ht="16" x14ac:dyDescent="0.2">
      <c r="A252" s="3">
        <v>44271.717026120961</v>
      </c>
      <c r="B252" s="1" t="s">
        <v>550</v>
      </c>
      <c r="C252" t="s">
        <v>88</v>
      </c>
      <c r="D252">
        <v>16</v>
      </c>
      <c r="E252">
        <v>210</v>
      </c>
      <c r="F252">
        <v>70</v>
      </c>
      <c r="G252">
        <v>3360</v>
      </c>
      <c r="H252" s="4">
        <v>1120</v>
      </c>
      <c r="I252" s="4">
        <v>2240</v>
      </c>
      <c r="J252" t="s">
        <v>401</v>
      </c>
      <c r="K252" t="s">
        <v>58</v>
      </c>
      <c r="L252" s="4">
        <v>11.394777319422785</v>
      </c>
      <c r="M252" s="1" t="s">
        <v>54</v>
      </c>
      <c r="N252" s="11">
        <f t="shared" si="3"/>
        <v>10</v>
      </c>
    </row>
    <row r="253" spans="1:14" ht="16" x14ac:dyDescent="0.2">
      <c r="A253" s="3">
        <v>43908.331128152218</v>
      </c>
      <c r="B253" s="1" t="s">
        <v>551</v>
      </c>
      <c r="C253" t="s">
        <v>204</v>
      </c>
      <c r="D253">
        <v>8</v>
      </c>
      <c r="E253">
        <v>57</v>
      </c>
      <c r="F253">
        <v>19</v>
      </c>
      <c r="G253">
        <v>456</v>
      </c>
      <c r="H253" s="4">
        <v>152</v>
      </c>
      <c r="I253" s="4">
        <v>304</v>
      </c>
      <c r="J253" t="s">
        <v>552</v>
      </c>
      <c r="K253" t="s">
        <v>53</v>
      </c>
      <c r="L253" s="4">
        <v>9.74650548941427</v>
      </c>
      <c r="M253" s="1" t="s">
        <v>54</v>
      </c>
      <c r="N253" s="11">
        <f t="shared" si="3"/>
        <v>10</v>
      </c>
    </row>
    <row r="254" spans="1:14" ht="16" x14ac:dyDescent="0.2">
      <c r="A254" s="3">
        <v>44050.384769851968</v>
      </c>
      <c r="B254" s="1" t="s">
        <v>553</v>
      </c>
      <c r="C254" t="s">
        <v>304</v>
      </c>
      <c r="D254">
        <v>9</v>
      </c>
      <c r="E254">
        <v>116</v>
      </c>
      <c r="F254">
        <v>29</v>
      </c>
      <c r="G254">
        <v>1044</v>
      </c>
      <c r="H254" s="4">
        <v>261</v>
      </c>
      <c r="I254" s="4">
        <v>783</v>
      </c>
      <c r="J254" t="s">
        <v>191</v>
      </c>
      <c r="K254" t="s">
        <v>42</v>
      </c>
      <c r="L254" s="4">
        <v>10.523527521613014</v>
      </c>
      <c r="M254" s="1" t="s">
        <v>38</v>
      </c>
      <c r="N254" s="11">
        <f t="shared" si="3"/>
        <v>5</v>
      </c>
    </row>
    <row r="255" spans="1:14" ht="16" x14ac:dyDescent="0.2">
      <c r="A255" s="3">
        <v>44354.265891496259</v>
      </c>
      <c r="B255" s="1" t="s">
        <v>554</v>
      </c>
      <c r="C255" t="s">
        <v>72</v>
      </c>
      <c r="D255">
        <v>9</v>
      </c>
      <c r="E255">
        <v>352</v>
      </c>
      <c r="F255">
        <v>88</v>
      </c>
      <c r="G255">
        <v>3168</v>
      </c>
      <c r="H255" s="4">
        <v>792</v>
      </c>
      <c r="I255" s="4">
        <v>2376</v>
      </c>
      <c r="J255" t="s">
        <v>555</v>
      </c>
      <c r="K255" t="s">
        <v>53</v>
      </c>
      <c r="L255" s="4">
        <v>14.341195386574373</v>
      </c>
      <c r="M255" s="1" t="s">
        <v>54</v>
      </c>
      <c r="N255" s="11">
        <f t="shared" si="3"/>
        <v>10</v>
      </c>
    </row>
    <row r="256" spans="1:14" ht="16" x14ac:dyDescent="0.2">
      <c r="A256" s="3">
        <v>44564.904027154102</v>
      </c>
      <c r="B256" s="1" t="s">
        <v>556</v>
      </c>
      <c r="C256" t="s">
        <v>299</v>
      </c>
      <c r="D256">
        <v>1</v>
      </c>
      <c r="E256">
        <v>225</v>
      </c>
      <c r="F256">
        <v>75</v>
      </c>
      <c r="G256">
        <v>225</v>
      </c>
      <c r="H256" s="4">
        <v>75</v>
      </c>
      <c r="I256" s="4">
        <v>150</v>
      </c>
      <c r="J256" t="s">
        <v>557</v>
      </c>
      <c r="K256" t="s">
        <v>64</v>
      </c>
      <c r="L256" s="4">
        <v>10.037135914792184</v>
      </c>
      <c r="M256" s="1" t="s">
        <v>34</v>
      </c>
      <c r="N256" s="11">
        <f t="shared" si="3"/>
        <v>1</v>
      </c>
    </row>
    <row r="257" spans="1:14" ht="16" x14ac:dyDescent="0.2">
      <c r="A257" s="3">
        <v>43916.758234736888</v>
      </c>
      <c r="B257" s="1" t="s">
        <v>558</v>
      </c>
      <c r="C257" t="s">
        <v>120</v>
      </c>
      <c r="D257">
        <v>4</v>
      </c>
      <c r="E257">
        <v>252</v>
      </c>
      <c r="F257">
        <v>63</v>
      </c>
      <c r="G257">
        <v>1008</v>
      </c>
      <c r="H257" s="4">
        <v>252</v>
      </c>
      <c r="I257" s="4">
        <v>756</v>
      </c>
      <c r="J257" t="s">
        <v>488</v>
      </c>
      <c r="K257" t="s">
        <v>64</v>
      </c>
      <c r="L257" s="4">
        <v>9.458617986208397</v>
      </c>
      <c r="M257" s="1" t="s">
        <v>38</v>
      </c>
      <c r="N257" s="11">
        <f t="shared" si="3"/>
        <v>5</v>
      </c>
    </row>
    <row r="258" spans="1:14" ht="16" x14ac:dyDescent="0.2">
      <c r="A258" s="3">
        <v>44263.870383009882</v>
      </c>
      <c r="B258" s="1" t="s">
        <v>559</v>
      </c>
      <c r="C258" t="s">
        <v>78</v>
      </c>
      <c r="D258">
        <v>14</v>
      </c>
      <c r="E258">
        <v>94</v>
      </c>
      <c r="F258">
        <v>47</v>
      </c>
      <c r="G258">
        <v>1316</v>
      </c>
      <c r="H258" s="4">
        <v>658</v>
      </c>
      <c r="I258" s="4">
        <v>658</v>
      </c>
      <c r="J258" t="s">
        <v>152</v>
      </c>
      <c r="K258" t="s">
        <v>33</v>
      </c>
      <c r="L258" s="4">
        <v>11.749038185128619</v>
      </c>
      <c r="M258" s="1" t="s">
        <v>38</v>
      </c>
      <c r="N258" s="11">
        <f t="shared" si="3"/>
        <v>5</v>
      </c>
    </row>
    <row r="259" spans="1:14" ht="16" x14ac:dyDescent="0.2">
      <c r="A259" s="3">
        <v>43163.303204034215</v>
      </c>
      <c r="B259" s="1" t="s">
        <v>560</v>
      </c>
      <c r="C259" t="s">
        <v>561</v>
      </c>
      <c r="D259">
        <v>3</v>
      </c>
      <c r="E259">
        <v>384</v>
      </c>
      <c r="F259">
        <v>96</v>
      </c>
      <c r="G259">
        <v>1152</v>
      </c>
      <c r="H259" s="4">
        <v>288</v>
      </c>
      <c r="I259" s="4">
        <v>864</v>
      </c>
      <c r="J259" t="s">
        <v>562</v>
      </c>
      <c r="K259" t="s">
        <v>49</v>
      </c>
      <c r="L259" s="4">
        <v>11.808681852148307</v>
      </c>
      <c r="M259" s="1" t="s">
        <v>38</v>
      </c>
      <c r="N259" s="11">
        <f t="shared" ref="N259:N322" si="4">+IF(M259="Dissatisfied",1,IF(M259="Satisfied",10,5))</f>
        <v>5</v>
      </c>
    </row>
    <row r="260" spans="1:14" ht="16" x14ac:dyDescent="0.2">
      <c r="A260" s="3">
        <v>43110.633888274846</v>
      </c>
      <c r="B260" s="1" t="s">
        <v>563</v>
      </c>
      <c r="C260" t="s">
        <v>544</v>
      </c>
      <c r="D260">
        <v>9</v>
      </c>
      <c r="E260">
        <v>267</v>
      </c>
      <c r="F260">
        <v>89</v>
      </c>
      <c r="G260">
        <v>2403</v>
      </c>
      <c r="H260" s="4">
        <v>801</v>
      </c>
      <c r="I260" s="4">
        <v>1602</v>
      </c>
      <c r="J260" t="s">
        <v>564</v>
      </c>
      <c r="K260" t="s">
        <v>53</v>
      </c>
      <c r="L260" s="4">
        <v>11.563724686003232</v>
      </c>
      <c r="M260" s="1" t="s">
        <v>54</v>
      </c>
      <c r="N260" s="11">
        <f t="shared" si="4"/>
        <v>10</v>
      </c>
    </row>
    <row r="261" spans="1:14" ht="16" x14ac:dyDescent="0.2">
      <c r="A261" s="3">
        <v>43693.162652798252</v>
      </c>
      <c r="B261" s="1" t="s">
        <v>565</v>
      </c>
      <c r="C261" t="s">
        <v>98</v>
      </c>
      <c r="D261">
        <v>20</v>
      </c>
      <c r="E261">
        <v>156</v>
      </c>
      <c r="F261">
        <v>78</v>
      </c>
      <c r="G261">
        <v>3120</v>
      </c>
      <c r="H261" s="4">
        <v>1560</v>
      </c>
      <c r="I261" s="4">
        <v>1560</v>
      </c>
      <c r="J261" t="s">
        <v>474</v>
      </c>
      <c r="K261" t="s">
        <v>33</v>
      </c>
      <c r="L261" s="4">
        <v>9.629298039722805</v>
      </c>
      <c r="M261" s="1" t="s">
        <v>38</v>
      </c>
      <c r="N261" s="11">
        <f t="shared" si="4"/>
        <v>5</v>
      </c>
    </row>
    <row r="262" spans="1:14" ht="16" x14ac:dyDescent="0.2">
      <c r="A262" s="3">
        <v>44641.862372907235</v>
      </c>
      <c r="B262" s="1" t="s">
        <v>566</v>
      </c>
      <c r="C262" t="s">
        <v>259</v>
      </c>
      <c r="D262">
        <v>15</v>
      </c>
      <c r="E262">
        <v>270</v>
      </c>
      <c r="F262">
        <v>90</v>
      </c>
      <c r="G262">
        <v>4050</v>
      </c>
      <c r="H262" s="4">
        <v>1350</v>
      </c>
      <c r="I262" s="4">
        <v>2700</v>
      </c>
      <c r="J262" t="s">
        <v>567</v>
      </c>
      <c r="K262" t="s">
        <v>49</v>
      </c>
      <c r="L262" s="4">
        <v>12.147202500273634</v>
      </c>
      <c r="M262" s="1" t="s">
        <v>34</v>
      </c>
      <c r="N262" s="11">
        <f t="shared" si="4"/>
        <v>1</v>
      </c>
    </row>
    <row r="263" spans="1:14" ht="16" x14ac:dyDescent="0.2">
      <c r="A263" s="3">
        <v>43922.835680958953</v>
      </c>
      <c r="B263" s="1" t="s">
        <v>568</v>
      </c>
      <c r="C263" t="s">
        <v>215</v>
      </c>
      <c r="D263">
        <v>10</v>
      </c>
      <c r="E263">
        <v>176</v>
      </c>
      <c r="F263">
        <v>88</v>
      </c>
      <c r="G263">
        <v>1760</v>
      </c>
      <c r="H263" s="4">
        <v>880</v>
      </c>
      <c r="I263" s="4">
        <v>880</v>
      </c>
      <c r="J263" t="s">
        <v>569</v>
      </c>
      <c r="K263" t="s">
        <v>33</v>
      </c>
      <c r="L263" s="4">
        <v>12.921682080641304</v>
      </c>
      <c r="M263" s="1" t="s">
        <v>34</v>
      </c>
      <c r="N263" s="11">
        <f t="shared" si="4"/>
        <v>1</v>
      </c>
    </row>
    <row r="264" spans="1:14" ht="16" x14ac:dyDescent="0.2">
      <c r="A264" s="3">
        <v>43845.598197875646</v>
      </c>
      <c r="B264" s="1" t="s">
        <v>570</v>
      </c>
      <c r="C264" t="s">
        <v>110</v>
      </c>
      <c r="D264">
        <v>12</v>
      </c>
      <c r="E264">
        <v>144</v>
      </c>
      <c r="F264">
        <v>36</v>
      </c>
      <c r="G264">
        <v>1728</v>
      </c>
      <c r="H264" s="4">
        <v>432</v>
      </c>
      <c r="I264" s="4">
        <v>1296</v>
      </c>
      <c r="J264" t="s">
        <v>279</v>
      </c>
      <c r="K264" t="s">
        <v>64</v>
      </c>
      <c r="L264" s="4">
        <v>11.504886852416154</v>
      </c>
      <c r="M264" s="1" t="s">
        <v>38</v>
      </c>
      <c r="N264" s="11">
        <f t="shared" si="4"/>
        <v>5</v>
      </c>
    </row>
    <row r="265" spans="1:14" ht="16" x14ac:dyDescent="0.2">
      <c r="A265" s="3">
        <v>43153.441646490966</v>
      </c>
      <c r="B265" s="1" t="s">
        <v>571</v>
      </c>
      <c r="C265" t="s">
        <v>259</v>
      </c>
      <c r="D265">
        <v>2</v>
      </c>
      <c r="E265">
        <v>270</v>
      </c>
      <c r="F265">
        <v>90</v>
      </c>
      <c r="G265">
        <v>540</v>
      </c>
      <c r="H265" s="4">
        <v>180</v>
      </c>
      <c r="I265" s="4">
        <v>360</v>
      </c>
      <c r="J265" t="s">
        <v>462</v>
      </c>
      <c r="K265" t="s">
        <v>86</v>
      </c>
      <c r="L265" s="4">
        <v>12.732640267350657</v>
      </c>
      <c r="M265" s="1" t="s">
        <v>38</v>
      </c>
      <c r="N265" s="11">
        <f t="shared" si="4"/>
        <v>5</v>
      </c>
    </row>
    <row r="266" spans="1:14" ht="16" x14ac:dyDescent="0.2">
      <c r="A266" s="3">
        <v>43478.377007825962</v>
      </c>
      <c r="B266" s="1" t="s">
        <v>572</v>
      </c>
      <c r="C266" t="s">
        <v>51</v>
      </c>
      <c r="D266">
        <v>4</v>
      </c>
      <c r="E266">
        <v>160</v>
      </c>
      <c r="F266">
        <v>80</v>
      </c>
      <c r="G266">
        <v>640</v>
      </c>
      <c r="H266" s="4">
        <v>320</v>
      </c>
      <c r="I266" s="4">
        <v>320</v>
      </c>
      <c r="J266" t="s">
        <v>488</v>
      </c>
      <c r="K266" t="s">
        <v>64</v>
      </c>
      <c r="L266" s="4">
        <v>9.458617986208397</v>
      </c>
      <c r="M266" s="1" t="s">
        <v>34</v>
      </c>
      <c r="N266" s="11">
        <f t="shared" si="4"/>
        <v>1</v>
      </c>
    </row>
    <row r="267" spans="1:14" ht="16" x14ac:dyDescent="0.2">
      <c r="A267" s="3">
        <v>43137.869623839397</v>
      </c>
      <c r="B267" s="1" t="s">
        <v>573</v>
      </c>
      <c r="C267" t="s">
        <v>538</v>
      </c>
      <c r="D267">
        <v>3</v>
      </c>
      <c r="E267">
        <v>261</v>
      </c>
      <c r="F267">
        <v>87</v>
      </c>
      <c r="G267">
        <v>783</v>
      </c>
      <c r="H267" s="4">
        <v>261</v>
      </c>
      <c r="I267" s="4">
        <v>522</v>
      </c>
      <c r="J267" t="s">
        <v>574</v>
      </c>
      <c r="K267" t="s">
        <v>58</v>
      </c>
      <c r="L267" s="4">
        <v>13.150536103258979</v>
      </c>
      <c r="M267" s="1" t="s">
        <v>38</v>
      </c>
      <c r="N267" s="11">
        <f t="shared" si="4"/>
        <v>5</v>
      </c>
    </row>
    <row r="268" spans="1:14" ht="16" x14ac:dyDescent="0.2">
      <c r="A268" s="3">
        <v>44359.420004632761</v>
      </c>
      <c r="B268" s="1" t="s">
        <v>575</v>
      </c>
      <c r="C268" t="s">
        <v>148</v>
      </c>
      <c r="D268">
        <v>6</v>
      </c>
      <c r="E268">
        <v>144</v>
      </c>
      <c r="F268">
        <v>36</v>
      </c>
      <c r="G268">
        <v>864</v>
      </c>
      <c r="H268" s="4">
        <v>216</v>
      </c>
      <c r="I268" s="4">
        <v>648</v>
      </c>
      <c r="J268" t="s">
        <v>576</v>
      </c>
      <c r="K268" t="s">
        <v>33</v>
      </c>
      <c r="L268" s="4">
        <v>11.769937929618399</v>
      </c>
      <c r="M268" s="1" t="s">
        <v>38</v>
      </c>
      <c r="N268" s="11">
        <f t="shared" si="4"/>
        <v>5</v>
      </c>
    </row>
    <row r="269" spans="1:14" ht="16" x14ac:dyDescent="0.2">
      <c r="A269" s="3">
        <v>43376.757634855079</v>
      </c>
      <c r="B269" s="1" t="s">
        <v>577</v>
      </c>
      <c r="C269" t="s">
        <v>175</v>
      </c>
      <c r="D269">
        <v>12</v>
      </c>
      <c r="E269">
        <v>38</v>
      </c>
      <c r="F269">
        <v>19</v>
      </c>
      <c r="G269">
        <v>456</v>
      </c>
      <c r="H269" s="4">
        <v>228</v>
      </c>
      <c r="I269" s="4">
        <v>228</v>
      </c>
      <c r="J269" t="s">
        <v>52</v>
      </c>
      <c r="K269" t="s">
        <v>53</v>
      </c>
      <c r="L269" s="4">
        <v>12.169266722245851</v>
      </c>
      <c r="M269" s="1" t="s">
        <v>38</v>
      </c>
      <c r="N269" s="11">
        <f t="shared" si="4"/>
        <v>5</v>
      </c>
    </row>
    <row r="270" spans="1:14" ht="16" x14ac:dyDescent="0.2">
      <c r="A270" s="3">
        <v>43864.192116349055</v>
      </c>
      <c r="B270" s="1" t="s">
        <v>578</v>
      </c>
      <c r="C270" t="s">
        <v>212</v>
      </c>
      <c r="D270">
        <v>16</v>
      </c>
      <c r="E270">
        <v>300</v>
      </c>
      <c r="F270">
        <v>75</v>
      </c>
      <c r="G270">
        <v>4800</v>
      </c>
      <c r="H270" s="4">
        <v>1200</v>
      </c>
      <c r="I270" s="4">
        <v>3600</v>
      </c>
      <c r="J270" t="s">
        <v>307</v>
      </c>
      <c r="K270" t="s">
        <v>53</v>
      </c>
      <c r="L270" s="4">
        <v>7.0114620475168028</v>
      </c>
      <c r="M270" s="1" t="s">
        <v>38</v>
      </c>
      <c r="N270" s="11">
        <f t="shared" si="4"/>
        <v>5</v>
      </c>
    </row>
    <row r="271" spans="1:14" ht="16" x14ac:dyDescent="0.2">
      <c r="A271" s="3">
        <v>42673.97085443425</v>
      </c>
      <c r="B271" s="1" t="s">
        <v>579</v>
      </c>
      <c r="C271" t="s">
        <v>243</v>
      </c>
      <c r="D271">
        <v>2</v>
      </c>
      <c r="E271">
        <v>90</v>
      </c>
      <c r="F271">
        <v>45</v>
      </c>
      <c r="G271">
        <v>180</v>
      </c>
      <c r="H271" s="4">
        <v>90</v>
      </c>
      <c r="I271" s="4">
        <v>90</v>
      </c>
      <c r="J271" t="s">
        <v>580</v>
      </c>
      <c r="K271" t="s">
        <v>58</v>
      </c>
      <c r="L271" s="4">
        <v>14.66147716237918</v>
      </c>
      <c r="M271" s="1" t="s">
        <v>54</v>
      </c>
      <c r="N271" s="11">
        <f t="shared" si="4"/>
        <v>10</v>
      </c>
    </row>
    <row r="272" spans="1:14" ht="16" x14ac:dyDescent="0.2">
      <c r="A272" s="3">
        <v>43748.326112875191</v>
      </c>
      <c r="B272" s="1" t="s">
        <v>581</v>
      </c>
      <c r="C272" t="s">
        <v>145</v>
      </c>
      <c r="D272">
        <v>15</v>
      </c>
      <c r="E272">
        <v>207</v>
      </c>
      <c r="F272">
        <v>69</v>
      </c>
      <c r="G272">
        <v>3105</v>
      </c>
      <c r="H272" s="4">
        <v>1035</v>
      </c>
      <c r="I272" s="4">
        <v>2070</v>
      </c>
      <c r="J272" t="s">
        <v>482</v>
      </c>
      <c r="K272" t="s">
        <v>42</v>
      </c>
      <c r="L272" s="4">
        <v>11.311040680082275</v>
      </c>
      <c r="M272" s="1" t="s">
        <v>34</v>
      </c>
      <c r="N272" s="11">
        <f t="shared" si="4"/>
        <v>1</v>
      </c>
    </row>
    <row r="273" spans="1:14" ht="16" x14ac:dyDescent="0.2">
      <c r="A273" s="3">
        <v>43553.056019873613</v>
      </c>
      <c r="B273" s="1" t="s">
        <v>582</v>
      </c>
      <c r="C273" t="s">
        <v>583</v>
      </c>
      <c r="D273">
        <v>8</v>
      </c>
      <c r="E273">
        <v>57</v>
      </c>
      <c r="F273">
        <v>19</v>
      </c>
      <c r="G273">
        <v>456</v>
      </c>
      <c r="H273" s="4">
        <v>152</v>
      </c>
      <c r="I273" s="4">
        <v>304</v>
      </c>
      <c r="J273" t="s">
        <v>545</v>
      </c>
      <c r="K273" t="s">
        <v>53</v>
      </c>
      <c r="L273" s="4">
        <v>10.112765954734209</v>
      </c>
      <c r="M273" s="1" t="s">
        <v>38</v>
      </c>
      <c r="N273" s="11">
        <f t="shared" si="4"/>
        <v>5</v>
      </c>
    </row>
    <row r="274" spans="1:14" ht="16" x14ac:dyDescent="0.2">
      <c r="A274" s="3">
        <v>44097.746636253672</v>
      </c>
      <c r="B274" s="1" t="s">
        <v>584</v>
      </c>
      <c r="C274" t="s">
        <v>40</v>
      </c>
      <c r="D274">
        <v>15</v>
      </c>
      <c r="E274">
        <v>46</v>
      </c>
      <c r="F274">
        <v>23</v>
      </c>
      <c r="G274">
        <v>690</v>
      </c>
      <c r="H274" s="4">
        <v>345</v>
      </c>
      <c r="I274" s="4">
        <v>345</v>
      </c>
      <c r="J274" t="s">
        <v>576</v>
      </c>
      <c r="K274" t="s">
        <v>33</v>
      </c>
      <c r="L274" s="4">
        <v>11.769937929618399</v>
      </c>
      <c r="M274" s="1" t="s">
        <v>34</v>
      </c>
      <c r="N274" s="11">
        <f t="shared" si="4"/>
        <v>1</v>
      </c>
    </row>
    <row r="275" spans="1:14" ht="16" x14ac:dyDescent="0.2">
      <c r="A275" s="3">
        <v>44209.509179732268</v>
      </c>
      <c r="B275" s="1" t="s">
        <v>585</v>
      </c>
      <c r="C275" t="s">
        <v>299</v>
      </c>
      <c r="D275">
        <v>20</v>
      </c>
      <c r="E275">
        <v>225</v>
      </c>
      <c r="F275">
        <v>75</v>
      </c>
      <c r="G275">
        <v>4500</v>
      </c>
      <c r="H275" s="4">
        <v>1500</v>
      </c>
      <c r="I275" s="4">
        <v>3000</v>
      </c>
      <c r="J275" t="s">
        <v>567</v>
      </c>
      <c r="K275" t="s">
        <v>49</v>
      </c>
      <c r="L275" s="4">
        <v>12.147202500273634</v>
      </c>
      <c r="M275" s="1" t="s">
        <v>54</v>
      </c>
      <c r="N275" s="11">
        <f t="shared" si="4"/>
        <v>10</v>
      </c>
    </row>
    <row r="276" spans="1:14" ht="16" x14ac:dyDescent="0.2">
      <c r="A276" s="3">
        <v>43293.313784745551</v>
      </c>
      <c r="B276" s="1" t="s">
        <v>586</v>
      </c>
      <c r="C276" t="s">
        <v>130</v>
      </c>
      <c r="D276">
        <v>13</v>
      </c>
      <c r="E276">
        <v>144</v>
      </c>
      <c r="F276">
        <v>48</v>
      </c>
      <c r="G276">
        <v>1872</v>
      </c>
      <c r="H276" s="4">
        <v>624</v>
      </c>
      <c r="I276" s="4">
        <v>1248</v>
      </c>
      <c r="J276" t="s">
        <v>587</v>
      </c>
      <c r="K276" t="s">
        <v>49</v>
      </c>
      <c r="L276" s="4">
        <v>14.760829371220243</v>
      </c>
      <c r="M276" s="1" t="s">
        <v>54</v>
      </c>
      <c r="N276" s="11">
        <f t="shared" si="4"/>
        <v>10</v>
      </c>
    </row>
    <row r="277" spans="1:14" ht="16" x14ac:dyDescent="0.2">
      <c r="A277" s="3">
        <v>43744.807883575144</v>
      </c>
      <c r="B277" s="1" t="s">
        <v>588</v>
      </c>
      <c r="C277" t="s">
        <v>261</v>
      </c>
      <c r="D277">
        <v>12</v>
      </c>
      <c r="E277">
        <v>92</v>
      </c>
      <c r="F277">
        <v>46</v>
      </c>
      <c r="G277">
        <v>1104</v>
      </c>
      <c r="H277" s="4">
        <v>552</v>
      </c>
      <c r="I277" s="4">
        <v>552</v>
      </c>
      <c r="J277" t="s">
        <v>589</v>
      </c>
      <c r="K277" t="s">
        <v>58</v>
      </c>
      <c r="L277" s="4">
        <v>12.207242573430314</v>
      </c>
      <c r="M277" s="1" t="s">
        <v>34</v>
      </c>
      <c r="N277" s="11">
        <f t="shared" si="4"/>
        <v>1</v>
      </c>
    </row>
    <row r="278" spans="1:14" ht="16" x14ac:dyDescent="0.2">
      <c r="A278" s="3">
        <v>44266.840973520797</v>
      </c>
      <c r="B278" s="1" t="s">
        <v>590</v>
      </c>
      <c r="C278" t="s">
        <v>266</v>
      </c>
      <c r="D278">
        <v>2</v>
      </c>
      <c r="E278">
        <v>50</v>
      </c>
      <c r="F278">
        <v>25</v>
      </c>
      <c r="G278">
        <v>100</v>
      </c>
      <c r="H278" s="4">
        <v>50</v>
      </c>
      <c r="I278" s="4">
        <v>50</v>
      </c>
      <c r="J278" t="s">
        <v>378</v>
      </c>
      <c r="K278" t="s">
        <v>53</v>
      </c>
      <c r="L278" s="4">
        <v>14.423322704129969</v>
      </c>
      <c r="M278" s="1" t="s">
        <v>54</v>
      </c>
      <c r="N278" s="11">
        <f t="shared" si="4"/>
        <v>10</v>
      </c>
    </row>
    <row r="279" spans="1:14" ht="16" x14ac:dyDescent="0.2">
      <c r="A279" s="3">
        <v>44269.950566025131</v>
      </c>
      <c r="B279" s="1" t="s">
        <v>591</v>
      </c>
      <c r="C279" t="s">
        <v>592</v>
      </c>
      <c r="D279">
        <v>1</v>
      </c>
      <c r="E279">
        <v>312</v>
      </c>
      <c r="F279">
        <v>78</v>
      </c>
      <c r="G279">
        <v>312</v>
      </c>
      <c r="H279" s="4">
        <v>78</v>
      </c>
      <c r="I279" s="4">
        <v>234</v>
      </c>
      <c r="J279" t="s">
        <v>307</v>
      </c>
      <c r="K279" t="s">
        <v>53</v>
      </c>
      <c r="L279" s="4">
        <v>7.0114620475168028</v>
      </c>
      <c r="M279" s="1" t="s">
        <v>54</v>
      </c>
      <c r="N279" s="11">
        <f t="shared" si="4"/>
        <v>10</v>
      </c>
    </row>
    <row r="280" spans="1:14" ht="16" x14ac:dyDescent="0.2">
      <c r="A280" s="3">
        <v>44739.588607272271</v>
      </c>
      <c r="B280" s="1" t="s">
        <v>593</v>
      </c>
      <c r="C280" t="s">
        <v>420</v>
      </c>
      <c r="D280">
        <v>1</v>
      </c>
      <c r="E280">
        <v>162</v>
      </c>
      <c r="F280">
        <v>54</v>
      </c>
      <c r="G280">
        <v>162</v>
      </c>
      <c r="H280" s="4">
        <v>54</v>
      </c>
      <c r="I280" s="4">
        <v>108</v>
      </c>
      <c r="J280" t="s">
        <v>262</v>
      </c>
      <c r="K280" t="s">
        <v>86</v>
      </c>
      <c r="L280" s="4">
        <v>12.796588406005421</v>
      </c>
      <c r="M280" s="1" t="s">
        <v>38</v>
      </c>
      <c r="N280" s="11">
        <f t="shared" si="4"/>
        <v>5</v>
      </c>
    </row>
    <row r="281" spans="1:14" ht="16" x14ac:dyDescent="0.2">
      <c r="A281" s="3">
        <v>44108.82092339715</v>
      </c>
      <c r="B281" s="1" t="s">
        <v>594</v>
      </c>
      <c r="C281" t="s">
        <v>148</v>
      </c>
      <c r="D281">
        <v>18</v>
      </c>
      <c r="E281">
        <v>144</v>
      </c>
      <c r="F281">
        <v>36</v>
      </c>
      <c r="G281">
        <v>2592</v>
      </c>
      <c r="H281" s="4">
        <v>648</v>
      </c>
      <c r="I281" s="4">
        <v>1944</v>
      </c>
      <c r="J281" t="s">
        <v>595</v>
      </c>
      <c r="K281" t="s">
        <v>86</v>
      </c>
      <c r="L281" s="4">
        <v>12.045339240427111</v>
      </c>
      <c r="M281" s="1" t="s">
        <v>38</v>
      </c>
      <c r="N281" s="11">
        <f t="shared" si="4"/>
        <v>5</v>
      </c>
    </row>
    <row r="282" spans="1:14" ht="16" x14ac:dyDescent="0.2">
      <c r="A282" s="3">
        <v>43558.488051942673</v>
      </c>
      <c r="B282" s="1" t="s">
        <v>596</v>
      </c>
      <c r="C282" t="s">
        <v>78</v>
      </c>
      <c r="D282">
        <v>15</v>
      </c>
      <c r="E282">
        <v>94</v>
      </c>
      <c r="F282">
        <v>47</v>
      </c>
      <c r="G282">
        <v>1410</v>
      </c>
      <c r="H282" s="4">
        <v>705</v>
      </c>
      <c r="I282" s="4">
        <v>705</v>
      </c>
      <c r="J282" t="s">
        <v>438</v>
      </c>
      <c r="K282" t="s">
        <v>64</v>
      </c>
      <c r="L282" s="4">
        <v>12.532428411174646</v>
      </c>
      <c r="M282" s="1" t="s">
        <v>38</v>
      </c>
      <c r="N282" s="11">
        <f t="shared" si="4"/>
        <v>5</v>
      </c>
    </row>
    <row r="283" spans="1:14" ht="16" x14ac:dyDescent="0.2">
      <c r="A283" s="3">
        <v>44554.329884938052</v>
      </c>
      <c r="B283" s="1" t="s">
        <v>597</v>
      </c>
      <c r="C283" t="s">
        <v>178</v>
      </c>
      <c r="D283">
        <v>8</v>
      </c>
      <c r="E283">
        <v>189</v>
      </c>
      <c r="F283">
        <v>63</v>
      </c>
      <c r="G283">
        <v>1512</v>
      </c>
      <c r="H283" s="4">
        <v>504</v>
      </c>
      <c r="I283" s="4">
        <v>1008</v>
      </c>
      <c r="J283" t="s">
        <v>94</v>
      </c>
      <c r="K283" t="s">
        <v>49</v>
      </c>
      <c r="L283" s="4">
        <v>9.8238489437106278</v>
      </c>
      <c r="M283" s="1" t="s">
        <v>38</v>
      </c>
      <c r="N283" s="11">
        <f t="shared" si="4"/>
        <v>5</v>
      </c>
    </row>
    <row r="284" spans="1:14" ht="16" x14ac:dyDescent="0.2">
      <c r="A284" s="3">
        <v>44314.862737404437</v>
      </c>
      <c r="B284" s="1" t="s">
        <v>598</v>
      </c>
      <c r="C284" t="s">
        <v>391</v>
      </c>
      <c r="D284">
        <v>2</v>
      </c>
      <c r="E284">
        <v>72</v>
      </c>
      <c r="F284">
        <v>36</v>
      </c>
      <c r="G284">
        <v>144</v>
      </c>
      <c r="H284" s="4">
        <v>72</v>
      </c>
      <c r="I284" s="4">
        <v>72</v>
      </c>
      <c r="J284" t="s">
        <v>277</v>
      </c>
      <c r="K284" t="s">
        <v>58</v>
      </c>
      <c r="L284" s="4">
        <v>11.883396013219548</v>
      </c>
      <c r="M284" s="1" t="s">
        <v>38</v>
      </c>
      <c r="N284" s="11">
        <f t="shared" si="4"/>
        <v>5</v>
      </c>
    </row>
    <row r="285" spans="1:14" ht="16" x14ac:dyDescent="0.2">
      <c r="A285" s="3">
        <v>44395.677037964895</v>
      </c>
      <c r="B285" s="1" t="s">
        <v>599</v>
      </c>
      <c r="C285" t="s">
        <v>356</v>
      </c>
      <c r="D285">
        <v>16</v>
      </c>
      <c r="E285">
        <v>356</v>
      </c>
      <c r="F285">
        <v>89</v>
      </c>
      <c r="G285">
        <v>5696</v>
      </c>
      <c r="H285" s="4">
        <v>1424</v>
      </c>
      <c r="I285" s="4">
        <v>4272</v>
      </c>
      <c r="J285" t="s">
        <v>167</v>
      </c>
      <c r="K285" t="s">
        <v>86</v>
      </c>
      <c r="L285" s="4">
        <v>10.216282609482219</v>
      </c>
      <c r="M285" s="1" t="s">
        <v>38</v>
      </c>
      <c r="N285" s="11">
        <f t="shared" si="4"/>
        <v>5</v>
      </c>
    </row>
    <row r="286" spans="1:14" ht="16" x14ac:dyDescent="0.2">
      <c r="A286" s="3">
        <v>43394.668309001434</v>
      </c>
      <c r="B286" s="1" t="s">
        <v>600</v>
      </c>
      <c r="C286" t="s">
        <v>142</v>
      </c>
      <c r="D286">
        <v>10</v>
      </c>
      <c r="E286">
        <v>210</v>
      </c>
      <c r="F286">
        <v>70</v>
      </c>
      <c r="G286">
        <v>2100</v>
      </c>
      <c r="H286" s="4">
        <v>700</v>
      </c>
      <c r="I286" s="4">
        <v>1400</v>
      </c>
      <c r="J286" t="s">
        <v>548</v>
      </c>
      <c r="K286" t="s">
        <v>53</v>
      </c>
      <c r="L286" s="4">
        <v>16.695690968264284</v>
      </c>
      <c r="M286" s="1" t="s">
        <v>54</v>
      </c>
      <c r="N286" s="11">
        <f t="shared" si="4"/>
        <v>10</v>
      </c>
    </row>
    <row r="287" spans="1:14" ht="16" x14ac:dyDescent="0.2">
      <c r="A287" s="3">
        <v>43634.276881200516</v>
      </c>
      <c r="B287" s="1" t="s">
        <v>601</v>
      </c>
      <c r="C287" t="s">
        <v>196</v>
      </c>
      <c r="D287">
        <v>12</v>
      </c>
      <c r="E287">
        <v>192</v>
      </c>
      <c r="F287">
        <v>96</v>
      </c>
      <c r="G287">
        <v>2304</v>
      </c>
      <c r="H287" s="4">
        <v>1152</v>
      </c>
      <c r="I287" s="4">
        <v>1152</v>
      </c>
      <c r="J287" t="s">
        <v>202</v>
      </c>
      <c r="K287" t="s">
        <v>58</v>
      </c>
      <c r="L287" s="4">
        <v>13.765798454641494</v>
      </c>
      <c r="M287" s="1" t="s">
        <v>38</v>
      </c>
      <c r="N287" s="11">
        <f t="shared" si="4"/>
        <v>5</v>
      </c>
    </row>
    <row r="288" spans="1:14" ht="16" x14ac:dyDescent="0.2">
      <c r="A288" s="3">
        <v>43454.091917042104</v>
      </c>
      <c r="B288" s="1" t="s">
        <v>602</v>
      </c>
      <c r="C288" t="s">
        <v>154</v>
      </c>
      <c r="D288">
        <v>7</v>
      </c>
      <c r="E288">
        <v>308</v>
      </c>
      <c r="F288">
        <v>77</v>
      </c>
      <c r="G288">
        <v>2156</v>
      </c>
      <c r="H288" s="4">
        <v>539</v>
      </c>
      <c r="I288" s="4">
        <v>1617</v>
      </c>
      <c r="J288" t="s">
        <v>603</v>
      </c>
      <c r="K288" t="s">
        <v>64</v>
      </c>
      <c r="L288" s="4">
        <v>11.072271050116964</v>
      </c>
      <c r="M288" s="1" t="s">
        <v>38</v>
      </c>
      <c r="N288" s="11">
        <f t="shared" si="4"/>
        <v>5</v>
      </c>
    </row>
    <row r="289" spans="1:14" ht="16" x14ac:dyDescent="0.2">
      <c r="A289" s="3">
        <v>45042.106188744845</v>
      </c>
      <c r="B289" s="1" t="s">
        <v>604</v>
      </c>
      <c r="C289" t="s">
        <v>243</v>
      </c>
      <c r="D289">
        <v>12</v>
      </c>
      <c r="E289">
        <v>90</v>
      </c>
      <c r="F289">
        <v>45</v>
      </c>
      <c r="G289">
        <v>1080</v>
      </c>
      <c r="H289" s="4">
        <v>540</v>
      </c>
      <c r="I289" s="4">
        <v>540</v>
      </c>
      <c r="J289" t="s">
        <v>176</v>
      </c>
      <c r="K289" t="s">
        <v>64</v>
      </c>
      <c r="L289" s="4">
        <v>12.1334991293512</v>
      </c>
      <c r="M289" s="1" t="s">
        <v>38</v>
      </c>
      <c r="N289" s="11">
        <f t="shared" si="4"/>
        <v>5</v>
      </c>
    </row>
    <row r="290" spans="1:14" ht="16" x14ac:dyDescent="0.2">
      <c r="A290" s="3">
        <v>44491.387162474028</v>
      </c>
      <c r="B290" s="1" t="s">
        <v>605</v>
      </c>
      <c r="C290" t="s">
        <v>47</v>
      </c>
      <c r="D290">
        <v>11</v>
      </c>
      <c r="E290">
        <v>231</v>
      </c>
      <c r="F290">
        <v>77</v>
      </c>
      <c r="G290">
        <v>2541</v>
      </c>
      <c r="H290" s="4">
        <v>847</v>
      </c>
      <c r="I290" s="4">
        <v>1694</v>
      </c>
      <c r="J290" t="s">
        <v>310</v>
      </c>
      <c r="K290" t="s">
        <v>58</v>
      </c>
      <c r="L290" s="4">
        <v>11.03324198943719</v>
      </c>
      <c r="M290" s="1" t="s">
        <v>54</v>
      </c>
      <c r="N290" s="11">
        <f t="shared" si="4"/>
        <v>10</v>
      </c>
    </row>
    <row r="291" spans="1:14" ht="16" x14ac:dyDescent="0.2">
      <c r="A291" s="3">
        <v>43879.271758175273</v>
      </c>
      <c r="B291" s="1" t="s">
        <v>606</v>
      </c>
      <c r="C291" t="s">
        <v>607</v>
      </c>
      <c r="D291">
        <v>10</v>
      </c>
      <c r="E291">
        <v>225</v>
      </c>
      <c r="F291">
        <v>75</v>
      </c>
      <c r="G291">
        <v>2250</v>
      </c>
      <c r="H291" s="4">
        <v>750</v>
      </c>
      <c r="I291" s="4">
        <v>1500</v>
      </c>
      <c r="J291" t="s">
        <v>438</v>
      </c>
      <c r="K291" t="s">
        <v>64</v>
      </c>
      <c r="L291" s="4">
        <v>12.532428411174646</v>
      </c>
      <c r="M291" s="1" t="s">
        <v>34</v>
      </c>
      <c r="N291" s="11">
        <f t="shared" si="4"/>
        <v>1</v>
      </c>
    </row>
    <row r="292" spans="1:14" ht="16" x14ac:dyDescent="0.2">
      <c r="A292" s="3">
        <v>42837.299332349423</v>
      </c>
      <c r="B292" s="1" t="s">
        <v>608</v>
      </c>
      <c r="C292" t="s">
        <v>243</v>
      </c>
      <c r="D292">
        <v>11</v>
      </c>
      <c r="E292">
        <v>90</v>
      </c>
      <c r="F292">
        <v>45</v>
      </c>
      <c r="G292">
        <v>990</v>
      </c>
      <c r="H292" s="4">
        <v>495</v>
      </c>
      <c r="I292" s="4">
        <v>495</v>
      </c>
      <c r="J292" t="s">
        <v>609</v>
      </c>
      <c r="K292" t="s">
        <v>64</v>
      </c>
      <c r="L292" s="4">
        <v>12.564315242820944</v>
      </c>
      <c r="M292" s="1" t="s">
        <v>38</v>
      </c>
      <c r="N292" s="11">
        <f t="shared" si="4"/>
        <v>5</v>
      </c>
    </row>
    <row r="293" spans="1:14" ht="16" x14ac:dyDescent="0.2">
      <c r="A293" s="3">
        <v>44026.996710639934</v>
      </c>
      <c r="B293" s="1" t="s">
        <v>610</v>
      </c>
      <c r="C293" t="s">
        <v>297</v>
      </c>
      <c r="D293">
        <v>8</v>
      </c>
      <c r="E293">
        <v>108</v>
      </c>
      <c r="F293">
        <v>36</v>
      </c>
      <c r="G293">
        <v>864</v>
      </c>
      <c r="H293" s="4">
        <v>288</v>
      </c>
      <c r="I293" s="4">
        <v>576</v>
      </c>
      <c r="J293" t="s">
        <v>611</v>
      </c>
      <c r="K293" t="s">
        <v>58</v>
      </c>
      <c r="L293" s="4">
        <v>7.8974070387684714</v>
      </c>
      <c r="M293" s="1" t="s">
        <v>34</v>
      </c>
      <c r="N293" s="11">
        <f t="shared" si="4"/>
        <v>1</v>
      </c>
    </row>
    <row r="294" spans="1:14" ht="16" x14ac:dyDescent="0.2">
      <c r="A294" s="3">
        <v>44315.976655529921</v>
      </c>
      <c r="B294" s="1" t="s">
        <v>612</v>
      </c>
      <c r="C294" t="s">
        <v>66</v>
      </c>
      <c r="D294">
        <v>18</v>
      </c>
      <c r="E294">
        <v>144</v>
      </c>
      <c r="F294">
        <v>48</v>
      </c>
      <c r="G294">
        <v>2592</v>
      </c>
      <c r="H294" s="4">
        <v>864</v>
      </c>
      <c r="I294" s="4">
        <v>1728</v>
      </c>
      <c r="J294" t="s">
        <v>613</v>
      </c>
      <c r="K294" t="s">
        <v>86</v>
      </c>
      <c r="L294" s="4">
        <v>8.8169309002713945</v>
      </c>
      <c r="M294" s="1" t="s">
        <v>38</v>
      </c>
      <c r="N294" s="11">
        <f t="shared" si="4"/>
        <v>5</v>
      </c>
    </row>
    <row r="295" spans="1:14" ht="16" x14ac:dyDescent="0.2">
      <c r="A295" s="3">
        <v>44112.344494500496</v>
      </c>
      <c r="B295" s="1" t="s">
        <v>614</v>
      </c>
      <c r="C295" t="s">
        <v>133</v>
      </c>
      <c r="D295">
        <v>6</v>
      </c>
      <c r="E295">
        <v>189</v>
      </c>
      <c r="F295">
        <v>63</v>
      </c>
      <c r="G295">
        <v>1134</v>
      </c>
      <c r="H295" s="4">
        <v>378</v>
      </c>
      <c r="I295" s="4">
        <v>756</v>
      </c>
      <c r="J295" t="s">
        <v>321</v>
      </c>
      <c r="K295" t="s">
        <v>42</v>
      </c>
      <c r="L295" s="4">
        <v>7.7337149713827413</v>
      </c>
      <c r="M295" s="1" t="s">
        <v>38</v>
      </c>
      <c r="N295" s="11">
        <f t="shared" si="4"/>
        <v>5</v>
      </c>
    </row>
    <row r="296" spans="1:14" ht="16" x14ac:dyDescent="0.2">
      <c r="A296" s="3">
        <v>44291.656821456687</v>
      </c>
      <c r="B296" s="1" t="s">
        <v>615</v>
      </c>
      <c r="C296" t="s">
        <v>248</v>
      </c>
      <c r="D296">
        <v>14</v>
      </c>
      <c r="E296">
        <v>132</v>
      </c>
      <c r="F296">
        <v>44</v>
      </c>
      <c r="G296">
        <v>1848</v>
      </c>
      <c r="H296" s="4">
        <v>616</v>
      </c>
      <c r="I296" s="4">
        <v>1232</v>
      </c>
      <c r="J296" t="s">
        <v>616</v>
      </c>
      <c r="K296" t="s">
        <v>49</v>
      </c>
      <c r="L296" s="4">
        <v>13.466362789017223</v>
      </c>
      <c r="M296" s="1" t="s">
        <v>38</v>
      </c>
      <c r="N296" s="11">
        <f t="shared" si="4"/>
        <v>5</v>
      </c>
    </row>
    <row r="297" spans="1:14" ht="16" x14ac:dyDescent="0.2">
      <c r="A297" s="3">
        <v>44309.384910101682</v>
      </c>
      <c r="B297" s="1" t="s">
        <v>617</v>
      </c>
      <c r="C297" t="s">
        <v>47</v>
      </c>
      <c r="D297">
        <v>19</v>
      </c>
      <c r="E297">
        <v>231</v>
      </c>
      <c r="F297">
        <v>77</v>
      </c>
      <c r="G297">
        <v>4389</v>
      </c>
      <c r="H297" s="4">
        <v>1463</v>
      </c>
      <c r="I297" s="4">
        <v>2926</v>
      </c>
      <c r="J297" t="s">
        <v>442</v>
      </c>
      <c r="K297" t="s">
        <v>58</v>
      </c>
      <c r="L297" s="4">
        <v>16.429355109701351</v>
      </c>
      <c r="M297" s="1" t="s">
        <v>38</v>
      </c>
      <c r="N297" s="11">
        <f t="shared" si="4"/>
        <v>5</v>
      </c>
    </row>
    <row r="298" spans="1:14" ht="16" x14ac:dyDescent="0.2">
      <c r="A298" s="3">
        <v>44176.456448628254</v>
      </c>
      <c r="B298" s="1" t="s">
        <v>618</v>
      </c>
      <c r="C298" t="s">
        <v>252</v>
      </c>
      <c r="D298">
        <v>19</v>
      </c>
      <c r="E298">
        <v>252</v>
      </c>
      <c r="F298">
        <v>63</v>
      </c>
      <c r="G298">
        <v>4788</v>
      </c>
      <c r="H298" s="4">
        <v>1197</v>
      </c>
      <c r="I298" s="4">
        <v>3591</v>
      </c>
      <c r="J298" t="s">
        <v>67</v>
      </c>
      <c r="K298" t="s">
        <v>64</v>
      </c>
      <c r="L298" s="4">
        <v>15.602184182549776</v>
      </c>
      <c r="M298" s="1" t="s">
        <v>38</v>
      </c>
      <c r="N298" s="11">
        <f t="shared" si="4"/>
        <v>5</v>
      </c>
    </row>
    <row r="299" spans="1:14" ht="16" x14ac:dyDescent="0.2">
      <c r="A299" s="3">
        <v>42998.15648978114</v>
      </c>
      <c r="B299" s="1" t="s">
        <v>619</v>
      </c>
      <c r="C299" t="s">
        <v>145</v>
      </c>
      <c r="D299">
        <v>7</v>
      </c>
      <c r="E299">
        <v>207</v>
      </c>
      <c r="F299">
        <v>69</v>
      </c>
      <c r="G299">
        <v>1449</v>
      </c>
      <c r="H299" s="4">
        <v>483</v>
      </c>
      <c r="I299" s="4">
        <v>966</v>
      </c>
      <c r="J299" t="s">
        <v>564</v>
      </c>
      <c r="K299" t="s">
        <v>53</v>
      </c>
      <c r="L299" s="4">
        <v>11.563724686003232</v>
      </c>
      <c r="M299" s="1" t="s">
        <v>34</v>
      </c>
      <c r="N299" s="11">
        <f t="shared" si="4"/>
        <v>1</v>
      </c>
    </row>
    <row r="300" spans="1:14" ht="16" x14ac:dyDescent="0.2">
      <c r="A300" s="3">
        <v>44066.893385446543</v>
      </c>
      <c r="B300" s="1" t="s">
        <v>620</v>
      </c>
      <c r="C300" t="s">
        <v>473</v>
      </c>
      <c r="D300">
        <v>11</v>
      </c>
      <c r="E300">
        <v>72</v>
      </c>
      <c r="F300">
        <v>36</v>
      </c>
      <c r="G300">
        <v>792</v>
      </c>
      <c r="H300" s="4">
        <v>396</v>
      </c>
      <c r="I300" s="4">
        <v>396</v>
      </c>
      <c r="J300" t="s">
        <v>164</v>
      </c>
      <c r="K300" t="s">
        <v>86</v>
      </c>
      <c r="L300" s="4">
        <v>12.452986387489583</v>
      </c>
      <c r="M300" s="1" t="s">
        <v>38</v>
      </c>
      <c r="N300" s="11">
        <f t="shared" si="4"/>
        <v>5</v>
      </c>
    </row>
    <row r="301" spans="1:14" ht="16" x14ac:dyDescent="0.2">
      <c r="A301" s="3">
        <v>42681.510562871401</v>
      </c>
      <c r="B301" s="1" t="s">
        <v>621</v>
      </c>
      <c r="C301" t="s">
        <v>394</v>
      </c>
      <c r="D301">
        <v>11</v>
      </c>
      <c r="E301">
        <v>58</v>
      </c>
      <c r="F301">
        <v>29</v>
      </c>
      <c r="G301">
        <v>638</v>
      </c>
      <c r="H301" s="4">
        <v>319</v>
      </c>
      <c r="I301" s="4">
        <v>319</v>
      </c>
      <c r="J301" t="s">
        <v>622</v>
      </c>
      <c r="K301" t="s">
        <v>49</v>
      </c>
      <c r="L301" s="4">
        <v>8.3272837771733244</v>
      </c>
      <c r="M301" s="1" t="s">
        <v>38</v>
      </c>
      <c r="N301" s="11">
        <f t="shared" si="4"/>
        <v>5</v>
      </c>
    </row>
    <row r="302" spans="1:14" ht="16" x14ac:dyDescent="0.2">
      <c r="A302" s="3">
        <v>43310.054396950443</v>
      </c>
      <c r="B302" s="1" t="s">
        <v>623</v>
      </c>
      <c r="C302" t="s">
        <v>91</v>
      </c>
      <c r="D302">
        <v>19</v>
      </c>
      <c r="E302">
        <v>300</v>
      </c>
      <c r="F302">
        <v>75</v>
      </c>
      <c r="G302">
        <v>5700</v>
      </c>
      <c r="H302" s="4">
        <v>1425</v>
      </c>
      <c r="I302" s="4">
        <v>4275</v>
      </c>
      <c r="J302" t="s">
        <v>194</v>
      </c>
      <c r="K302" t="s">
        <v>42</v>
      </c>
      <c r="L302" s="4">
        <v>14.573178107544177</v>
      </c>
      <c r="M302" s="1" t="s">
        <v>54</v>
      </c>
      <c r="N302" s="11">
        <f t="shared" si="4"/>
        <v>10</v>
      </c>
    </row>
    <row r="303" spans="1:14" ht="16" x14ac:dyDescent="0.2">
      <c r="A303" s="3">
        <v>43480.879496464579</v>
      </c>
      <c r="B303" s="1" t="s">
        <v>624</v>
      </c>
      <c r="C303" t="s">
        <v>120</v>
      </c>
      <c r="D303">
        <v>2</v>
      </c>
      <c r="E303">
        <v>252</v>
      </c>
      <c r="F303">
        <v>63</v>
      </c>
      <c r="G303">
        <v>504</v>
      </c>
      <c r="H303" s="4">
        <v>126</v>
      </c>
      <c r="I303" s="4">
        <v>378</v>
      </c>
      <c r="J303" t="s">
        <v>118</v>
      </c>
      <c r="K303" t="s">
        <v>64</v>
      </c>
      <c r="L303" s="4">
        <v>11.128721898968678</v>
      </c>
      <c r="M303" s="1" t="s">
        <v>38</v>
      </c>
      <c r="N303" s="11">
        <f t="shared" si="4"/>
        <v>5</v>
      </c>
    </row>
    <row r="304" spans="1:14" ht="16" x14ac:dyDescent="0.2">
      <c r="A304" s="3">
        <v>44498.298811929948</v>
      </c>
      <c r="B304" s="1" t="s">
        <v>625</v>
      </c>
      <c r="C304" t="s">
        <v>84</v>
      </c>
      <c r="D304">
        <v>17</v>
      </c>
      <c r="E304">
        <v>126</v>
      </c>
      <c r="F304">
        <v>42</v>
      </c>
      <c r="G304">
        <v>2142</v>
      </c>
      <c r="H304" s="4">
        <v>714</v>
      </c>
      <c r="I304" s="4">
        <v>1428</v>
      </c>
      <c r="J304" t="s">
        <v>626</v>
      </c>
      <c r="K304" t="s">
        <v>58</v>
      </c>
      <c r="L304" s="4">
        <v>13.259563298324382</v>
      </c>
      <c r="M304" s="1" t="s">
        <v>38</v>
      </c>
      <c r="N304" s="11">
        <f t="shared" si="4"/>
        <v>5</v>
      </c>
    </row>
    <row r="305" spans="1:14" ht="16" x14ac:dyDescent="0.2">
      <c r="A305" s="3">
        <v>43796.411053283904</v>
      </c>
      <c r="B305" s="1" t="s">
        <v>627</v>
      </c>
      <c r="C305" t="s">
        <v>340</v>
      </c>
      <c r="D305">
        <v>4</v>
      </c>
      <c r="E305">
        <v>180</v>
      </c>
      <c r="F305">
        <v>45</v>
      </c>
      <c r="G305">
        <v>720</v>
      </c>
      <c r="H305" s="4">
        <v>180</v>
      </c>
      <c r="I305" s="4">
        <v>540</v>
      </c>
      <c r="J305" t="s">
        <v>315</v>
      </c>
      <c r="K305" t="s">
        <v>42</v>
      </c>
      <c r="L305" s="4">
        <v>10.966283117837653</v>
      </c>
      <c r="M305" s="1" t="s">
        <v>34</v>
      </c>
      <c r="N305" s="11">
        <f t="shared" si="4"/>
        <v>1</v>
      </c>
    </row>
    <row r="306" spans="1:14" ht="16" x14ac:dyDescent="0.2">
      <c r="A306" s="3">
        <v>43149.171475769399</v>
      </c>
      <c r="B306" s="1" t="s">
        <v>628</v>
      </c>
      <c r="C306" t="s">
        <v>175</v>
      </c>
      <c r="D306">
        <v>1</v>
      </c>
      <c r="E306">
        <v>38</v>
      </c>
      <c r="F306">
        <v>19</v>
      </c>
      <c r="G306">
        <v>38</v>
      </c>
      <c r="H306" s="4">
        <v>19</v>
      </c>
      <c r="I306" s="4">
        <v>19</v>
      </c>
      <c r="J306" t="s">
        <v>629</v>
      </c>
      <c r="K306" t="s">
        <v>53</v>
      </c>
      <c r="L306" s="4">
        <v>9.8892508156549788</v>
      </c>
      <c r="M306" s="1" t="s">
        <v>54</v>
      </c>
      <c r="N306" s="11">
        <f t="shared" si="4"/>
        <v>10</v>
      </c>
    </row>
    <row r="307" spans="1:14" ht="16" x14ac:dyDescent="0.2">
      <c r="A307" s="3">
        <v>44309.496504527378</v>
      </c>
      <c r="B307" s="1" t="s">
        <v>630</v>
      </c>
      <c r="C307" t="s">
        <v>607</v>
      </c>
      <c r="D307">
        <v>13</v>
      </c>
      <c r="E307">
        <v>225</v>
      </c>
      <c r="F307">
        <v>75</v>
      </c>
      <c r="G307">
        <v>2925</v>
      </c>
      <c r="H307" s="4">
        <v>975</v>
      </c>
      <c r="I307" s="4">
        <v>1950</v>
      </c>
      <c r="J307" t="s">
        <v>197</v>
      </c>
      <c r="K307" t="s">
        <v>49</v>
      </c>
      <c r="L307" s="4">
        <v>13.288482149665386</v>
      </c>
      <c r="M307" s="1" t="s">
        <v>38</v>
      </c>
      <c r="N307" s="11">
        <f t="shared" si="4"/>
        <v>5</v>
      </c>
    </row>
    <row r="308" spans="1:14" ht="16" x14ac:dyDescent="0.2">
      <c r="A308" s="3">
        <v>43842.18279412308</v>
      </c>
      <c r="B308" s="1" t="s">
        <v>631</v>
      </c>
      <c r="C308" t="s">
        <v>337</v>
      </c>
      <c r="D308">
        <v>13</v>
      </c>
      <c r="E308">
        <v>135</v>
      </c>
      <c r="F308">
        <v>45</v>
      </c>
      <c r="G308">
        <v>1755</v>
      </c>
      <c r="H308" s="4">
        <v>585</v>
      </c>
      <c r="I308" s="4">
        <v>1170</v>
      </c>
      <c r="J308" t="s">
        <v>194</v>
      </c>
      <c r="K308" t="s">
        <v>42</v>
      </c>
      <c r="L308" s="4">
        <v>14.573178107544177</v>
      </c>
      <c r="M308" s="1" t="s">
        <v>38</v>
      </c>
      <c r="N308" s="11">
        <f t="shared" si="4"/>
        <v>5</v>
      </c>
    </row>
    <row r="309" spans="1:14" ht="16" x14ac:dyDescent="0.2">
      <c r="A309" s="3">
        <v>43209.540346391157</v>
      </c>
      <c r="B309" s="1" t="s">
        <v>632</v>
      </c>
      <c r="C309" t="s">
        <v>154</v>
      </c>
      <c r="D309">
        <v>6</v>
      </c>
      <c r="E309">
        <v>308</v>
      </c>
      <c r="F309">
        <v>77</v>
      </c>
      <c r="G309">
        <v>1848</v>
      </c>
      <c r="H309" s="4">
        <v>462</v>
      </c>
      <c r="I309" s="4">
        <v>1386</v>
      </c>
      <c r="J309" t="s">
        <v>633</v>
      </c>
      <c r="K309" t="s">
        <v>86</v>
      </c>
      <c r="L309" s="4">
        <v>12.954911944548844</v>
      </c>
      <c r="M309" s="1" t="s">
        <v>38</v>
      </c>
      <c r="N309" s="11">
        <f t="shared" si="4"/>
        <v>5</v>
      </c>
    </row>
    <row r="310" spans="1:14" ht="16" x14ac:dyDescent="0.2">
      <c r="A310" s="3">
        <v>44348.258980043785</v>
      </c>
      <c r="B310" s="1" t="s">
        <v>634</v>
      </c>
      <c r="C310" t="s">
        <v>209</v>
      </c>
      <c r="D310">
        <v>1</v>
      </c>
      <c r="E310">
        <v>150</v>
      </c>
      <c r="F310">
        <v>75</v>
      </c>
      <c r="G310">
        <v>150</v>
      </c>
      <c r="H310" s="4">
        <v>75</v>
      </c>
      <c r="I310" s="4">
        <v>75</v>
      </c>
      <c r="J310" t="s">
        <v>635</v>
      </c>
      <c r="K310" t="s">
        <v>33</v>
      </c>
      <c r="L310" s="4">
        <v>15.478388039566896</v>
      </c>
      <c r="M310" s="1" t="s">
        <v>38</v>
      </c>
      <c r="N310" s="11">
        <f t="shared" si="4"/>
        <v>5</v>
      </c>
    </row>
    <row r="311" spans="1:14" ht="16" x14ac:dyDescent="0.2">
      <c r="A311" s="3">
        <v>44683.562912679161</v>
      </c>
      <c r="B311" s="1" t="s">
        <v>636</v>
      </c>
      <c r="C311" t="s">
        <v>227</v>
      </c>
      <c r="D311">
        <v>1</v>
      </c>
      <c r="E311">
        <v>144</v>
      </c>
      <c r="F311">
        <v>48</v>
      </c>
      <c r="G311">
        <v>144</v>
      </c>
      <c r="H311" s="4">
        <v>48</v>
      </c>
      <c r="I311" s="4">
        <v>96</v>
      </c>
      <c r="J311" t="s">
        <v>284</v>
      </c>
      <c r="K311" t="s">
        <v>58</v>
      </c>
      <c r="L311" s="4">
        <v>10.570474361325047</v>
      </c>
      <c r="M311" s="1" t="s">
        <v>38</v>
      </c>
      <c r="N311" s="11">
        <f t="shared" si="4"/>
        <v>5</v>
      </c>
    </row>
    <row r="312" spans="1:14" ht="16" x14ac:dyDescent="0.2">
      <c r="A312" s="3">
        <v>44599.078701812461</v>
      </c>
      <c r="B312" s="1" t="s">
        <v>637</v>
      </c>
      <c r="C312" t="s">
        <v>356</v>
      </c>
      <c r="D312">
        <v>13</v>
      </c>
      <c r="E312">
        <v>356</v>
      </c>
      <c r="F312">
        <v>89</v>
      </c>
      <c r="G312">
        <v>4628</v>
      </c>
      <c r="H312" s="4">
        <v>1157</v>
      </c>
      <c r="I312" s="4">
        <v>3471</v>
      </c>
      <c r="J312" t="s">
        <v>638</v>
      </c>
      <c r="K312" t="s">
        <v>33</v>
      </c>
      <c r="L312" s="4">
        <v>12.131375018945562</v>
      </c>
      <c r="M312" s="1" t="s">
        <v>34</v>
      </c>
      <c r="N312" s="11">
        <f t="shared" si="4"/>
        <v>1</v>
      </c>
    </row>
    <row r="313" spans="1:14" ht="16" x14ac:dyDescent="0.2">
      <c r="A313" s="3">
        <v>44355.405834908255</v>
      </c>
      <c r="B313" s="1" t="s">
        <v>639</v>
      </c>
      <c r="C313" t="s">
        <v>425</v>
      </c>
      <c r="D313">
        <v>10</v>
      </c>
      <c r="E313">
        <v>352</v>
      </c>
      <c r="F313">
        <v>88</v>
      </c>
      <c r="G313">
        <v>3520</v>
      </c>
      <c r="H313" s="4">
        <v>880</v>
      </c>
      <c r="I313" s="4">
        <v>2640</v>
      </c>
      <c r="J313" t="s">
        <v>640</v>
      </c>
      <c r="K313" t="s">
        <v>53</v>
      </c>
      <c r="L313" s="4">
        <v>8.7741864171993527</v>
      </c>
      <c r="M313" s="1" t="s">
        <v>38</v>
      </c>
      <c r="N313" s="11">
        <f t="shared" si="4"/>
        <v>5</v>
      </c>
    </row>
    <row r="314" spans="1:14" ht="16" x14ac:dyDescent="0.2">
      <c r="A314" s="3">
        <v>44636.370550972919</v>
      </c>
      <c r="B314" s="1" t="s">
        <v>641</v>
      </c>
      <c r="C314" t="s">
        <v>386</v>
      </c>
      <c r="D314">
        <v>3</v>
      </c>
      <c r="E314">
        <v>110</v>
      </c>
      <c r="F314">
        <v>55</v>
      </c>
      <c r="G314">
        <v>330</v>
      </c>
      <c r="H314" s="4">
        <v>165</v>
      </c>
      <c r="I314" s="4">
        <v>165</v>
      </c>
      <c r="J314" t="s">
        <v>172</v>
      </c>
      <c r="K314" t="s">
        <v>33</v>
      </c>
      <c r="L314" s="4">
        <v>9.9311000381363836</v>
      </c>
      <c r="M314" s="1" t="s">
        <v>54</v>
      </c>
      <c r="N314" s="11">
        <f t="shared" si="4"/>
        <v>10</v>
      </c>
    </row>
    <row r="315" spans="1:14" ht="16" x14ac:dyDescent="0.2">
      <c r="A315" s="3">
        <v>43877.953156151721</v>
      </c>
      <c r="B315" s="1" t="s">
        <v>642</v>
      </c>
      <c r="C315" t="s">
        <v>193</v>
      </c>
      <c r="D315">
        <v>6</v>
      </c>
      <c r="E315">
        <v>348</v>
      </c>
      <c r="F315">
        <v>87</v>
      </c>
      <c r="G315">
        <v>2088</v>
      </c>
      <c r="H315" s="4">
        <v>522</v>
      </c>
      <c r="I315" s="4">
        <v>1566</v>
      </c>
      <c r="J315" t="s">
        <v>643</v>
      </c>
      <c r="K315" t="s">
        <v>33</v>
      </c>
      <c r="L315" s="4">
        <v>12.275875773922367</v>
      </c>
      <c r="M315" s="1" t="s">
        <v>38</v>
      </c>
      <c r="N315" s="11">
        <f t="shared" si="4"/>
        <v>5</v>
      </c>
    </row>
    <row r="316" spans="1:14" ht="16" x14ac:dyDescent="0.2">
      <c r="A316" s="3">
        <v>44181.630023265694</v>
      </c>
      <c r="B316" s="1" t="s">
        <v>644</v>
      </c>
      <c r="C316" t="s">
        <v>487</v>
      </c>
      <c r="D316">
        <v>2</v>
      </c>
      <c r="E316">
        <v>264</v>
      </c>
      <c r="F316">
        <v>88</v>
      </c>
      <c r="G316">
        <v>528</v>
      </c>
      <c r="H316" s="4">
        <v>176</v>
      </c>
      <c r="I316" s="4">
        <v>352</v>
      </c>
      <c r="J316" t="s">
        <v>645</v>
      </c>
      <c r="K316" t="s">
        <v>86</v>
      </c>
      <c r="L316" s="4">
        <v>9.879282537628514</v>
      </c>
      <c r="M316" s="1" t="s">
        <v>54</v>
      </c>
      <c r="N316" s="11">
        <f t="shared" si="4"/>
        <v>10</v>
      </c>
    </row>
    <row r="317" spans="1:14" ht="16" x14ac:dyDescent="0.2">
      <c r="A317" s="3">
        <v>44082.187124226584</v>
      </c>
      <c r="B317" s="1" t="s">
        <v>646</v>
      </c>
      <c r="C317" t="s">
        <v>286</v>
      </c>
      <c r="D317">
        <v>5</v>
      </c>
      <c r="E317">
        <v>34</v>
      </c>
      <c r="F317">
        <v>17</v>
      </c>
      <c r="G317">
        <v>170</v>
      </c>
      <c r="H317" s="4">
        <v>85</v>
      </c>
      <c r="I317" s="4">
        <v>85</v>
      </c>
      <c r="J317" t="s">
        <v>94</v>
      </c>
      <c r="K317" t="s">
        <v>49</v>
      </c>
      <c r="L317" s="4">
        <v>9.8238489437106278</v>
      </c>
      <c r="M317" s="1" t="s">
        <v>38</v>
      </c>
      <c r="N317" s="11">
        <f t="shared" si="4"/>
        <v>5</v>
      </c>
    </row>
    <row r="318" spans="1:14" ht="16" x14ac:dyDescent="0.2">
      <c r="A318" s="3">
        <v>44703.315916061641</v>
      </c>
      <c r="B318" s="1" t="s">
        <v>647</v>
      </c>
      <c r="C318" t="s">
        <v>93</v>
      </c>
      <c r="D318">
        <v>16</v>
      </c>
      <c r="E318">
        <v>204</v>
      </c>
      <c r="F318">
        <v>51</v>
      </c>
      <c r="G318">
        <v>3264</v>
      </c>
      <c r="H318" s="4">
        <v>816</v>
      </c>
      <c r="I318" s="4">
        <v>2448</v>
      </c>
      <c r="J318" t="s">
        <v>213</v>
      </c>
      <c r="K318" t="s">
        <v>58</v>
      </c>
      <c r="L318" s="4">
        <v>10.980884286450312</v>
      </c>
      <c r="M318" s="1" t="s">
        <v>38</v>
      </c>
      <c r="N318" s="11">
        <f t="shared" si="4"/>
        <v>5</v>
      </c>
    </row>
    <row r="319" spans="1:14" ht="16" x14ac:dyDescent="0.2">
      <c r="A319" s="3">
        <v>43992.493765879895</v>
      </c>
      <c r="B319" s="1" t="s">
        <v>648</v>
      </c>
      <c r="C319" t="s">
        <v>592</v>
      </c>
      <c r="D319">
        <v>12</v>
      </c>
      <c r="E319">
        <v>312</v>
      </c>
      <c r="F319">
        <v>78</v>
      </c>
      <c r="G319">
        <v>3744</v>
      </c>
      <c r="H319" s="4">
        <v>936</v>
      </c>
      <c r="I319" s="4">
        <v>2808</v>
      </c>
      <c r="J319" t="s">
        <v>440</v>
      </c>
      <c r="K319" t="s">
        <v>33</v>
      </c>
      <c r="L319" s="4">
        <v>10.408704992688252</v>
      </c>
      <c r="M319" s="1" t="s">
        <v>34</v>
      </c>
      <c r="N319" s="11">
        <f t="shared" si="4"/>
        <v>1</v>
      </c>
    </row>
    <row r="320" spans="1:14" ht="16" x14ac:dyDescent="0.2">
      <c r="A320" s="3">
        <v>44287.309860120346</v>
      </c>
      <c r="B320" s="1" t="s">
        <v>346</v>
      </c>
      <c r="C320" t="s">
        <v>227</v>
      </c>
      <c r="D320">
        <v>13</v>
      </c>
      <c r="E320">
        <v>144</v>
      </c>
      <c r="F320">
        <v>48</v>
      </c>
      <c r="G320">
        <v>1872</v>
      </c>
      <c r="H320" s="4">
        <v>624</v>
      </c>
      <c r="I320" s="4">
        <v>1248</v>
      </c>
      <c r="J320" t="s">
        <v>94</v>
      </c>
      <c r="K320" t="s">
        <v>49</v>
      </c>
      <c r="L320" s="4">
        <v>9.8238489437106278</v>
      </c>
      <c r="M320" s="1" t="s">
        <v>38</v>
      </c>
      <c r="N320" s="11">
        <f t="shared" si="4"/>
        <v>5</v>
      </c>
    </row>
    <row r="321" spans="1:14" ht="16" x14ac:dyDescent="0.2">
      <c r="A321" s="3">
        <v>43864.262485114654</v>
      </c>
      <c r="B321" s="1" t="s">
        <v>649</v>
      </c>
      <c r="C321" t="s">
        <v>248</v>
      </c>
      <c r="D321">
        <v>2</v>
      </c>
      <c r="E321">
        <v>132</v>
      </c>
      <c r="F321">
        <v>44</v>
      </c>
      <c r="G321">
        <v>264</v>
      </c>
      <c r="H321" s="4">
        <v>88</v>
      </c>
      <c r="I321" s="4">
        <v>176</v>
      </c>
      <c r="J321" t="s">
        <v>650</v>
      </c>
      <c r="K321" t="s">
        <v>86</v>
      </c>
      <c r="L321" s="4">
        <v>12.679725647708608</v>
      </c>
      <c r="M321" s="1" t="s">
        <v>38</v>
      </c>
      <c r="N321" s="11">
        <f t="shared" si="4"/>
        <v>5</v>
      </c>
    </row>
    <row r="322" spans="1:14" ht="16" x14ac:dyDescent="0.2">
      <c r="A322" s="3">
        <v>44199.05271348721</v>
      </c>
      <c r="B322" s="1" t="s">
        <v>651</v>
      </c>
      <c r="C322" t="s">
        <v>410</v>
      </c>
      <c r="D322">
        <v>4</v>
      </c>
      <c r="E322">
        <v>84</v>
      </c>
      <c r="F322">
        <v>21</v>
      </c>
      <c r="G322">
        <v>336</v>
      </c>
      <c r="H322" s="4">
        <v>84</v>
      </c>
      <c r="I322" s="4">
        <v>252</v>
      </c>
      <c r="J322" t="s">
        <v>492</v>
      </c>
      <c r="K322" t="s">
        <v>33</v>
      </c>
      <c r="L322" s="4">
        <v>11.799431383856128</v>
      </c>
      <c r="M322" s="1" t="s">
        <v>34</v>
      </c>
      <c r="N322" s="11">
        <f t="shared" si="4"/>
        <v>1</v>
      </c>
    </row>
    <row r="323" spans="1:14" ht="16" x14ac:dyDescent="0.2">
      <c r="A323" s="3">
        <v>43697.392005725102</v>
      </c>
      <c r="B323" s="1" t="s">
        <v>652</v>
      </c>
      <c r="C323" t="s">
        <v>420</v>
      </c>
      <c r="D323">
        <v>8</v>
      </c>
      <c r="E323">
        <v>162</v>
      </c>
      <c r="F323">
        <v>54</v>
      </c>
      <c r="G323">
        <v>1296</v>
      </c>
      <c r="H323" s="4">
        <v>432</v>
      </c>
      <c r="I323" s="4">
        <v>864</v>
      </c>
      <c r="J323" t="s">
        <v>653</v>
      </c>
      <c r="K323" t="s">
        <v>86</v>
      </c>
      <c r="L323" s="4">
        <v>12.869841591513939</v>
      </c>
      <c r="M323" s="1" t="s">
        <v>38</v>
      </c>
      <c r="N323" s="11">
        <f t="shared" ref="N323:N386" si="5">+IF(M323="Dissatisfied",1,IF(M323="Satisfied",10,5))</f>
        <v>5</v>
      </c>
    </row>
    <row r="324" spans="1:14" ht="16" x14ac:dyDescent="0.2">
      <c r="A324" s="3">
        <v>44222.909187195124</v>
      </c>
      <c r="B324" s="1" t="s">
        <v>654</v>
      </c>
      <c r="C324" t="s">
        <v>204</v>
      </c>
      <c r="D324">
        <v>19</v>
      </c>
      <c r="E324">
        <v>57</v>
      </c>
      <c r="F324">
        <v>19</v>
      </c>
      <c r="G324">
        <v>1083</v>
      </c>
      <c r="H324" s="4">
        <v>361</v>
      </c>
      <c r="I324" s="4">
        <v>722</v>
      </c>
      <c r="J324" t="s">
        <v>557</v>
      </c>
      <c r="K324" t="s">
        <v>64</v>
      </c>
      <c r="L324" s="4">
        <v>10.037135914792184</v>
      </c>
      <c r="M324" s="1" t="s">
        <v>38</v>
      </c>
      <c r="N324" s="11">
        <f t="shared" si="5"/>
        <v>5</v>
      </c>
    </row>
    <row r="325" spans="1:14" ht="16" x14ac:dyDescent="0.2">
      <c r="A325" s="3">
        <v>43186.767326179899</v>
      </c>
      <c r="B325" s="1" t="s">
        <v>655</v>
      </c>
      <c r="C325" t="s">
        <v>113</v>
      </c>
      <c r="D325">
        <v>15</v>
      </c>
      <c r="E325">
        <v>66</v>
      </c>
      <c r="F325">
        <v>33</v>
      </c>
      <c r="G325">
        <v>990</v>
      </c>
      <c r="H325" s="4">
        <v>495</v>
      </c>
      <c r="I325" s="4">
        <v>495</v>
      </c>
      <c r="J325" t="s">
        <v>638</v>
      </c>
      <c r="K325" t="s">
        <v>33</v>
      </c>
      <c r="L325" s="4">
        <v>12.131375018945562</v>
      </c>
      <c r="M325" s="1" t="s">
        <v>38</v>
      </c>
      <c r="N325" s="11">
        <f t="shared" si="5"/>
        <v>5</v>
      </c>
    </row>
    <row r="326" spans="1:14" ht="16" x14ac:dyDescent="0.2">
      <c r="A326" s="3">
        <v>43509.432362706139</v>
      </c>
      <c r="B326" s="1" t="s">
        <v>656</v>
      </c>
      <c r="C326" t="s">
        <v>365</v>
      </c>
      <c r="D326">
        <v>16</v>
      </c>
      <c r="E326">
        <v>255</v>
      </c>
      <c r="F326">
        <v>85</v>
      </c>
      <c r="G326">
        <v>4080</v>
      </c>
      <c r="H326" s="4">
        <v>1360</v>
      </c>
      <c r="I326" s="4">
        <v>2720</v>
      </c>
      <c r="J326" t="s">
        <v>413</v>
      </c>
      <c r="K326" t="s">
        <v>64</v>
      </c>
      <c r="L326" s="4">
        <v>12.682358648534777</v>
      </c>
      <c r="M326" s="1" t="s">
        <v>34</v>
      </c>
      <c r="N326" s="11">
        <f t="shared" si="5"/>
        <v>1</v>
      </c>
    </row>
    <row r="327" spans="1:14" ht="16" x14ac:dyDescent="0.2">
      <c r="A327" s="3">
        <v>44229.300841035401</v>
      </c>
      <c r="B327" s="1" t="s">
        <v>657</v>
      </c>
      <c r="C327" t="s">
        <v>276</v>
      </c>
      <c r="D327">
        <v>1</v>
      </c>
      <c r="E327">
        <v>57</v>
      </c>
      <c r="F327">
        <v>19</v>
      </c>
      <c r="G327">
        <v>57</v>
      </c>
      <c r="H327" s="4">
        <v>19</v>
      </c>
      <c r="I327" s="4">
        <v>38</v>
      </c>
      <c r="J327" t="s">
        <v>167</v>
      </c>
      <c r="K327" t="s">
        <v>86</v>
      </c>
      <c r="L327" s="4">
        <v>10.216282609482219</v>
      </c>
      <c r="M327" s="1" t="s">
        <v>54</v>
      </c>
      <c r="N327" s="11">
        <f t="shared" si="5"/>
        <v>10</v>
      </c>
    </row>
    <row r="328" spans="1:14" ht="16" x14ac:dyDescent="0.2">
      <c r="A328" s="3">
        <v>44201.081558947568</v>
      </c>
      <c r="B328" s="1" t="s">
        <v>658</v>
      </c>
      <c r="C328" t="s">
        <v>193</v>
      </c>
      <c r="D328">
        <v>5</v>
      </c>
      <c r="E328">
        <v>348</v>
      </c>
      <c r="F328">
        <v>87</v>
      </c>
      <c r="G328">
        <v>1740</v>
      </c>
      <c r="H328" s="4">
        <v>435</v>
      </c>
      <c r="I328" s="4">
        <v>1305</v>
      </c>
      <c r="J328" t="s">
        <v>318</v>
      </c>
      <c r="K328" t="s">
        <v>33</v>
      </c>
      <c r="L328" s="4">
        <v>9.0350666811770921</v>
      </c>
      <c r="M328" s="1" t="s">
        <v>38</v>
      </c>
      <c r="N328" s="11">
        <f t="shared" si="5"/>
        <v>5</v>
      </c>
    </row>
    <row r="329" spans="1:14" ht="16" x14ac:dyDescent="0.2">
      <c r="A329" s="3">
        <v>44293.953121705039</v>
      </c>
      <c r="B329" s="1" t="s">
        <v>659</v>
      </c>
      <c r="C329" t="s">
        <v>157</v>
      </c>
      <c r="D329">
        <v>20</v>
      </c>
      <c r="E329">
        <v>50</v>
      </c>
      <c r="F329">
        <v>25</v>
      </c>
      <c r="G329">
        <v>1000</v>
      </c>
      <c r="H329" s="4">
        <v>500</v>
      </c>
      <c r="I329" s="4">
        <v>500</v>
      </c>
      <c r="J329" t="s">
        <v>660</v>
      </c>
      <c r="K329" t="s">
        <v>86</v>
      </c>
      <c r="L329" s="4">
        <v>10.163794912095831</v>
      </c>
      <c r="M329" s="1" t="s">
        <v>34</v>
      </c>
      <c r="N329" s="11">
        <f t="shared" si="5"/>
        <v>1</v>
      </c>
    </row>
    <row r="330" spans="1:14" ht="16" x14ac:dyDescent="0.2">
      <c r="A330" s="3">
        <v>44036.822695293311</v>
      </c>
      <c r="B330" s="1" t="s">
        <v>661</v>
      </c>
      <c r="C330" t="s">
        <v>115</v>
      </c>
      <c r="D330">
        <v>15</v>
      </c>
      <c r="E330">
        <v>81</v>
      </c>
      <c r="F330">
        <v>27</v>
      </c>
      <c r="G330">
        <v>1215</v>
      </c>
      <c r="H330" s="4">
        <v>405</v>
      </c>
      <c r="I330" s="4">
        <v>810</v>
      </c>
      <c r="J330" t="s">
        <v>253</v>
      </c>
      <c r="K330" t="s">
        <v>53</v>
      </c>
      <c r="L330" s="4">
        <v>13.918153610259502</v>
      </c>
      <c r="M330" s="1" t="s">
        <v>54</v>
      </c>
      <c r="N330" s="11">
        <f t="shared" si="5"/>
        <v>10</v>
      </c>
    </row>
    <row r="331" spans="1:14" ht="16" x14ac:dyDescent="0.2">
      <c r="A331" s="3">
        <v>44365.05875917754</v>
      </c>
      <c r="B331" s="1" t="s">
        <v>662</v>
      </c>
      <c r="C331" t="s">
        <v>148</v>
      </c>
      <c r="D331">
        <v>11</v>
      </c>
      <c r="E331">
        <v>144</v>
      </c>
      <c r="F331">
        <v>36</v>
      </c>
      <c r="G331">
        <v>1584</v>
      </c>
      <c r="H331" s="4">
        <v>396</v>
      </c>
      <c r="I331" s="4">
        <v>1188</v>
      </c>
      <c r="J331" t="s">
        <v>307</v>
      </c>
      <c r="K331" t="s">
        <v>53</v>
      </c>
      <c r="L331" s="4">
        <v>7.0114620475168028</v>
      </c>
      <c r="M331" s="1" t="s">
        <v>38</v>
      </c>
      <c r="N331" s="11">
        <f t="shared" si="5"/>
        <v>5</v>
      </c>
    </row>
    <row r="332" spans="1:14" ht="16" x14ac:dyDescent="0.2">
      <c r="A332" s="3">
        <v>43299.630429827674</v>
      </c>
      <c r="B332" s="1" t="s">
        <v>663</v>
      </c>
      <c r="C332" t="s">
        <v>215</v>
      </c>
      <c r="D332">
        <v>20</v>
      </c>
      <c r="E332">
        <v>176</v>
      </c>
      <c r="F332">
        <v>88</v>
      </c>
      <c r="G332">
        <v>3520</v>
      </c>
      <c r="H332" s="4">
        <v>1760</v>
      </c>
      <c r="I332" s="4">
        <v>1760</v>
      </c>
      <c r="J332" t="s">
        <v>76</v>
      </c>
      <c r="K332" t="s">
        <v>58</v>
      </c>
      <c r="L332" s="4">
        <v>9.8384363471888783</v>
      </c>
      <c r="M332" s="1" t="s">
        <v>38</v>
      </c>
      <c r="N332" s="11">
        <f t="shared" si="5"/>
        <v>5</v>
      </c>
    </row>
    <row r="333" spans="1:14" ht="16" x14ac:dyDescent="0.2">
      <c r="A333" s="3">
        <v>44711.141008828337</v>
      </c>
      <c r="B333" s="1" t="s">
        <v>664</v>
      </c>
      <c r="C333" t="s">
        <v>209</v>
      </c>
      <c r="D333">
        <v>11</v>
      </c>
      <c r="E333">
        <v>150</v>
      </c>
      <c r="F333">
        <v>75</v>
      </c>
      <c r="G333">
        <v>1650</v>
      </c>
      <c r="H333" s="4">
        <v>825</v>
      </c>
      <c r="I333" s="4">
        <v>825</v>
      </c>
      <c r="J333" t="s">
        <v>665</v>
      </c>
      <c r="K333" t="s">
        <v>33</v>
      </c>
      <c r="L333" s="4">
        <v>6.9183250411917196</v>
      </c>
      <c r="M333" s="1" t="s">
        <v>38</v>
      </c>
      <c r="N333" s="11">
        <f t="shared" si="5"/>
        <v>5</v>
      </c>
    </row>
    <row r="334" spans="1:14" ht="16" x14ac:dyDescent="0.2">
      <c r="A334" s="3">
        <v>44733.739458008167</v>
      </c>
      <c r="B334" s="1" t="s">
        <v>666</v>
      </c>
      <c r="C334" t="s">
        <v>88</v>
      </c>
      <c r="D334">
        <v>15</v>
      </c>
      <c r="E334">
        <v>210</v>
      </c>
      <c r="F334">
        <v>70</v>
      </c>
      <c r="G334">
        <v>3150</v>
      </c>
      <c r="H334" s="4">
        <v>1050</v>
      </c>
      <c r="I334" s="4">
        <v>2100</v>
      </c>
      <c r="J334" t="s">
        <v>199</v>
      </c>
      <c r="K334" t="s">
        <v>86</v>
      </c>
      <c r="L334" s="4">
        <v>13.890275354050972</v>
      </c>
      <c r="M334" s="1" t="s">
        <v>38</v>
      </c>
      <c r="N334" s="11">
        <f t="shared" si="5"/>
        <v>5</v>
      </c>
    </row>
    <row r="335" spans="1:14" ht="16" x14ac:dyDescent="0.2">
      <c r="A335" s="3">
        <v>42913.5695375711</v>
      </c>
      <c r="B335" s="1" t="s">
        <v>667</v>
      </c>
      <c r="C335" t="s">
        <v>201</v>
      </c>
      <c r="D335">
        <v>13</v>
      </c>
      <c r="E335">
        <v>30</v>
      </c>
      <c r="F335">
        <v>15</v>
      </c>
      <c r="G335">
        <v>390</v>
      </c>
      <c r="H335" s="4">
        <v>195</v>
      </c>
      <c r="I335" s="4">
        <v>195</v>
      </c>
      <c r="J335" t="s">
        <v>629</v>
      </c>
      <c r="K335" t="s">
        <v>53</v>
      </c>
      <c r="L335" s="4">
        <v>9.8892508156549788</v>
      </c>
      <c r="M335" s="1" t="s">
        <v>54</v>
      </c>
      <c r="N335" s="11">
        <f t="shared" si="5"/>
        <v>10</v>
      </c>
    </row>
    <row r="336" spans="1:14" ht="16" x14ac:dyDescent="0.2">
      <c r="A336" s="3">
        <v>44127.390095931813</v>
      </c>
      <c r="B336" s="1" t="s">
        <v>668</v>
      </c>
      <c r="C336" t="s">
        <v>193</v>
      </c>
      <c r="D336">
        <v>12</v>
      </c>
      <c r="E336">
        <v>348</v>
      </c>
      <c r="F336">
        <v>87</v>
      </c>
      <c r="G336">
        <v>4176</v>
      </c>
      <c r="H336" s="4">
        <v>1044</v>
      </c>
      <c r="I336" s="4">
        <v>3132</v>
      </c>
      <c r="J336" t="s">
        <v>85</v>
      </c>
      <c r="K336" t="s">
        <v>86</v>
      </c>
      <c r="L336" s="4">
        <v>11.631646244583138</v>
      </c>
      <c r="M336" s="1" t="s">
        <v>54</v>
      </c>
      <c r="N336" s="11">
        <f t="shared" si="5"/>
        <v>10</v>
      </c>
    </row>
    <row r="337" spans="1:14" ht="16" x14ac:dyDescent="0.2">
      <c r="A337" s="3">
        <v>44123.96624874312</v>
      </c>
      <c r="B337" s="1" t="s">
        <v>669</v>
      </c>
      <c r="C337" t="s">
        <v>538</v>
      </c>
      <c r="D337">
        <v>11</v>
      </c>
      <c r="E337">
        <v>261</v>
      </c>
      <c r="F337">
        <v>87</v>
      </c>
      <c r="G337">
        <v>2871</v>
      </c>
      <c r="H337" s="4">
        <v>957</v>
      </c>
      <c r="I337" s="4">
        <v>1914</v>
      </c>
      <c r="J337" t="s">
        <v>236</v>
      </c>
      <c r="K337" t="s">
        <v>53</v>
      </c>
      <c r="L337" s="4">
        <v>9.3014286057233697</v>
      </c>
      <c r="M337" s="1" t="s">
        <v>34</v>
      </c>
      <c r="N337" s="11">
        <f t="shared" si="5"/>
        <v>1</v>
      </c>
    </row>
    <row r="338" spans="1:14" ht="16" x14ac:dyDescent="0.2">
      <c r="A338" s="3">
        <v>44696.928100758021</v>
      </c>
      <c r="B338" s="1" t="s">
        <v>670</v>
      </c>
      <c r="C338" t="s">
        <v>188</v>
      </c>
      <c r="D338">
        <v>14</v>
      </c>
      <c r="E338">
        <v>368</v>
      </c>
      <c r="F338">
        <v>92</v>
      </c>
      <c r="G338">
        <v>5152</v>
      </c>
      <c r="H338" s="4">
        <v>1288</v>
      </c>
      <c r="I338" s="4">
        <v>3864</v>
      </c>
      <c r="J338" t="s">
        <v>102</v>
      </c>
      <c r="K338" t="s">
        <v>49</v>
      </c>
      <c r="L338" s="4">
        <v>15.12637675023732</v>
      </c>
      <c r="M338" s="1" t="s">
        <v>38</v>
      </c>
      <c r="N338" s="11">
        <f t="shared" si="5"/>
        <v>5</v>
      </c>
    </row>
    <row r="339" spans="1:14" ht="16" x14ac:dyDescent="0.2">
      <c r="A339" s="3">
        <v>43930.921392526601</v>
      </c>
      <c r="B339" s="1" t="s">
        <v>671</v>
      </c>
      <c r="C339" t="s">
        <v>266</v>
      </c>
      <c r="D339">
        <v>11</v>
      </c>
      <c r="E339">
        <v>50</v>
      </c>
      <c r="F339">
        <v>25</v>
      </c>
      <c r="G339">
        <v>550</v>
      </c>
      <c r="H339" s="4">
        <v>275</v>
      </c>
      <c r="I339" s="4">
        <v>275</v>
      </c>
      <c r="J339" t="s">
        <v>426</v>
      </c>
      <c r="K339" t="s">
        <v>53</v>
      </c>
      <c r="L339" s="4">
        <v>13.923194761258239</v>
      </c>
      <c r="M339" s="1" t="s">
        <v>34</v>
      </c>
      <c r="N339" s="11">
        <f t="shared" si="5"/>
        <v>1</v>
      </c>
    </row>
    <row r="340" spans="1:14" ht="16" x14ac:dyDescent="0.2">
      <c r="A340" s="3">
        <v>44295.65431242183</v>
      </c>
      <c r="B340" s="1" t="s">
        <v>672</v>
      </c>
      <c r="C340" t="s">
        <v>31</v>
      </c>
      <c r="D340">
        <v>4</v>
      </c>
      <c r="E340">
        <v>280</v>
      </c>
      <c r="F340">
        <v>70</v>
      </c>
      <c r="G340">
        <v>1120</v>
      </c>
      <c r="H340" s="4">
        <v>280</v>
      </c>
      <c r="I340" s="4">
        <v>840</v>
      </c>
      <c r="J340" t="s">
        <v>673</v>
      </c>
      <c r="K340" t="s">
        <v>53</v>
      </c>
      <c r="L340" s="4">
        <v>14.460020532456038</v>
      </c>
      <c r="M340" s="1" t="s">
        <v>38</v>
      </c>
      <c r="N340" s="11">
        <f t="shared" si="5"/>
        <v>5</v>
      </c>
    </row>
    <row r="341" spans="1:14" ht="16" x14ac:dyDescent="0.2">
      <c r="A341" s="3">
        <v>44354.706197549378</v>
      </c>
      <c r="B341" s="1" t="s">
        <v>674</v>
      </c>
      <c r="C341" t="s">
        <v>391</v>
      </c>
      <c r="D341">
        <v>10</v>
      </c>
      <c r="E341">
        <v>72</v>
      </c>
      <c r="F341">
        <v>36</v>
      </c>
      <c r="G341">
        <v>720</v>
      </c>
      <c r="H341" s="4">
        <v>360</v>
      </c>
      <c r="I341" s="4">
        <v>360</v>
      </c>
      <c r="J341" t="s">
        <v>535</v>
      </c>
      <c r="K341" t="s">
        <v>33</v>
      </c>
      <c r="L341" s="4">
        <v>14.554851510602212</v>
      </c>
      <c r="M341" s="1" t="s">
        <v>38</v>
      </c>
      <c r="N341" s="11">
        <f t="shared" si="5"/>
        <v>5</v>
      </c>
    </row>
    <row r="342" spans="1:14" ht="16" x14ac:dyDescent="0.2">
      <c r="A342" s="3">
        <v>44217.514604001241</v>
      </c>
      <c r="B342" s="1" t="s">
        <v>675</v>
      </c>
      <c r="C342" t="s">
        <v>209</v>
      </c>
      <c r="D342">
        <v>14</v>
      </c>
      <c r="E342">
        <v>150</v>
      </c>
      <c r="F342">
        <v>75</v>
      </c>
      <c r="G342">
        <v>2100</v>
      </c>
      <c r="H342" s="4">
        <v>1050</v>
      </c>
      <c r="I342" s="4">
        <v>1050</v>
      </c>
      <c r="J342" t="s">
        <v>307</v>
      </c>
      <c r="K342" t="s">
        <v>53</v>
      </c>
      <c r="L342" s="4">
        <v>7.0114620475168028</v>
      </c>
      <c r="M342" s="1" t="s">
        <v>38</v>
      </c>
      <c r="N342" s="11">
        <f t="shared" si="5"/>
        <v>5</v>
      </c>
    </row>
    <row r="343" spans="1:14" ht="16" x14ac:dyDescent="0.2">
      <c r="A343" s="3">
        <v>43960.742800507258</v>
      </c>
      <c r="B343" s="1" t="s">
        <v>676</v>
      </c>
      <c r="C343" t="s">
        <v>154</v>
      </c>
      <c r="D343">
        <v>18</v>
      </c>
      <c r="E343">
        <v>308</v>
      </c>
      <c r="F343">
        <v>77</v>
      </c>
      <c r="G343">
        <v>5544</v>
      </c>
      <c r="H343" s="4">
        <v>1386</v>
      </c>
      <c r="I343" s="4">
        <v>4158</v>
      </c>
      <c r="J343" t="s">
        <v>111</v>
      </c>
      <c r="K343" t="s">
        <v>53</v>
      </c>
      <c r="L343" s="4">
        <v>13.407340878370247</v>
      </c>
      <c r="M343" s="1" t="s">
        <v>38</v>
      </c>
      <c r="N343" s="11">
        <f t="shared" si="5"/>
        <v>5</v>
      </c>
    </row>
    <row r="344" spans="1:14" ht="16" x14ac:dyDescent="0.2">
      <c r="A344" s="3">
        <v>44953.848787301147</v>
      </c>
      <c r="B344" s="1" t="s">
        <v>677</v>
      </c>
      <c r="C344" t="s">
        <v>410</v>
      </c>
      <c r="D344">
        <v>20</v>
      </c>
      <c r="E344">
        <v>84</v>
      </c>
      <c r="F344">
        <v>21</v>
      </c>
      <c r="G344">
        <v>1680</v>
      </c>
      <c r="H344" s="4">
        <v>420</v>
      </c>
      <c r="I344" s="4">
        <v>1260</v>
      </c>
      <c r="J344" t="s">
        <v>678</v>
      </c>
      <c r="K344" t="s">
        <v>86</v>
      </c>
      <c r="L344" s="4">
        <v>12.460490918487697</v>
      </c>
      <c r="M344" s="1" t="s">
        <v>34</v>
      </c>
      <c r="N344" s="11">
        <f t="shared" si="5"/>
        <v>1</v>
      </c>
    </row>
    <row r="345" spans="1:14" ht="16" x14ac:dyDescent="0.2">
      <c r="A345" s="3">
        <v>44969.744702812626</v>
      </c>
      <c r="B345" s="1" t="s">
        <v>679</v>
      </c>
      <c r="C345" t="s">
        <v>145</v>
      </c>
      <c r="D345">
        <v>5</v>
      </c>
      <c r="E345">
        <v>207</v>
      </c>
      <c r="F345">
        <v>69</v>
      </c>
      <c r="G345">
        <v>1035</v>
      </c>
      <c r="H345" s="4">
        <v>345</v>
      </c>
      <c r="I345" s="4">
        <v>690</v>
      </c>
      <c r="J345" t="s">
        <v>102</v>
      </c>
      <c r="K345" t="s">
        <v>49</v>
      </c>
      <c r="L345" s="4">
        <v>15.12637675023732</v>
      </c>
      <c r="M345" s="1" t="s">
        <v>38</v>
      </c>
      <c r="N345" s="11">
        <f t="shared" si="5"/>
        <v>5</v>
      </c>
    </row>
    <row r="346" spans="1:14" ht="16" x14ac:dyDescent="0.2">
      <c r="A346" s="3">
        <v>44639.442941191868</v>
      </c>
      <c r="B346" s="1" t="s">
        <v>680</v>
      </c>
      <c r="C346" t="s">
        <v>31</v>
      </c>
      <c r="D346">
        <v>6</v>
      </c>
      <c r="E346">
        <v>280</v>
      </c>
      <c r="F346">
        <v>70</v>
      </c>
      <c r="G346">
        <v>1680</v>
      </c>
      <c r="H346" s="4">
        <v>420</v>
      </c>
      <c r="I346" s="4">
        <v>1260</v>
      </c>
      <c r="J346" t="s">
        <v>681</v>
      </c>
      <c r="K346" t="s">
        <v>86</v>
      </c>
      <c r="L346" s="4">
        <v>8.1628930629234038</v>
      </c>
      <c r="M346" s="1" t="s">
        <v>34</v>
      </c>
      <c r="N346" s="11">
        <f t="shared" si="5"/>
        <v>1</v>
      </c>
    </row>
    <row r="347" spans="1:14" ht="16" x14ac:dyDescent="0.2">
      <c r="A347" s="3">
        <v>44420.639364021954</v>
      </c>
      <c r="B347" s="1" t="s">
        <v>682</v>
      </c>
      <c r="C347" t="s">
        <v>136</v>
      </c>
      <c r="D347">
        <v>14</v>
      </c>
      <c r="E347">
        <v>154</v>
      </c>
      <c r="F347">
        <v>77</v>
      </c>
      <c r="G347">
        <v>2156</v>
      </c>
      <c r="H347" s="4">
        <v>1078</v>
      </c>
      <c r="I347" s="4">
        <v>1078</v>
      </c>
      <c r="J347" t="s">
        <v>455</v>
      </c>
      <c r="K347" t="s">
        <v>53</v>
      </c>
      <c r="L347" s="4">
        <v>13.574227261506472</v>
      </c>
      <c r="M347" s="1" t="s">
        <v>34</v>
      </c>
      <c r="N347" s="11">
        <f t="shared" si="5"/>
        <v>1</v>
      </c>
    </row>
    <row r="348" spans="1:14" ht="16" x14ac:dyDescent="0.2">
      <c r="A348" s="3">
        <v>44907.029185103413</v>
      </c>
      <c r="B348" s="1" t="s">
        <v>683</v>
      </c>
      <c r="C348" t="s">
        <v>72</v>
      </c>
      <c r="D348">
        <v>14</v>
      </c>
      <c r="E348">
        <v>352</v>
      </c>
      <c r="F348">
        <v>88</v>
      </c>
      <c r="G348">
        <v>4928</v>
      </c>
      <c r="H348" s="4">
        <v>1232</v>
      </c>
      <c r="I348" s="4">
        <v>3696</v>
      </c>
      <c r="J348" t="s">
        <v>638</v>
      </c>
      <c r="K348" t="s">
        <v>33</v>
      </c>
      <c r="L348" s="4">
        <v>12.131375018945562</v>
      </c>
      <c r="M348" s="1" t="s">
        <v>34</v>
      </c>
      <c r="N348" s="11">
        <f t="shared" si="5"/>
        <v>1</v>
      </c>
    </row>
    <row r="349" spans="1:14" ht="16" x14ac:dyDescent="0.2">
      <c r="A349" s="3">
        <v>43303.006221330805</v>
      </c>
      <c r="B349" s="1" t="s">
        <v>684</v>
      </c>
      <c r="C349" t="s">
        <v>523</v>
      </c>
      <c r="D349">
        <v>11</v>
      </c>
      <c r="E349">
        <v>92</v>
      </c>
      <c r="F349">
        <v>46</v>
      </c>
      <c r="G349">
        <v>1012</v>
      </c>
      <c r="H349" s="4">
        <v>506</v>
      </c>
      <c r="I349" s="4">
        <v>506</v>
      </c>
      <c r="J349" t="s">
        <v>183</v>
      </c>
      <c r="K349" t="s">
        <v>58</v>
      </c>
      <c r="L349" s="4">
        <v>11.939773463335372</v>
      </c>
      <c r="M349" s="1" t="s">
        <v>38</v>
      </c>
      <c r="N349" s="11">
        <f t="shared" si="5"/>
        <v>5</v>
      </c>
    </row>
    <row r="350" spans="1:14" ht="16" x14ac:dyDescent="0.2">
      <c r="A350" s="3">
        <v>44605.527023608483</v>
      </c>
      <c r="B350" s="1" t="s">
        <v>685</v>
      </c>
      <c r="C350" t="s">
        <v>201</v>
      </c>
      <c r="D350">
        <v>1</v>
      </c>
      <c r="E350">
        <v>30</v>
      </c>
      <c r="F350">
        <v>15</v>
      </c>
      <c r="G350">
        <v>30</v>
      </c>
      <c r="H350" s="4">
        <v>15</v>
      </c>
      <c r="I350" s="4">
        <v>15</v>
      </c>
      <c r="J350" t="s">
        <v>686</v>
      </c>
      <c r="K350" t="s">
        <v>86</v>
      </c>
      <c r="L350" s="4">
        <v>8.1595626482464514</v>
      </c>
      <c r="M350" s="1" t="s">
        <v>38</v>
      </c>
      <c r="N350" s="11">
        <f t="shared" si="5"/>
        <v>5</v>
      </c>
    </row>
    <row r="351" spans="1:14" ht="16" x14ac:dyDescent="0.2">
      <c r="A351" s="3">
        <v>44300.669240080453</v>
      </c>
      <c r="B351" s="1" t="s">
        <v>687</v>
      </c>
      <c r="C351" t="s">
        <v>283</v>
      </c>
      <c r="D351">
        <v>15</v>
      </c>
      <c r="E351">
        <v>144</v>
      </c>
      <c r="F351">
        <v>36</v>
      </c>
      <c r="G351">
        <v>2160</v>
      </c>
      <c r="H351" s="4">
        <v>540</v>
      </c>
      <c r="I351" s="4">
        <v>1620</v>
      </c>
      <c r="J351" t="s">
        <v>232</v>
      </c>
      <c r="K351" t="s">
        <v>86</v>
      </c>
      <c r="L351" s="4">
        <v>11.346510807401776</v>
      </c>
      <c r="M351" s="1" t="s">
        <v>38</v>
      </c>
      <c r="N351" s="11">
        <f t="shared" si="5"/>
        <v>5</v>
      </c>
    </row>
    <row r="352" spans="1:14" ht="16" x14ac:dyDescent="0.2">
      <c r="A352" s="3">
        <v>44543.744902793907</v>
      </c>
      <c r="B352" s="1" t="s">
        <v>688</v>
      </c>
      <c r="C352" t="s">
        <v>115</v>
      </c>
      <c r="D352">
        <v>7</v>
      </c>
      <c r="E352">
        <v>81</v>
      </c>
      <c r="F352">
        <v>27</v>
      </c>
      <c r="G352">
        <v>567</v>
      </c>
      <c r="H352" s="4">
        <v>189</v>
      </c>
      <c r="I352" s="4">
        <v>378</v>
      </c>
      <c r="J352" t="s">
        <v>689</v>
      </c>
      <c r="K352" t="s">
        <v>58</v>
      </c>
      <c r="L352" s="4">
        <v>13.486912834801583</v>
      </c>
      <c r="M352" s="1" t="s">
        <v>34</v>
      </c>
      <c r="N352" s="11">
        <f t="shared" si="5"/>
        <v>1</v>
      </c>
    </row>
    <row r="353" spans="1:14" ht="16" x14ac:dyDescent="0.2">
      <c r="A353" s="3">
        <v>44413.225104408069</v>
      </c>
      <c r="B353" s="1" t="s">
        <v>690</v>
      </c>
      <c r="C353" t="s">
        <v>113</v>
      </c>
      <c r="D353">
        <v>19</v>
      </c>
      <c r="E353">
        <v>66</v>
      </c>
      <c r="F353">
        <v>33</v>
      </c>
      <c r="G353">
        <v>1254</v>
      </c>
      <c r="H353" s="4">
        <v>627</v>
      </c>
      <c r="I353" s="4">
        <v>627</v>
      </c>
      <c r="J353" t="s">
        <v>691</v>
      </c>
      <c r="K353" t="s">
        <v>33</v>
      </c>
      <c r="L353" s="4">
        <v>10.248947386022252</v>
      </c>
      <c r="M353" s="1" t="s">
        <v>38</v>
      </c>
      <c r="N353" s="11">
        <f t="shared" si="5"/>
        <v>5</v>
      </c>
    </row>
    <row r="354" spans="1:14" ht="16" x14ac:dyDescent="0.2">
      <c r="A354" s="3">
        <v>43640.25171480899</v>
      </c>
      <c r="B354" s="1" t="s">
        <v>692</v>
      </c>
      <c r="C354" t="s">
        <v>209</v>
      </c>
      <c r="D354">
        <v>6</v>
      </c>
      <c r="E354">
        <v>150</v>
      </c>
      <c r="F354">
        <v>75</v>
      </c>
      <c r="G354">
        <v>900</v>
      </c>
      <c r="H354" s="4">
        <v>450</v>
      </c>
      <c r="I354" s="4">
        <v>450</v>
      </c>
      <c r="J354" t="s">
        <v>52</v>
      </c>
      <c r="K354" t="s">
        <v>53</v>
      </c>
      <c r="L354" s="4">
        <v>12.169266722245851</v>
      </c>
      <c r="M354" s="1" t="s">
        <v>38</v>
      </c>
      <c r="N354" s="11">
        <f t="shared" si="5"/>
        <v>5</v>
      </c>
    </row>
    <row r="355" spans="1:14" ht="16" x14ac:dyDescent="0.2">
      <c r="A355" s="3">
        <v>43886.999510308851</v>
      </c>
      <c r="B355" s="1" t="s">
        <v>693</v>
      </c>
      <c r="C355" t="s">
        <v>365</v>
      </c>
      <c r="D355">
        <v>18</v>
      </c>
      <c r="E355">
        <v>255</v>
      </c>
      <c r="F355">
        <v>85</v>
      </c>
      <c r="G355">
        <v>4590</v>
      </c>
      <c r="H355" s="4">
        <v>1530</v>
      </c>
      <c r="I355" s="4">
        <v>3060</v>
      </c>
      <c r="J355" t="s">
        <v>408</v>
      </c>
      <c r="K355" t="s">
        <v>42</v>
      </c>
      <c r="L355" s="4">
        <v>9.1877733607656964</v>
      </c>
      <c r="M355" s="1" t="s">
        <v>54</v>
      </c>
      <c r="N355" s="11">
        <f t="shared" si="5"/>
        <v>10</v>
      </c>
    </row>
    <row r="356" spans="1:14" ht="16" x14ac:dyDescent="0.2">
      <c r="A356" s="3">
        <v>44389.290057945102</v>
      </c>
      <c r="B356" s="1" t="s">
        <v>694</v>
      </c>
      <c r="C356" t="s">
        <v>84</v>
      </c>
      <c r="D356">
        <v>5</v>
      </c>
      <c r="E356">
        <v>126</v>
      </c>
      <c r="F356">
        <v>42</v>
      </c>
      <c r="G356">
        <v>630</v>
      </c>
      <c r="H356" s="4">
        <v>210</v>
      </c>
      <c r="I356" s="4">
        <v>420</v>
      </c>
      <c r="J356" t="s">
        <v>48</v>
      </c>
      <c r="K356" t="s">
        <v>49</v>
      </c>
      <c r="L356" s="4">
        <v>15.24190997853951</v>
      </c>
      <c r="M356" s="1" t="s">
        <v>54</v>
      </c>
      <c r="N356" s="11">
        <f t="shared" si="5"/>
        <v>10</v>
      </c>
    </row>
    <row r="357" spans="1:14" ht="16" x14ac:dyDescent="0.2">
      <c r="A357" s="3">
        <v>43987.014923999974</v>
      </c>
      <c r="B357" s="1" t="s">
        <v>695</v>
      </c>
      <c r="C357" t="s">
        <v>503</v>
      </c>
      <c r="D357">
        <v>6</v>
      </c>
      <c r="E357">
        <v>50</v>
      </c>
      <c r="F357">
        <v>25</v>
      </c>
      <c r="G357">
        <v>300</v>
      </c>
      <c r="H357" s="4">
        <v>150</v>
      </c>
      <c r="I357" s="4">
        <v>150</v>
      </c>
      <c r="J357" t="s">
        <v>331</v>
      </c>
      <c r="K357" t="s">
        <v>58</v>
      </c>
      <c r="L357" s="4">
        <v>15.18789248529443</v>
      </c>
      <c r="M357" s="1" t="s">
        <v>38</v>
      </c>
      <c r="N357" s="11">
        <f t="shared" si="5"/>
        <v>5</v>
      </c>
    </row>
    <row r="358" spans="1:14" ht="16" x14ac:dyDescent="0.2">
      <c r="A358" s="3">
        <v>43864.631941688516</v>
      </c>
      <c r="B358" s="1" t="s">
        <v>696</v>
      </c>
      <c r="C358" t="s">
        <v>266</v>
      </c>
      <c r="D358">
        <v>20</v>
      </c>
      <c r="E358">
        <v>50</v>
      </c>
      <c r="F358">
        <v>25</v>
      </c>
      <c r="G358">
        <v>1000</v>
      </c>
      <c r="H358" s="4">
        <v>500</v>
      </c>
      <c r="I358" s="4">
        <v>500</v>
      </c>
      <c r="J358" t="s">
        <v>611</v>
      </c>
      <c r="K358" t="s">
        <v>58</v>
      </c>
      <c r="L358" s="4">
        <v>7.8974070387684714</v>
      </c>
      <c r="M358" s="1" t="s">
        <v>54</v>
      </c>
      <c r="N358" s="11">
        <f t="shared" si="5"/>
        <v>10</v>
      </c>
    </row>
    <row r="359" spans="1:14" ht="16" x14ac:dyDescent="0.2">
      <c r="A359" s="3">
        <v>44117.995441272054</v>
      </c>
      <c r="B359" s="1" t="s">
        <v>697</v>
      </c>
      <c r="C359" t="s">
        <v>523</v>
      </c>
      <c r="D359">
        <v>3</v>
      </c>
      <c r="E359">
        <v>92</v>
      </c>
      <c r="F359">
        <v>46</v>
      </c>
      <c r="G359">
        <v>276</v>
      </c>
      <c r="H359" s="4">
        <v>138</v>
      </c>
      <c r="I359" s="4">
        <v>138</v>
      </c>
      <c r="J359" t="s">
        <v>626</v>
      </c>
      <c r="K359" t="s">
        <v>58</v>
      </c>
      <c r="L359" s="4">
        <v>13.259563298324382</v>
      </c>
      <c r="M359" s="1" t="s">
        <v>38</v>
      </c>
      <c r="N359" s="11">
        <f t="shared" si="5"/>
        <v>5</v>
      </c>
    </row>
    <row r="360" spans="1:14" ht="16" x14ac:dyDescent="0.2">
      <c r="A360" s="3">
        <v>44174.310507099333</v>
      </c>
      <c r="B360" s="1" t="s">
        <v>698</v>
      </c>
      <c r="C360" t="s">
        <v>125</v>
      </c>
      <c r="D360">
        <v>12</v>
      </c>
      <c r="E360">
        <v>176</v>
      </c>
      <c r="F360">
        <v>88</v>
      </c>
      <c r="G360">
        <v>2112</v>
      </c>
      <c r="H360" s="4">
        <v>1056</v>
      </c>
      <c r="I360" s="4">
        <v>1056</v>
      </c>
      <c r="J360" t="s">
        <v>416</v>
      </c>
      <c r="K360" t="s">
        <v>58</v>
      </c>
      <c r="L360" s="4">
        <v>12.399050786131125</v>
      </c>
      <c r="M360" s="1" t="s">
        <v>54</v>
      </c>
      <c r="N360" s="11">
        <f t="shared" si="5"/>
        <v>10</v>
      </c>
    </row>
    <row r="361" spans="1:14" ht="16" x14ac:dyDescent="0.2">
      <c r="A361" s="3">
        <v>43691.260622065754</v>
      </c>
      <c r="B361" s="1" t="s">
        <v>699</v>
      </c>
      <c r="C361" t="s">
        <v>503</v>
      </c>
      <c r="D361">
        <v>6</v>
      </c>
      <c r="E361">
        <v>50</v>
      </c>
      <c r="F361">
        <v>25</v>
      </c>
      <c r="G361">
        <v>300</v>
      </c>
      <c r="H361" s="4">
        <v>150</v>
      </c>
      <c r="I361" s="4">
        <v>150</v>
      </c>
      <c r="J361" t="s">
        <v>305</v>
      </c>
      <c r="K361" t="s">
        <v>86</v>
      </c>
      <c r="L361" s="4">
        <v>10.317615395419679</v>
      </c>
      <c r="M361" s="1" t="s">
        <v>38</v>
      </c>
      <c r="N361" s="11">
        <f t="shared" si="5"/>
        <v>5</v>
      </c>
    </row>
    <row r="362" spans="1:14" ht="16" x14ac:dyDescent="0.2">
      <c r="A362" s="3">
        <v>44093.491121519808</v>
      </c>
      <c r="B362" s="1" t="s">
        <v>700</v>
      </c>
      <c r="C362" t="s">
        <v>163</v>
      </c>
      <c r="D362">
        <v>14</v>
      </c>
      <c r="E362">
        <v>108</v>
      </c>
      <c r="F362">
        <v>36</v>
      </c>
      <c r="G362">
        <v>1512</v>
      </c>
      <c r="H362" s="4">
        <v>504</v>
      </c>
      <c r="I362" s="4">
        <v>1008</v>
      </c>
      <c r="J362" t="s">
        <v>701</v>
      </c>
      <c r="K362" t="s">
        <v>42</v>
      </c>
      <c r="L362" s="4">
        <v>10.434860153112215</v>
      </c>
      <c r="M362" s="1" t="s">
        <v>34</v>
      </c>
      <c r="N362" s="11">
        <f t="shared" si="5"/>
        <v>1</v>
      </c>
    </row>
    <row r="363" spans="1:14" ht="16" x14ac:dyDescent="0.2">
      <c r="A363" s="3">
        <v>43609.72272085258</v>
      </c>
      <c r="B363" s="1" t="s">
        <v>702</v>
      </c>
      <c r="C363" t="s">
        <v>297</v>
      </c>
      <c r="D363">
        <v>19</v>
      </c>
      <c r="E363">
        <v>108</v>
      </c>
      <c r="F363">
        <v>36</v>
      </c>
      <c r="G363">
        <v>2052</v>
      </c>
      <c r="H363" s="4">
        <v>684</v>
      </c>
      <c r="I363" s="4">
        <v>1368</v>
      </c>
      <c r="J363" t="s">
        <v>488</v>
      </c>
      <c r="K363" t="s">
        <v>64</v>
      </c>
      <c r="L363" s="4">
        <v>9.458617986208397</v>
      </c>
      <c r="M363" s="1" t="s">
        <v>38</v>
      </c>
      <c r="N363" s="11">
        <f t="shared" si="5"/>
        <v>5</v>
      </c>
    </row>
    <row r="364" spans="1:14" ht="16" x14ac:dyDescent="0.2">
      <c r="A364" s="3">
        <v>44735.847558764384</v>
      </c>
      <c r="B364" s="1" t="s">
        <v>703</v>
      </c>
      <c r="C364" t="s">
        <v>266</v>
      </c>
      <c r="D364">
        <v>11</v>
      </c>
      <c r="E364">
        <v>50</v>
      </c>
      <c r="F364">
        <v>25</v>
      </c>
      <c r="G364">
        <v>550</v>
      </c>
      <c r="H364" s="4">
        <v>275</v>
      </c>
      <c r="I364" s="4">
        <v>275</v>
      </c>
      <c r="J364" t="s">
        <v>704</v>
      </c>
      <c r="K364" t="s">
        <v>86</v>
      </c>
      <c r="L364" s="4">
        <v>12.699042739101285</v>
      </c>
      <c r="M364" s="1" t="s">
        <v>38</v>
      </c>
      <c r="N364" s="11">
        <f t="shared" si="5"/>
        <v>5</v>
      </c>
    </row>
    <row r="365" spans="1:14" ht="16" x14ac:dyDescent="0.2">
      <c r="A365" s="3">
        <v>43431.696471753072</v>
      </c>
      <c r="B365" s="1" t="s">
        <v>705</v>
      </c>
      <c r="C365" t="s">
        <v>44</v>
      </c>
      <c r="D365">
        <v>11</v>
      </c>
      <c r="E365">
        <v>114</v>
      </c>
      <c r="F365">
        <v>57</v>
      </c>
      <c r="G365">
        <v>1254</v>
      </c>
      <c r="H365" s="4">
        <v>627</v>
      </c>
      <c r="I365" s="4">
        <v>627</v>
      </c>
      <c r="J365" t="s">
        <v>236</v>
      </c>
      <c r="K365" t="s">
        <v>53</v>
      </c>
      <c r="L365" s="4">
        <v>9.3014286057233697</v>
      </c>
      <c r="M365" s="1" t="s">
        <v>54</v>
      </c>
      <c r="N365" s="11">
        <f t="shared" si="5"/>
        <v>10</v>
      </c>
    </row>
    <row r="366" spans="1:14" ht="16" x14ac:dyDescent="0.2">
      <c r="A366" s="3">
        <v>44627.533648920944</v>
      </c>
      <c r="B366" s="1" t="s">
        <v>706</v>
      </c>
      <c r="C366" t="s">
        <v>386</v>
      </c>
      <c r="D366">
        <v>5</v>
      </c>
      <c r="E366">
        <v>110</v>
      </c>
      <c r="F366">
        <v>55</v>
      </c>
      <c r="G366">
        <v>550</v>
      </c>
      <c r="H366" s="4">
        <v>275</v>
      </c>
      <c r="I366" s="4">
        <v>275</v>
      </c>
      <c r="J366" t="s">
        <v>707</v>
      </c>
      <c r="K366" t="s">
        <v>49</v>
      </c>
      <c r="L366" s="4">
        <v>11.779256317174871</v>
      </c>
      <c r="M366" s="1" t="s">
        <v>38</v>
      </c>
      <c r="N366" s="11">
        <f t="shared" si="5"/>
        <v>5</v>
      </c>
    </row>
    <row r="367" spans="1:14" ht="16" x14ac:dyDescent="0.2">
      <c r="A367" s="3">
        <v>43726.059727578926</v>
      </c>
      <c r="B367" s="1" t="s">
        <v>708</v>
      </c>
      <c r="C367" t="s">
        <v>113</v>
      </c>
      <c r="D367">
        <v>4</v>
      </c>
      <c r="E367">
        <v>66</v>
      </c>
      <c r="F367">
        <v>33</v>
      </c>
      <c r="G367">
        <v>264</v>
      </c>
      <c r="H367" s="4">
        <v>132</v>
      </c>
      <c r="I367" s="4">
        <v>132</v>
      </c>
      <c r="J367" t="s">
        <v>709</v>
      </c>
      <c r="K367" t="s">
        <v>86</v>
      </c>
      <c r="L367" s="4">
        <v>12.658317415198635</v>
      </c>
      <c r="M367" s="1" t="s">
        <v>54</v>
      </c>
      <c r="N367" s="11">
        <f t="shared" si="5"/>
        <v>10</v>
      </c>
    </row>
    <row r="368" spans="1:14" ht="16" x14ac:dyDescent="0.2">
      <c r="A368" s="3">
        <v>43746.997967138959</v>
      </c>
      <c r="B368" s="1" t="s">
        <v>710</v>
      </c>
      <c r="C368" t="s">
        <v>370</v>
      </c>
      <c r="D368">
        <v>14</v>
      </c>
      <c r="E368">
        <v>144</v>
      </c>
      <c r="F368">
        <v>36</v>
      </c>
      <c r="G368">
        <v>2016</v>
      </c>
      <c r="H368" s="4">
        <v>504</v>
      </c>
      <c r="I368" s="4">
        <v>1512</v>
      </c>
      <c r="J368" t="s">
        <v>517</v>
      </c>
      <c r="K368" t="s">
        <v>86</v>
      </c>
      <c r="L368" s="4">
        <v>13.57003172959007</v>
      </c>
      <c r="M368" s="1" t="s">
        <v>54</v>
      </c>
      <c r="N368" s="11">
        <f t="shared" si="5"/>
        <v>10</v>
      </c>
    </row>
    <row r="369" spans="1:14" ht="16" x14ac:dyDescent="0.2">
      <c r="A369" s="3">
        <v>43727.930232186809</v>
      </c>
      <c r="B369" s="1" t="s">
        <v>711</v>
      </c>
      <c r="C369" t="s">
        <v>113</v>
      </c>
      <c r="D369">
        <v>8</v>
      </c>
      <c r="E369">
        <v>66</v>
      </c>
      <c r="F369">
        <v>33</v>
      </c>
      <c r="G369">
        <v>528</v>
      </c>
      <c r="H369" s="4">
        <v>264</v>
      </c>
      <c r="I369" s="4">
        <v>264</v>
      </c>
      <c r="J369" t="s">
        <v>521</v>
      </c>
      <c r="K369" t="s">
        <v>58</v>
      </c>
      <c r="L369" s="4">
        <v>8.8514729234790472</v>
      </c>
      <c r="M369" s="1" t="s">
        <v>54</v>
      </c>
      <c r="N369" s="11">
        <f t="shared" si="5"/>
        <v>10</v>
      </c>
    </row>
    <row r="370" spans="1:14" ht="16" x14ac:dyDescent="0.2">
      <c r="A370" s="3">
        <v>43999.618070645338</v>
      </c>
      <c r="B370" s="1" t="s">
        <v>712</v>
      </c>
      <c r="C370" t="s">
        <v>36</v>
      </c>
      <c r="D370">
        <v>13</v>
      </c>
      <c r="E370">
        <v>102</v>
      </c>
      <c r="F370">
        <v>51</v>
      </c>
      <c r="G370">
        <v>1326</v>
      </c>
      <c r="H370" s="4">
        <v>663</v>
      </c>
      <c r="I370" s="4">
        <v>663</v>
      </c>
      <c r="J370" t="s">
        <v>713</v>
      </c>
      <c r="K370" t="s">
        <v>42</v>
      </c>
      <c r="L370" s="4">
        <v>10.956589836772277</v>
      </c>
      <c r="M370" s="1" t="s">
        <v>54</v>
      </c>
      <c r="N370" s="11">
        <f t="shared" si="5"/>
        <v>10</v>
      </c>
    </row>
    <row r="371" spans="1:14" ht="16" x14ac:dyDescent="0.2">
      <c r="A371" s="3">
        <v>43831.856108421016</v>
      </c>
      <c r="B371" s="1" t="s">
        <v>714</v>
      </c>
      <c r="C371" t="s">
        <v>78</v>
      </c>
      <c r="D371">
        <v>4</v>
      </c>
      <c r="E371">
        <v>94</v>
      </c>
      <c r="F371">
        <v>47</v>
      </c>
      <c r="G371">
        <v>376</v>
      </c>
      <c r="H371" s="4">
        <v>188</v>
      </c>
      <c r="I371" s="4">
        <v>188</v>
      </c>
      <c r="J371" t="s">
        <v>691</v>
      </c>
      <c r="K371" t="s">
        <v>33</v>
      </c>
      <c r="L371" s="4">
        <v>10.248947386022252</v>
      </c>
      <c r="M371" s="1" t="s">
        <v>34</v>
      </c>
      <c r="N371" s="11">
        <f t="shared" si="5"/>
        <v>1</v>
      </c>
    </row>
    <row r="372" spans="1:14" ht="16" x14ac:dyDescent="0.2">
      <c r="A372" s="3">
        <v>42720.244292856463</v>
      </c>
      <c r="B372" s="1" t="s">
        <v>715</v>
      </c>
      <c r="C372" t="s">
        <v>266</v>
      </c>
      <c r="D372">
        <v>20</v>
      </c>
      <c r="E372">
        <v>50</v>
      </c>
      <c r="F372">
        <v>25</v>
      </c>
      <c r="G372">
        <v>1000</v>
      </c>
      <c r="H372" s="4">
        <v>500</v>
      </c>
      <c r="I372" s="4">
        <v>500</v>
      </c>
      <c r="J372" t="s">
        <v>716</v>
      </c>
      <c r="K372" t="s">
        <v>33</v>
      </c>
      <c r="L372" s="4">
        <v>10.411813357023924</v>
      </c>
      <c r="M372" s="1" t="s">
        <v>38</v>
      </c>
      <c r="N372" s="11">
        <f t="shared" si="5"/>
        <v>5</v>
      </c>
    </row>
    <row r="373" spans="1:14" ht="16" x14ac:dyDescent="0.2">
      <c r="A373" s="3">
        <v>44302.641362403163</v>
      </c>
      <c r="B373" s="1" t="s">
        <v>717</v>
      </c>
      <c r="C373" t="s">
        <v>201</v>
      </c>
      <c r="D373">
        <v>6</v>
      </c>
      <c r="E373">
        <v>30</v>
      </c>
      <c r="F373">
        <v>15</v>
      </c>
      <c r="G373">
        <v>180</v>
      </c>
      <c r="H373" s="4">
        <v>90</v>
      </c>
      <c r="I373" s="4">
        <v>90</v>
      </c>
      <c r="J373" t="s">
        <v>363</v>
      </c>
      <c r="K373" t="s">
        <v>64</v>
      </c>
      <c r="L373" s="4">
        <v>14.690198582365463</v>
      </c>
      <c r="M373" s="1" t="s">
        <v>38</v>
      </c>
      <c r="N373" s="11">
        <f t="shared" si="5"/>
        <v>5</v>
      </c>
    </row>
    <row r="374" spans="1:14" ht="16" x14ac:dyDescent="0.2">
      <c r="A374" s="3">
        <v>44692.376452960198</v>
      </c>
      <c r="B374" s="1" t="s">
        <v>718</v>
      </c>
      <c r="C374" t="s">
        <v>201</v>
      </c>
      <c r="D374">
        <v>14</v>
      </c>
      <c r="E374">
        <v>30</v>
      </c>
      <c r="F374">
        <v>15</v>
      </c>
      <c r="G374">
        <v>420</v>
      </c>
      <c r="H374" s="4">
        <v>210</v>
      </c>
      <c r="I374" s="4">
        <v>210</v>
      </c>
      <c r="J374" t="s">
        <v>401</v>
      </c>
      <c r="K374" t="s">
        <v>58</v>
      </c>
      <c r="L374" s="4">
        <v>11.394777319422785</v>
      </c>
      <c r="M374" s="1" t="s">
        <v>38</v>
      </c>
      <c r="N374" s="11">
        <f t="shared" si="5"/>
        <v>5</v>
      </c>
    </row>
    <row r="375" spans="1:14" ht="16" x14ac:dyDescent="0.2">
      <c r="A375" s="3">
        <v>44100.494571258263</v>
      </c>
      <c r="B375" s="1" t="s">
        <v>719</v>
      </c>
      <c r="C375" t="s">
        <v>151</v>
      </c>
      <c r="D375">
        <v>20</v>
      </c>
      <c r="E375">
        <v>153</v>
      </c>
      <c r="F375">
        <v>51</v>
      </c>
      <c r="G375">
        <v>3060</v>
      </c>
      <c r="H375" s="4">
        <v>1020</v>
      </c>
      <c r="I375" s="4">
        <v>2040</v>
      </c>
      <c r="J375" t="s">
        <v>720</v>
      </c>
      <c r="K375" t="s">
        <v>53</v>
      </c>
      <c r="L375" s="4">
        <v>13.106678263594747</v>
      </c>
      <c r="M375" s="1" t="s">
        <v>34</v>
      </c>
      <c r="N375" s="11">
        <f t="shared" si="5"/>
        <v>1</v>
      </c>
    </row>
    <row r="376" spans="1:14" ht="16" x14ac:dyDescent="0.2">
      <c r="A376" s="3">
        <v>42985.284136853821</v>
      </c>
      <c r="B376" s="1" t="s">
        <v>721</v>
      </c>
      <c r="C376" t="s">
        <v>340</v>
      </c>
      <c r="D376">
        <v>16</v>
      </c>
      <c r="E376">
        <v>180</v>
      </c>
      <c r="F376">
        <v>45</v>
      </c>
      <c r="G376">
        <v>2880</v>
      </c>
      <c r="H376" s="4">
        <v>720</v>
      </c>
      <c r="I376" s="4">
        <v>2160</v>
      </c>
      <c r="J376" t="s">
        <v>73</v>
      </c>
      <c r="K376" t="s">
        <v>58</v>
      </c>
      <c r="L376" s="4">
        <v>8.2871811249429097</v>
      </c>
      <c r="M376" s="1" t="s">
        <v>34</v>
      </c>
      <c r="N376" s="11">
        <f t="shared" si="5"/>
        <v>1</v>
      </c>
    </row>
    <row r="377" spans="1:14" ht="16" x14ac:dyDescent="0.2">
      <c r="A377" s="3">
        <v>43488.469706285272</v>
      </c>
      <c r="B377" s="1" t="s">
        <v>722</v>
      </c>
      <c r="C377" t="s">
        <v>425</v>
      </c>
      <c r="D377">
        <v>6</v>
      </c>
      <c r="E377">
        <v>352</v>
      </c>
      <c r="F377">
        <v>88</v>
      </c>
      <c r="G377">
        <v>2112</v>
      </c>
      <c r="H377" s="4">
        <v>528</v>
      </c>
      <c r="I377" s="4">
        <v>1584</v>
      </c>
      <c r="J377" t="s">
        <v>32</v>
      </c>
      <c r="K377" t="s">
        <v>33</v>
      </c>
      <c r="L377" s="4">
        <v>10.278063859084313</v>
      </c>
      <c r="M377" s="1" t="s">
        <v>38</v>
      </c>
      <c r="N377" s="11">
        <f t="shared" si="5"/>
        <v>5</v>
      </c>
    </row>
    <row r="378" spans="1:14" ht="16" x14ac:dyDescent="0.2">
      <c r="A378" s="3">
        <v>43943.910165325382</v>
      </c>
      <c r="B378" s="1" t="s">
        <v>723</v>
      </c>
      <c r="C378" t="s">
        <v>84</v>
      </c>
      <c r="D378">
        <v>14</v>
      </c>
      <c r="E378">
        <v>126</v>
      </c>
      <c r="F378">
        <v>42</v>
      </c>
      <c r="G378">
        <v>1764</v>
      </c>
      <c r="H378" s="4">
        <v>588</v>
      </c>
      <c r="I378" s="4">
        <v>1176</v>
      </c>
      <c r="J378" t="s">
        <v>490</v>
      </c>
      <c r="K378" t="s">
        <v>64</v>
      </c>
      <c r="L378" s="4">
        <v>11.249825090458803</v>
      </c>
      <c r="M378" s="1" t="s">
        <v>38</v>
      </c>
      <c r="N378" s="11">
        <f t="shared" si="5"/>
        <v>5</v>
      </c>
    </row>
    <row r="379" spans="1:14" ht="16" x14ac:dyDescent="0.2">
      <c r="A379" s="3">
        <v>44173.618636481886</v>
      </c>
      <c r="B379" s="1" t="s">
        <v>724</v>
      </c>
      <c r="C379" t="s">
        <v>320</v>
      </c>
      <c r="D379">
        <v>19</v>
      </c>
      <c r="E379">
        <v>280</v>
      </c>
      <c r="F379">
        <v>70</v>
      </c>
      <c r="G379">
        <v>5320</v>
      </c>
      <c r="H379" s="4">
        <v>1330</v>
      </c>
      <c r="I379" s="4">
        <v>3990</v>
      </c>
      <c r="J379" t="s">
        <v>660</v>
      </c>
      <c r="K379" t="s">
        <v>86</v>
      </c>
      <c r="L379" s="4">
        <v>10.163794912095831</v>
      </c>
      <c r="M379" s="1" t="s">
        <v>38</v>
      </c>
      <c r="N379" s="11">
        <f t="shared" si="5"/>
        <v>5</v>
      </c>
    </row>
    <row r="380" spans="1:14" ht="16" x14ac:dyDescent="0.2">
      <c r="A380" s="3">
        <v>44038.840804271946</v>
      </c>
      <c r="B380" s="1" t="s">
        <v>725</v>
      </c>
      <c r="C380" t="s">
        <v>365</v>
      </c>
      <c r="D380">
        <v>13</v>
      </c>
      <c r="E380">
        <v>255</v>
      </c>
      <c r="F380">
        <v>85</v>
      </c>
      <c r="G380">
        <v>3315</v>
      </c>
      <c r="H380" s="4">
        <v>1105</v>
      </c>
      <c r="I380" s="4">
        <v>2210</v>
      </c>
      <c r="J380" t="s">
        <v>453</v>
      </c>
      <c r="K380" t="s">
        <v>42</v>
      </c>
      <c r="L380" s="4">
        <v>13.104576594826185</v>
      </c>
      <c r="M380" s="1" t="s">
        <v>34</v>
      </c>
      <c r="N380" s="11">
        <f t="shared" si="5"/>
        <v>1</v>
      </c>
    </row>
    <row r="381" spans="1:14" ht="16" x14ac:dyDescent="0.2">
      <c r="A381" s="3">
        <v>43240.589649817666</v>
      </c>
      <c r="B381" s="1" t="s">
        <v>726</v>
      </c>
      <c r="C381" t="s">
        <v>178</v>
      </c>
      <c r="D381">
        <v>11</v>
      </c>
      <c r="E381">
        <v>189</v>
      </c>
      <c r="F381">
        <v>63</v>
      </c>
      <c r="G381">
        <v>2079</v>
      </c>
      <c r="H381" s="4">
        <v>693</v>
      </c>
      <c r="I381" s="4">
        <v>1386</v>
      </c>
      <c r="J381" t="s">
        <v>167</v>
      </c>
      <c r="K381" t="s">
        <v>86</v>
      </c>
      <c r="L381" s="4">
        <v>10.216282609482219</v>
      </c>
      <c r="M381" s="1" t="s">
        <v>38</v>
      </c>
      <c r="N381" s="11">
        <f t="shared" si="5"/>
        <v>5</v>
      </c>
    </row>
    <row r="382" spans="1:14" ht="16" x14ac:dyDescent="0.2">
      <c r="A382" s="3">
        <v>43764.000558811218</v>
      </c>
      <c r="B382" s="1" t="s">
        <v>727</v>
      </c>
      <c r="C382" t="s">
        <v>288</v>
      </c>
      <c r="D382">
        <v>19</v>
      </c>
      <c r="E382">
        <v>48</v>
      </c>
      <c r="F382">
        <v>24</v>
      </c>
      <c r="G382">
        <v>912</v>
      </c>
      <c r="H382" s="4">
        <v>456</v>
      </c>
      <c r="I382" s="4">
        <v>456</v>
      </c>
      <c r="J382" t="s">
        <v>268</v>
      </c>
      <c r="K382" t="s">
        <v>49</v>
      </c>
      <c r="L382" s="4">
        <v>11.756374828790458</v>
      </c>
      <c r="M382" s="1" t="s">
        <v>38</v>
      </c>
      <c r="N382" s="11">
        <f t="shared" si="5"/>
        <v>5</v>
      </c>
    </row>
    <row r="383" spans="1:14" ht="16" x14ac:dyDescent="0.2">
      <c r="A383" s="3">
        <v>43174.728085263283</v>
      </c>
      <c r="B383" s="1" t="s">
        <v>728</v>
      </c>
      <c r="C383" t="s">
        <v>399</v>
      </c>
      <c r="D383">
        <v>8</v>
      </c>
      <c r="E383">
        <v>160</v>
      </c>
      <c r="F383">
        <v>80</v>
      </c>
      <c r="G383">
        <v>1280</v>
      </c>
      <c r="H383" s="4">
        <v>640</v>
      </c>
      <c r="I383" s="4">
        <v>640</v>
      </c>
      <c r="J383" t="s">
        <v>729</v>
      </c>
      <c r="K383" t="s">
        <v>64</v>
      </c>
      <c r="L383" s="4">
        <v>11.443503623244197</v>
      </c>
      <c r="M383" s="1" t="s">
        <v>38</v>
      </c>
      <c r="N383" s="11">
        <f t="shared" si="5"/>
        <v>5</v>
      </c>
    </row>
    <row r="384" spans="1:14" ht="16" x14ac:dyDescent="0.2">
      <c r="A384" s="3">
        <v>44201.005938374183</v>
      </c>
      <c r="B384" s="1" t="s">
        <v>730</v>
      </c>
      <c r="C384" t="s">
        <v>133</v>
      </c>
      <c r="D384">
        <v>10</v>
      </c>
      <c r="E384">
        <v>189</v>
      </c>
      <c r="F384">
        <v>63</v>
      </c>
      <c r="G384">
        <v>1890</v>
      </c>
      <c r="H384" s="4">
        <v>630</v>
      </c>
      <c r="I384" s="4">
        <v>1260</v>
      </c>
      <c r="J384" t="s">
        <v>106</v>
      </c>
      <c r="K384" t="s">
        <v>42</v>
      </c>
      <c r="L384" s="4">
        <v>13.717776078041958</v>
      </c>
      <c r="M384" s="1" t="s">
        <v>34</v>
      </c>
      <c r="N384" s="11">
        <f t="shared" si="5"/>
        <v>1</v>
      </c>
    </row>
    <row r="385" spans="1:14" ht="16" x14ac:dyDescent="0.2">
      <c r="A385" s="3">
        <v>44273.797511832308</v>
      </c>
      <c r="B385" s="1" t="s">
        <v>731</v>
      </c>
      <c r="C385" t="s">
        <v>386</v>
      </c>
      <c r="D385">
        <v>20</v>
      </c>
      <c r="E385">
        <v>110</v>
      </c>
      <c r="F385">
        <v>55</v>
      </c>
      <c r="G385">
        <v>2200</v>
      </c>
      <c r="H385" s="4">
        <v>1100</v>
      </c>
      <c r="I385" s="4">
        <v>1100</v>
      </c>
      <c r="J385" t="s">
        <v>161</v>
      </c>
      <c r="K385" t="s">
        <v>33</v>
      </c>
      <c r="L385" s="4">
        <v>14.370283356317486</v>
      </c>
      <c r="M385" s="1" t="s">
        <v>38</v>
      </c>
      <c r="N385" s="11">
        <f t="shared" si="5"/>
        <v>5</v>
      </c>
    </row>
    <row r="386" spans="1:14" ht="16" x14ac:dyDescent="0.2">
      <c r="A386" s="3">
        <v>43924.797772158949</v>
      </c>
      <c r="B386" s="1" t="s">
        <v>732</v>
      </c>
      <c r="C386" t="s">
        <v>356</v>
      </c>
      <c r="D386">
        <v>8</v>
      </c>
      <c r="E386">
        <v>356</v>
      </c>
      <c r="F386">
        <v>89</v>
      </c>
      <c r="G386">
        <v>2848</v>
      </c>
      <c r="H386" s="4">
        <v>712</v>
      </c>
      <c r="I386" s="4">
        <v>2136</v>
      </c>
      <c r="J386" t="s">
        <v>733</v>
      </c>
      <c r="K386" t="s">
        <v>53</v>
      </c>
      <c r="L386" s="4">
        <v>16.148992525516267</v>
      </c>
      <c r="M386" s="1" t="s">
        <v>38</v>
      </c>
      <c r="N386" s="11">
        <f t="shared" si="5"/>
        <v>5</v>
      </c>
    </row>
    <row r="387" spans="1:14" ht="16" x14ac:dyDescent="0.2">
      <c r="A387" s="3">
        <v>44195.472893107049</v>
      </c>
      <c r="B387" s="1" t="s">
        <v>734</v>
      </c>
      <c r="C387" t="s">
        <v>243</v>
      </c>
      <c r="D387">
        <v>13</v>
      </c>
      <c r="E387">
        <v>90</v>
      </c>
      <c r="F387">
        <v>45</v>
      </c>
      <c r="G387">
        <v>1170</v>
      </c>
      <c r="H387" s="4">
        <v>585</v>
      </c>
      <c r="I387" s="4">
        <v>585</v>
      </c>
      <c r="J387" t="s">
        <v>126</v>
      </c>
      <c r="K387" t="s">
        <v>64</v>
      </c>
      <c r="L387" s="4">
        <v>11.006397834696006</v>
      </c>
      <c r="M387" s="1" t="s">
        <v>38</v>
      </c>
      <c r="N387" s="11">
        <f t="shared" ref="N387:N450" si="6">+IF(M387="Dissatisfied",1,IF(M387="Satisfied",10,5))</f>
        <v>5</v>
      </c>
    </row>
    <row r="388" spans="1:14" ht="16" x14ac:dyDescent="0.2">
      <c r="A388" s="3">
        <v>43687.75561606566</v>
      </c>
      <c r="B388" s="1" t="s">
        <v>735</v>
      </c>
      <c r="C388" t="s">
        <v>139</v>
      </c>
      <c r="D388">
        <v>2</v>
      </c>
      <c r="E388">
        <v>320</v>
      </c>
      <c r="F388">
        <v>80</v>
      </c>
      <c r="G388">
        <v>640</v>
      </c>
      <c r="H388" s="4">
        <v>160</v>
      </c>
      <c r="I388" s="4">
        <v>480</v>
      </c>
      <c r="J388" t="s">
        <v>121</v>
      </c>
      <c r="K388" t="s">
        <v>64</v>
      </c>
      <c r="L388" s="4">
        <v>14.16303548174143</v>
      </c>
      <c r="M388" s="1" t="s">
        <v>38</v>
      </c>
      <c r="N388" s="11">
        <f t="shared" si="6"/>
        <v>5</v>
      </c>
    </row>
    <row r="389" spans="1:14" ht="16" x14ac:dyDescent="0.2">
      <c r="A389" s="3">
        <v>43631.920911058573</v>
      </c>
      <c r="B389" s="1" t="s">
        <v>736</v>
      </c>
      <c r="C389" t="s">
        <v>356</v>
      </c>
      <c r="D389">
        <v>7</v>
      </c>
      <c r="E389">
        <v>356</v>
      </c>
      <c r="F389">
        <v>89</v>
      </c>
      <c r="G389">
        <v>2492</v>
      </c>
      <c r="H389" s="4">
        <v>623</v>
      </c>
      <c r="I389" s="4">
        <v>1869</v>
      </c>
      <c r="J389" t="s">
        <v>539</v>
      </c>
      <c r="K389" t="s">
        <v>49</v>
      </c>
      <c r="L389" s="4">
        <v>10.954865572729823</v>
      </c>
      <c r="M389" s="1" t="s">
        <v>54</v>
      </c>
      <c r="N389" s="11">
        <f t="shared" si="6"/>
        <v>10</v>
      </c>
    </row>
    <row r="390" spans="1:14" ht="16" x14ac:dyDescent="0.2">
      <c r="A390" s="3">
        <v>43717.043373775923</v>
      </c>
      <c r="B390" s="1" t="s">
        <v>737</v>
      </c>
      <c r="C390" t="s">
        <v>503</v>
      </c>
      <c r="D390">
        <v>17</v>
      </c>
      <c r="E390">
        <v>50</v>
      </c>
      <c r="F390">
        <v>25</v>
      </c>
      <c r="G390">
        <v>850</v>
      </c>
      <c r="H390" s="4">
        <v>425</v>
      </c>
      <c r="I390" s="4">
        <v>425</v>
      </c>
      <c r="J390" t="s">
        <v>738</v>
      </c>
      <c r="K390" t="s">
        <v>33</v>
      </c>
      <c r="L390" s="4">
        <v>12.985332015423809</v>
      </c>
      <c r="M390" s="1" t="s">
        <v>38</v>
      </c>
      <c r="N390" s="11">
        <f t="shared" si="6"/>
        <v>5</v>
      </c>
    </row>
    <row r="391" spans="1:14" ht="16" x14ac:dyDescent="0.2">
      <c r="A391" s="3">
        <v>43292.242989283382</v>
      </c>
      <c r="B391" s="1" t="s">
        <v>739</v>
      </c>
      <c r="C391" t="s">
        <v>375</v>
      </c>
      <c r="D391">
        <v>3</v>
      </c>
      <c r="E391">
        <v>360</v>
      </c>
      <c r="F391">
        <v>90</v>
      </c>
      <c r="G391">
        <v>1080</v>
      </c>
      <c r="H391" s="4">
        <v>270</v>
      </c>
      <c r="I391" s="4">
        <v>810</v>
      </c>
      <c r="J391" t="s">
        <v>466</v>
      </c>
      <c r="K391" t="s">
        <v>49</v>
      </c>
      <c r="L391" s="4">
        <v>16.368863536738775</v>
      </c>
      <c r="M391" s="1" t="s">
        <v>38</v>
      </c>
      <c r="N391" s="11">
        <f t="shared" si="6"/>
        <v>5</v>
      </c>
    </row>
    <row r="392" spans="1:14" ht="16" x14ac:dyDescent="0.2">
      <c r="A392" s="3">
        <v>43432.715331099964</v>
      </c>
      <c r="B392" s="1" t="s">
        <v>740</v>
      </c>
      <c r="C392" t="s">
        <v>337</v>
      </c>
      <c r="D392">
        <v>2</v>
      </c>
      <c r="E392">
        <v>135</v>
      </c>
      <c r="F392">
        <v>45</v>
      </c>
      <c r="G392">
        <v>270</v>
      </c>
      <c r="H392" s="4">
        <v>90</v>
      </c>
      <c r="I392" s="4">
        <v>180</v>
      </c>
      <c r="J392" t="s">
        <v>741</v>
      </c>
      <c r="K392" t="s">
        <v>42</v>
      </c>
      <c r="L392" s="4">
        <v>14.817898176328208</v>
      </c>
      <c r="M392" s="1" t="s">
        <v>38</v>
      </c>
      <c r="N392" s="11">
        <f t="shared" si="6"/>
        <v>5</v>
      </c>
    </row>
    <row r="393" spans="1:14" ht="16" x14ac:dyDescent="0.2">
      <c r="A393" s="3">
        <v>44373.699394294999</v>
      </c>
      <c r="B393" s="1" t="s">
        <v>742</v>
      </c>
      <c r="C393" t="s">
        <v>340</v>
      </c>
      <c r="D393">
        <v>11</v>
      </c>
      <c r="E393">
        <v>180</v>
      </c>
      <c r="F393">
        <v>45</v>
      </c>
      <c r="G393">
        <v>1980</v>
      </c>
      <c r="H393" s="4">
        <v>495</v>
      </c>
      <c r="I393" s="4">
        <v>1485</v>
      </c>
      <c r="J393" t="s">
        <v>323</v>
      </c>
      <c r="K393" t="s">
        <v>53</v>
      </c>
      <c r="L393" s="4">
        <v>11.221666113009938</v>
      </c>
      <c r="M393" s="1" t="s">
        <v>38</v>
      </c>
      <c r="N393" s="11">
        <f t="shared" si="6"/>
        <v>5</v>
      </c>
    </row>
    <row r="394" spans="1:14" ht="16" x14ac:dyDescent="0.2">
      <c r="A394" s="3">
        <v>44002.663169399879</v>
      </c>
      <c r="B394" s="1" t="s">
        <v>743</v>
      </c>
      <c r="C394" t="s">
        <v>301</v>
      </c>
      <c r="D394">
        <v>6</v>
      </c>
      <c r="E394">
        <v>188</v>
      </c>
      <c r="F394">
        <v>94</v>
      </c>
      <c r="G394">
        <v>1128</v>
      </c>
      <c r="H394" s="4">
        <v>564</v>
      </c>
      <c r="I394" s="4">
        <v>564</v>
      </c>
      <c r="J394" t="s">
        <v>121</v>
      </c>
      <c r="K394" t="s">
        <v>64</v>
      </c>
      <c r="L394" s="4">
        <v>14.16303548174143</v>
      </c>
      <c r="M394" s="1" t="s">
        <v>38</v>
      </c>
      <c r="N394" s="11">
        <f t="shared" si="6"/>
        <v>5</v>
      </c>
    </row>
    <row r="395" spans="1:14" ht="16" x14ac:dyDescent="0.2">
      <c r="A395" s="3">
        <v>43452.263966054743</v>
      </c>
      <c r="B395" s="1" t="s">
        <v>744</v>
      </c>
      <c r="C395" t="s">
        <v>160</v>
      </c>
      <c r="D395">
        <v>18</v>
      </c>
      <c r="E395">
        <v>132</v>
      </c>
      <c r="F395">
        <v>33</v>
      </c>
      <c r="G395">
        <v>2376</v>
      </c>
      <c r="H395" s="4">
        <v>594</v>
      </c>
      <c r="I395" s="4">
        <v>1782</v>
      </c>
      <c r="J395" t="s">
        <v>745</v>
      </c>
      <c r="K395" t="s">
        <v>33</v>
      </c>
      <c r="L395" s="4">
        <v>9.1057685343725456</v>
      </c>
      <c r="M395" s="1" t="s">
        <v>38</v>
      </c>
      <c r="N395" s="11">
        <f t="shared" si="6"/>
        <v>5</v>
      </c>
    </row>
    <row r="396" spans="1:14" ht="16" x14ac:dyDescent="0.2">
      <c r="A396" s="3">
        <v>43416.581248185714</v>
      </c>
      <c r="B396" s="1" t="s">
        <v>746</v>
      </c>
      <c r="C396" t="s">
        <v>276</v>
      </c>
      <c r="D396">
        <v>7</v>
      </c>
      <c r="E396">
        <v>57</v>
      </c>
      <c r="F396">
        <v>19</v>
      </c>
      <c r="G396">
        <v>399</v>
      </c>
      <c r="H396" s="4">
        <v>133</v>
      </c>
      <c r="I396" s="4">
        <v>266</v>
      </c>
      <c r="J396" t="s">
        <v>57</v>
      </c>
      <c r="K396" t="s">
        <v>58</v>
      </c>
      <c r="L396" s="4">
        <v>11.749993886708426</v>
      </c>
      <c r="M396" s="1" t="s">
        <v>34</v>
      </c>
      <c r="N396" s="11">
        <f t="shared" si="6"/>
        <v>1</v>
      </c>
    </row>
    <row r="397" spans="1:14" ht="16" x14ac:dyDescent="0.2">
      <c r="A397" s="3">
        <v>44072.105250981942</v>
      </c>
      <c r="B397" s="1" t="s">
        <v>747</v>
      </c>
      <c r="C397" t="s">
        <v>31</v>
      </c>
      <c r="D397">
        <v>18</v>
      </c>
      <c r="E397">
        <v>280</v>
      </c>
      <c r="F397">
        <v>70</v>
      </c>
      <c r="G397">
        <v>5040</v>
      </c>
      <c r="H397" s="4">
        <v>1260</v>
      </c>
      <c r="I397" s="4">
        <v>3780</v>
      </c>
      <c r="J397" t="s">
        <v>315</v>
      </c>
      <c r="K397" t="s">
        <v>42</v>
      </c>
      <c r="L397" s="4">
        <v>10.966283117837653</v>
      </c>
      <c r="M397" s="1" t="s">
        <v>38</v>
      </c>
      <c r="N397" s="11">
        <f t="shared" si="6"/>
        <v>5</v>
      </c>
    </row>
    <row r="398" spans="1:14" ht="16" x14ac:dyDescent="0.2">
      <c r="A398" s="3">
        <v>44249.811444010717</v>
      </c>
      <c r="B398" s="1" t="s">
        <v>748</v>
      </c>
      <c r="C398" t="s">
        <v>420</v>
      </c>
      <c r="D398">
        <v>18</v>
      </c>
      <c r="E398">
        <v>162</v>
      </c>
      <c r="F398">
        <v>54</v>
      </c>
      <c r="G398">
        <v>2916</v>
      </c>
      <c r="H398" s="4">
        <v>972</v>
      </c>
      <c r="I398" s="4">
        <v>1944</v>
      </c>
      <c r="J398" t="s">
        <v>123</v>
      </c>
      <c r="K398" t="s">
        <v>53</v>
      </c>
      <c r="L398" s="4">
        <v>10.42743035829395</v>
      </c>
      <c r="M398" s="1" t="s">
        <v>34</v>
      </c>
      <c r="N398" s="11">
        <f t="shared" si="6"/>
        <v>1</v>
      </c>
    </row>
    <row r="399" spans="1:14" ht="16" x14ac:dyDescent="0.2">
      <c r="A399" s="3">
        <v>43789.813606774034</v>
      </c>
      <c r="B399" s="1" t="s">
        <v>452</v>
      </c>
      <c r="C399" t="s">
        <v>78</v>
      </c>
      <c r="D399">
        <v>20</v>
      </c>
      <c r="E399">
        <v>94</v>
      </c>
      <c r="F399">
        <v>47</v>
      </c>
      <c r="G399">
        <v>1880</v>
      </c>
      <c r="H399" s="4">
        <v>940</v>
      </c>
      <c r="I399" s="4">
        <v>940</v>
      </c>
      <c r="J399" t="s">
        <v>564</v>
      </c>
      <c r="K399" t="s">
        <v>53</v>
      </c>
      <c r="L399" s="4">
        <v>11.563724686003232</v>
      </c>
      <c r="M399" s="1" t="s">
        <v>38</v>
      </c>
      <c r="N399" s="11">
        <f t="shared" si="6"/>
        <v>5</v>
      </c>
    </row>
    <row r="400" spans="1:14" ht="16" x14ac:dyDescent="0.2">
      <c r="A400" s="3">
        <v>43117.691468691613</v>
      </c>
      <c r="B400" s="1" t="s">
        <v>749</v>
      </c>
      <c r="C400" t="s">
        <v>151</v>
      </c>
      <c r="D400">
        <v>12</v>
      </c>
      <c r="E400">
        <v>153</v>
      </c>
      <c r="F400">
        <v>51</v>
      </c>
      <c r="G400">
        <v>1836</v>
      </c>
      <c r="H400" s="4">
        <v>612</v>
      </c>
      <c r="I400" s="4">
        <v>1224</v>
      </c>
      <c r="J400" t="s">
        <v>106</v>
      </c>
      <c r="K400" t="s">
        <v>42</v>
      </c>
      <c r="L400" s="4">
        <v>13.717776078041958</v>
      </c>
      <c r="M400" s="1" t="s">
        <v>38</v>
      </c>
      <c r="N400" s="11">
        <f t="shared" si="6"/>
        <v>5</v>
      </c>
    </row>
    <row r="401" spans="1:14" ht="16" x14ac:dyDescent="0.2">
      <c r="A401" s="3">
        <v>44015.123591725729</v>
      </c>
      <c r="B401" s="1" t="s">
        <v>750</v>
      </c>
      <c r="C401" t="s">
        <v>299</v>
      </c>
      <c r="D401">
        <v>3</v>
      </c>
      <c r="E401">
        <v>225</v>
      </c>
      <c r="F401">
        <v>75</v>
      </c>
      <c r="G401">
        <v>675</v>
      </c>
      <c r="H401" s="4">
        <v>225</v>
      </c>
      <c r="I401" s="4">
        <v>450</v>
      </c>
      <c r="J401" t="s">
        <v>359</v>
      </c>
      <c r="K401" t="s">
        <v>64</v>
      </c>
      <c r="L401" s="4">
        <v>11.970975110943924</v>
      </c>
      <c r="M401" s="1" t="s">
        <v>38</v>
      </c>
      <c r="N401" s="11">
        <f t="shared" si="6"/>
        <v>5</v>
      </c>
    </row>
    <row r="402" spans="1:14" ht="16" x14ac:dyDescent="0.2">
      <c r="A402" s="3">
        <v>44236.354482679038</v>
      </c>
      <c r="B402" s="1" t="s">
        <v>751</v>
      </c>
      <c r="C402" t="s">
        <v>175</v>
      </c>
      <c r="D402">
        <v>7</v>
      </c>
      <c r="E402">
        <v>38</v>
      </c>
      <c r="F402">
        <v>19</v>
      </c>
      <c r="G402">
        <v>266</v>
      </c>
      <c r="H402" s="4">
        <v>133</v>
      </c>
      <c r="I402" s="4">
        <v>133</v>
      </c>
      <c r="J402" t="s">
        <v>752</v>
      </c>
      <c r="K402" t="s">
        <v>49</v>
      </c>
      <c r="L402" s="4">
        <v>11.862005526237752</v>
      </c>
      <c r="M402" s="1" t="s">
        <v>38</v>
      </c>
      <c r="N402" s="11">
        <f t="shared" si="6"/>
        <v>5</v>
      </c>
    </row>
    <row r="403" spans="1:14" ht="16" x14ac:dyDescent="0.2">
      <c r="A403" s="3">
        <v>43712.707272891668</v>
      </c>
      <c r="B403" s="1" t="s">
        <v>753</v>
      </c>
      <c r="C403" t="s">
        <v>215</v>
      </c>
      <c r="D403">
        <v>20</v>
      </c>
      <c r="E403">
        <v>176</v>
      </c>
      <c r="F403">
        <v>88</v>
      </c>
      <c r="G403">
        <v>3520</v>
      </c>
      <c r="H403" s="4">
        <v>1760</v>
      </c>
      <c r="I403" s="4">
        <v>1760</v>
      </c>
      <c r="J403" t="s">
        <v>754</v>
      </c>
      <c r="K403" t="s">
        <v>42</v>
      </c>
      <c r="L403" s="4">
        <v>14.376986923104601</v>
      </c>
      <c r="M403" s="1" t="s">
        <v>34</v>
      </c>
      <c r="N403" s="11">
        <f t="shared" si="6"/>
        <v>1</v>
      </c>
    </row>
    <row r="404" spans="1:14" ht="16" x14ac:dyDescent="0.2">
      <c r="A404" s="3">
        <v>44079.733820765483</v>
      </c>
      <c r="B404" s="1" t="s">
        <v>755</v>
      </c>
      <c r="C404" t="s">
        <v>266</v>
      </c>
      <c r="D404">
        <v>4</v>
      </c>
      <c r="E404">
        <v>50</v>
      </c>
      <c r="F404">
        <v>25</v>
      </c>
      <c r="G404">
        <v>200</v>
      </c>
      <c r="H404" s="4">
        <v>100</v>
      </c>
      <c r="I404" s="4">
        <v>100</v>
      </c>
      <c r="J404" t="s">
        <v>380</v>
      </c>
      <c r="K404" t="s">
        <v>64</v>
      </c>
      <c r="L404" s="4">
        <v>11.416048240262977</v>
      </c>
      <c r="M404" s="1" t="s">
        <v>38</v>
      </c>
      <c r="N404" s="11">
        <f t="shared" si="6"/>
        <v>5</v>
      </c>
    </row>
    <row r="405" spans="1:14" ht="16" x14ac:dyDescent="0.2">
      <c r="A405" s="3">
        <v>43112.712985025304</v>
      </c>
      <c r="B405" s="1" t="s">
        <v>756</v>
      </c>
      <c r="C405" t="s">
        <v>561</v>
      </c>
      <c r="D405">
        <v>3</v>
      </c>
      <c r="E405">
        <v>384</v>
      </c>
      <c r="F405">
        <v>96</v>
      </c>
      <c r="G405">
        <v>1152</v>
      </c>
      <c r="H405" s="4">
        <v>288</v>
      </c>
      <c r="I405" s="4">
        <v>864</v>
      </c>
      <c r="J405" t="s">
        <v>73</v>
      </c>
      <c r="K405" t="s">
        <v>58</v>
      </c>
      <c r="L405" s="4">
        <v>8.2871811249429097</v>
      </c>
      <c r="M405" s="1" t="s">
        <v>38</v>
      </c>
      <c r="N405" s="11">
        <f t="shared" si="6"/>
        <v>5</v>
      </c>
    </row>
    <row r="406" spans="1:14" ht="16" x14ac:dyDescent="0.2">
      <c r="A406" s="3">
        <v>43316.528303997846</v>
      </c>
      <c r="B406" s="1" t="s">
        <v>757</v>
      </c>
      <c r="C406" t="s">
        <v>157</v>
      </c>
      <c r="D406">
        <v>1</v>
      </c>
      <c r="E406">
        <v>50</v>
      </c>
      <c r="F406">
        <v>25</v>
      </c>
      <c r="G406">
        <v>50</v>
      </c>
      <c r="H406" s="4">
        <v>25</v>
      </c>
      <c r="I406" s="4">
        <v>25</v>
      </c>
      <c r="J406" t="s">
        <v>228</v>
      </c>
      <c r="K406" t="s">
        <v>53</v>
      </c>
      <c r="L406" s="4">
        <v>14.377134310720955</v>
      </c>
      <c r="M406" s="1" t="s">
        <v>38</v>
      </c>
      <c r="N406" s="11">
        <f t="shared" si="6"/>
        <v>5</v>
      </c>
    </row>
    <row r="407" spans="1:14" ht="16" x14ac:dyDescent="0.2">
      <c r="A407" s="3">
        <v>44021.970081033272</v>
      </c>
      <c r="B407" s="1" t="s">
        <v>758</v>
      </c>
      <c r="C407" t="s">
        <v>337</v>
      </c>
      <c r="D407">
        <v>14</v>
      </c>
      <c r="E407">
        <v>135</v>
      </c>
      <c r="F407">
        <v>45</v>
      </c>
      <c r="G407">
        <v>1890</v>
      </c>
      <c r="H407" s="4">
        <v>630</v>
      </c>
      <c r="I407" s="4">
        <v>1260</v>
      </c>
      <c r="J407" t="s">
        <v>48</v>
      </c>
      <c r="K407" t="s">
        <v>49</v>
      </c>
      <c r="L407" s="4">
        <v>15.24190997853951</v>
      </c>
      <c r="M407" s="1" t="s">
        <v>54</v>
      </c>
      <c r="N407" s="11">
        <f t="shared" si="6"/>
        <v>10</v>
      </c>
    </row>
    <row r="408" spans="1:14" ht="16" x14ac:dyDescent="0.2">
      <c r="A408" s="3">
        <v>42614.074641868217</v>
      </c>
      <c r="B408" s="1" t="s">
        <v>759</v>
      </c>
      <c r="C408" t="s">
        <v>148</v>
      </c>
      <c r="D408">
        <v>11</v>
      </c>
      <c r="E408">
        <v>144</v>
      </c>
      <c r="F408">
        <v>36</v>
      </c>
      <c r="G408">
        <v>1584</v>
      </c>
      <c r="H408" s="4">
        <v>396</v>
      </c>
      <c r="I408" s="4">
        <v>1188</v>
      </c>
      <c r="J408" t="s">
        <v>262</v>
      </c>
      <c r="K408" t="s">
        <v>86</v>
      </c>
      <c r="L408" s="4">
        <v>12.796588406005421</v>
      </c>
      <c r="M408" s="1" t="s">
        <v>54</v>
      </c>
      <c r="N408" s="11">
        <f t="shared" si="6"/>
        <v>10</v>
      </c>
    </row>
    <row r="409" spans="1:14" ht="16" x14ac:dyDescent="0.2">
      <c r="A409" s="3">
        <v>44192.710976476163</v>
      </c>
      <c r="B409" s="1" t="s">
        <v>760</v>
      </c>
      <c r="C409" t="s">
        <v>583</v>
      </c>
      <c r="D409">
        <v>20</v>
      </c>
      <c r="E409">
        <v>57</v>
      </c>
      <c r="F409">
        <v>19</v>
      </c>
      <c r="G409">
        <v>1140</v>
      </c>
      <c r="H409" s="4">
        <v>380</v>
      </c>
      <c r="I409" s="4">
        <v>760</v>
      </c>
      <c r="J409" t="s">
        <v>466</v>
      </c>
      <c r="K409" t="s">
        <v>49</v>
      </c>
      <c r="L409" s="4">
        <v>16.368863536738775</v>
      </c>
      <c r="M409" s="1" t="s">
        <v>38</v>
      </c>
      <c r="N409" s="11">
        <f t="shared" si="6"/>
        <v>5</v>
      </c>
    </row>
    <row r="410" spans="1:14" ht="16" x14ac:dyDescent="0.2">
      <c r="A410" s="3">
        <v>44183.963578109258</v>
      </c>
      <c r="B410" s="1" t="s">
        <v>761</v>
      </c>
      <c r="C410" t="s">
        <v>286</v>
      </c>
      <c r="D410">
        <v>8</v>
      </c>
      <c r="E410">
        <v>34</v>
      </c>
      <c r="F410">
        <v>17</v>
      </c>
      <c r="G410">
        <v>272</v>
      </c>
      <c r="H410" s="4">
        <v>136</v>
      </c>
      <c r="I410" s="4">
        <v>136</v>
      </c>
      <c r="J410" t="s">
        <v>531</v>
      </c>
      <c r="K410" t="s">
        <v>58</v>
      </c>
      <c r="L410" s="4">
        <v>14.064516999204997</v>
      </c>
      <c r="M410" s="1" t="s">
        <v>38</v>
      </c>
      <c r="N410" s="11">
        <f t="shared" si="6"/>
        <v>5</v>
      </c>
    </row>
    <row r="411" spans="1:14" ht="16" x14ac:dyDescent="0.2">
      <c r="A411" s="3">
        <v>44061.650965328728</v>
      </c>
      <c r="B411" s="1" t="s">
        <v>762</v>
      </c>
      <c r="C411" t="s">
        <v>487</v>
      </c>
      <c r="D411">
        <v>7</v>
      </c>
      <c r="E411">
        <v>264</v>
      </c>
      <c r="F411">
        <v>88</v>
      </c>
      <c r="G411">
        <v>1848</v>
      </c>
      <c r="H411" s="4">
        <v>616</v>
      </c>
      <c r="I411" s="4">
        <v>1232</v>
      </c>
      <c r="J411" t="s">
        <v>482</v>
      </c>
      <c r="K411" t="s">
        <v>42</v>
      </c>
      <c r="L411" s="4">
        <v>11.311040680082275</v>
      </c>
      <c r="M411" s="1" t="s">
        <v>34</v>
      </c>
      <c r="N411" s="11">
        <f t="shared" si="6"/>
        <v>1</v>
      </c>
    </row>
    <row r="412" spans="1:14" ht="16" x14ac:dyDescent="0.2">
      <c r="A412" s="3">
        <v>43103.562934868925</v>
      </c>
      <c r="B412" s="1" t="s">
        <v>763</v>
      </c>
      <c r="C412" t="s">
        <v>394</v>
      </c>
      <c r="D412">
        <v>16</v>
      </c>
      <c r="E412">
        <v>58</v>
      </c>
      <c r="F412">
        <v>29</v>
      </c>
      <c r="G412">
        <v>928</v>
      </c>
      <c r="H412" s="4">
        <v>464</v>
      </c>
      <c r="I412" s="4">
        <v>464</v>
      </c>
      <c r="J412" t="s">
        <v>85</v>
      </c>
      <c r="K412" t="s">
        <v>86</v>
      </c>
      <c r="L412" s="4">
        <v>11.631646244583138</v>
      </c>
      <c r="M412" s="1" t="s">
        <v>34</v>
      </c>
      <c r="N412" s="11">
        <f t="shared" si="6"/>
        <v>1</v>
      </c>
    </row>
    <row r="413" spans="1:14" ht="16" x14ac:dyDescent="0.2">
      <c r="A413" s="3">
        <v>44135.87651084859</v>
      </c>
      <c r="B413" s="1" t="s">
        <v>764</v>
      </c>
      <c r="C413" t="s">
        <v>212</v>
      </c>
      <c r="D413">
        <v>20</v>
      </c>
      <c r="E413">
        <v>300</v>
      </c>
      <c r="F413">
        <v>75</v>
      </c>
      <c r="G413">
        <v>6000</v>
      </c>
      <c r="H413" s="4">
        <v>1500</v>
      </c>
      <c r="I413" s="4">
        <v>4500</v>
      </c>
      <c r="J413" t="s">
        <v>469</v>
      </c>
      <c r="K413" t="s">
        <v>64</v>
      </c>
      <c r="L413" s="4">
        <v>7.9963422143733238</v>
      </c>
      <c r="M413" s="1" t="s">
        <v>34</v>
      </c>
      <c r="N413" s="11">
        <f t="shared" si="6"/>
        <v>1</v>
      </c>
    </row>
    <row r="414" spans="1:14" ht="16" x14ac:dyDescent="0.2">
      <c r="A414" s="3">
        <v>44306.836414377765</v>
      </c>
      <c r="B414" s="1" t="s">
        <v>765</v>
      </c>
      <c r="C414" t="s">
        <v>40</v>
      </c>
      <c r="D414">
        <v>16</v>
      </c>
      <c r="E414">
        <v>46</v>
      </c>
      <c r="F414">
        <v>23</v>
      </c>
      <c r="G414">
        <v>736</v>
      </c>
      <c r="H414" s="4">
        <v>368</v>
      </c>
      <c r="I414" s="4">
        <v>368</v>
      </c>
      <c r="J414" t="s">
        <v>660</v>
      </c>
      <c r="K414" t="s">
        <v>86</v>
      </c>
      <c r="L414" s="4">
        <v>10.163794912095831</v>
      </c>
      <c r="M414" s="1" t="s">
        <v>38</v>
      </c>
      <c r="N414" s="11">
        <f t="shared" si="6"/>
        <v>5</v>
      </c>
    </row>
    <row r="415" spans="1:14" ht="16" x14ac:dyDescent="0.2">
      <c r="A415" s="3">
        <v>43925.477649388842</v>
      </c>
      <c r="B415" s="1" t="s">
        <v>766</v>
      </c>
      <c r="C415" t="s">
        <v>160</v>
      </c>
      <c r="D415">
        <v>12</v>
      </c>
      <c r="E415">
        <v>132</v>
      </c>
      <c r="F415">
        <v>33</v>
      </c>
      <c r="G415">
        <v>1584</v>
      </c>
      <c r="H415" s="4">
        <v>396</v>
      </c>
      <c r="I415" s="4">
        <v>1188</v>
      </c>
      <c r="J415" t="s">
        <v>767</v>
      </c>
      <c r="K415" t="s">
        <v>42</v>
      </c>
      <c r="L415" s="4">
        <v>11.289144410898391</v>
      </c>
      <c r="M415" s="1" t="s">
        <v>34</v>
      </c>
      <c r="N415" s="11">
        <f t="shared" si="6"/>
        <v>1</v>
      </c>
    </row>
    <row r="416" spans="1:14" ht="16" x14ac:dyDescent="0.2">
      <c r="A416" s="3">
        <v>43390.196440413565</v>
      </c>
      <c r="B416" s="1" t="s">
        <v>768</v>
      </c>
      <c r="C416" t="s">
        <v>56</v>
      </c>
      <c r="D416">
        <v>5</v>
      </c>
      <c r="E416">
        <v>38</v>
      </c>
      <c r="F416">
        <v>19</v>
      </c>
      <c r="G416">
        <v>190</v>
      </c>
      <c r="H416" s="4">
        <v>95</v>
      </c>
      <c r="I416" s="4">
        <v>95</v>
      </c>
      <c r="J416" t="s">
        <v>89</v>
      </c>
      <c r="K416" t="s">
        <v>64</v>
      </c>
      <c r="L416" s="4">
        <v>12.865074657680612</v>
      </c>
      <c r="M416" s="1" t="s">
        <v>34</v>
      </c>
      <c r="N416" s="11">
        <f t="shared" si="6"/>
        <v>1</v>
      </c>
    </row>
    <row r="417" spans="1:14" ht="16" x14ac:dyDescent="0.2">
      <c r="A417" s="3">
        <v>43594.60184463652</v>
      </c>
      <c r="B417" s="1" t="s">
        <v>769</v>
      </c>
      <c r="C417" t="s">
        <v>288</v>
      </c>
      <c r="D417">
        <v>18</v>
      </c>
      <c r="E417">
        <v>48</v>
      </c>
      <c r="F417">
        <v>24</v>
      </c>
      <c r="G417">
        <v>864</v>
      </c>
      <c r="H417" s="4">
        <v>432</v>
      </c>
      <c r="I417" s="4">
        <v>432</v>
      </c>
      <c r="J417" t="s">
        <v>354</v>
      </c>
      <c r="K417" t="s">
        <v>42</v>
      </c>
      <c r="L417" s="4">
        <v>13.518413464873573</v>
      </c>
      <c r="M417" s="1" t="s">
        <v>38</v>
      </c>
      <c r="N417" s="11">
        <f t="shared" si="6"/>
        <v>5</v>
      </c>
    </row>
    <row r="418" spans="1:14" ht="16" x14ac:dyDescent="0.2">
      <c r="A418" s="3">
        <v>44656.530189200501</v>
      </c>
      <c r="B418" s="1" t="s">
        <v>770</v>
      </c>
      <c r="C418" t="s">
        <v>91</v>
      </c>
      <c r="D418">
        <v>4</v>
      </c>
      <c r="E418">
        <v>300</v>
      </c>
      <c r="F418">
        <v>75</v>
      </c>
      <c r="G418">
        <v>1200</v>
      </c>
      <c r="H418" s="4">
        <v>300</v>
      </c>
      <c r="I418" s="4">
        <v>900</v>
      </c>
      <c r="J418" t="s">
        <v>134</v>
      </c>
      <c r="K418" t="s">
        <v>33</v>
      </c>
      <c r="L418" s="4">
        <v>9.4200113153305907</v>
      </c>
      <c r="M418" s="1" t="s">
        <v>34</v>
      </c>
      <c r="N418" s="11">
        <f t="shared" si="6"/>
        <v>1</v>
      </c>
    </row>
    <row r="419" spans="1:14" ht="16" x14ac:dyDescent="0.2">
      <c r="A419" s="3">
        <v>45104.216021138731</v>
      </c>
      <c r="B419" s="1" t="s">
        <v>771</v>
      </c>
      <c r="C419" t="s">
        <v>227</v>
      </c>
      <c r="D419">
        <v>8</v>
      </c>
      <c r="E419">
        <v>144</v>
      </c>
      <c r="F419">
        <v>48</v>
      </c>
      <c r="G419">
        <v>1152</v>
      </c>
      <c r="H419" s="4">
        <v>384</v>
      </c>
      <c r="I419" s="4">
        <v>768</v>
      </c>
      <c r="J419" t="s">
        <v>60</v>
      </c>
      <c r="K419" t="s">
        <v>53</v>
      </c>
      <c r="L419" s="4">
        <v>11.048444680405545</v>
      </c>
      <c r="M419" s="1" t="s">
        <v>38</v>
      </c>
      <c r="N419" s="11">
        <f t="shared" si="6"/>
        <v>5</v>
      </c>
    </row>
    <row r="420" spans="1:14" ht="16" x14ac:dyDescent="0.2">
      <c r="A420" s="3">
        <v>43897.289438256834</v>
      </c>
      <c r="B420" s="1" t="s">
        <v>772</v>
      </c>
      <c r="C420" t="s">
        <v>171</v>
      </c>
      <c r="D420">
        <v>20</v>
      </c>
      <c r="E420">
        <v>225</v>
      </c>
      <c r="F420">
        <v>75</v>
      </c>
      <c r="G420">
        <v>4500</v>
      </c>
      <c r="H420" s="4">
        <v>1500</v>
      </c>
      <c r="I420" s="4">
        <v>3000</v>
      </c>
      <c r="J420" t="s">
        <v>158</v>
      </c>
      <c r="K420" t="s">
        <v>58</v>
      </c>
      <c r="L420" s="4">
        <v>11.841063669683448</v>
      </c>
      <c r="M420" s="1" t="s">
        <v>54</v>
      </c>
      <c r="N420" s="11">
        <f t="shared" si="6"/>
        <v>10</v>
      </c>
    </row>
    <row r="421" spans="1:14" ht="16" x14ac:dyDescent="0.2">
      <c r="A421" s="3">
        <v>43481.265737284062</v>
      </c>
      <c r="B421" s="1" t="s">
        <v>773</v>
      </c>
      <c r="C421" t="s">
        <v>145</v>
      </c>
      <c r="D421">
        <v>5</v>
      </c>
      <c r="E421">
        <v>207</v>
      </c>
      <c r="F421">
        <v>69</v>
      </c>
      <c r="G421">
        <v>1035</v>
      </c>
      <c r="H421" s="4">
        <v>345</v>
      </c>
      <c r="I421" s="4">
        <v>690</v>
      </c>
      <c r="J421" t="s">
        <v>774</v>
      </c>
      <c r="K421" t="s">
        <v>49</v>
      </c>
      <c r="L421" s="4">
        <v>13.392447352247808</v>
      </c>
      <c r="M421" s="1" t="s">
        <v>34</v>
      </c>
      <c r="N421" s="11">
        <f t="shared" si="6"/>
        <v>1</v>
      </c>
    </row>
    <row r="422" spans="1:14" ht="16" x14ac:dyDescent="0.2">
      <c r="A422" s="3">
        <v>43829.730717641789</v>
      </c>
      <c r="B422" s="1" t="s">
        <v>775</v>
      </c>
      <c r="C422" t="s">
        <v>136</v>
      </c>
      <c r="D422">
        <v>20</v>
      </c>
      <c r="E422">
        <v>154</v>
      </c>
      <c r="F422">
        <v>77</v>
      </c>
      <c r="G422">
        <v>3080</v>
      </c>
      <c r="H422" s="4">
        <v>1540</v>
      </c>
      <c r="I422" s="4">
        <v>1540</v>
      </c>
      <c r="J422" t="s">
        <v>776</v>
      </c>
      <c r="K422" t="s">
        <v>86</v>
      </c>
      <c r="L422" s="4">
        <v>13.611804647345796</v>
      </c>
      <c r="M422" s="1" t="s">
        <v>38</v>
      </c>
      <c r="N422" s="11">
        <f t="shared" si="6"/>
        <v>5</v>
      </c>
    </row>
    <row r="423" spans="1:14" ht="16" x14ac:dyDescent="0.2">
      <c r="A423" s="3">
        <v>43955.918307768574</v>
      </c>
      <c r="B423" s="1" t="s">
        <v>777</v>
      </c>
      <c r="C423" t="s">
        <v>286</v>
      </c>
      <c r="D423">
        <v>2</v>
      </c>
      <c r="E423">
        <v>34</v>
      </c>
      <c r="F423">
        <v>17</v>
      </c>
      <c r="G423">
        <v>68</v>
      </c>
      <c r="H423" s="4">
        <v>34</v>
      </c>
      <c r="I423" s="4">
        <v>34</v>
      </c>
      <c r="J423" t="s">
        <v>167</v>
      </c>
      <c r="K423" t="s">
        <v>86</v>
      </c>
      <c r="L423" s="4">
        <v>10.216282609482219</v>
      </c>
      <c r="M423" s="1" t="s">
        <v>54</v>
      </c>
      <c r="N423" s="11">
        <f t="shared" si="6"/>
        <v>10</v>
      </c>
    </row>
    <row r="424" spans="1:14" ht="16" x14ac:dyDescent="0.2">
      <c r="A424" s="3">
        <v>44486.07282862773</v>
      </c>
      <c r="B424" s="1" t="s">
        <v>778</v>
      </c>
      <c r="C424" t="s">
        <v>779</v>
      </c>
      <c r="D424">
        <v>7</v>
      </c>
      <c r="E424">
        <v>120</v>
      </c>
      <c r="F424">
        <v>30</v>
      </c>
      <c r="G424">
        <v>840</v>
      </c>
      <c r="H424" s="4">
        <v>210</v>
      </c>
      <c r="I424" s="4">
        <v>630</v>
      </c>
      <c r="J424" t="s">
        <v>158</v>
      </c>
      <c r="K424" t="s">
        <v>58</v>
      </c>
      <c r="L424" s="4">
        <v>11.841063669683448</v>
      </c>
      <c r="M424" s="1" t="s">
        <v>38</v>
      </c>
      <c r="N424" s="11">
        <f t="shared" si="6"/>
        <v>5</v>
      </c>
    </row>
    <row r="425" spans="1:14" ht="16" x14ac:dyDescent="0.2">
      <c r="A425" s="3">
        <v>44475.452460769033</v>
      </c>
      <c r="B425" s="1" t="s">
        <v>780</v>
      </c>
      <c r="C425" t="s">
        <v>425</v>
      </c>
      <c r="D425">
        <v>20</v>
      </c>
      <c r="E425">
        <v>352</v>
      </c>
      <c r="F425">
        <v>88</v>
      </c>
      <c r="G425">
        <v>7040</v>
      </c>
      <c r="H425" s="4">
        <v>1760</v>
      </c>
      <c r="I425" s="4">
        <v>5280</v>
      </c>
      <c r="J425" t="s">
        <v>158</v>
      </c>
      <c r="K425" t="s">
        <v>58</v>
      </c>
      <c r="L425" s="4">
        <v>11.841063669683448</v>
      </c>
      <c r="M425" s="1" t="s">
        <v>38</v>
      </c>
      <c r="N425" s="11">
        <f t="shared" si="6"/>
        <v>5</v>
      </c>
    </row>
    <row r="426" spans="1:14" ht="16" x14ac:dyDescent="0.2">
      <c r="A426" s="3">
        <v>44241.464188411635</v>
      </c>
      <c r="B426" s="1" t="s">
        <v>781</v>
      </c>
      <c r="C426" t="s">
        <v>255</v>
      </c>
      <c r="D426">
        <v>5</v>
      </c>
      <c r="E426">
        <v>140</v>
      </c>
      <c r="F426">
        <v>70</v>
      </c>
      <c r="G426">
        <v>700</v>
      </c>
      <c r="H426" s="4">
        <v>350</v>
      </c>
      <c r="I426" s="4">
        <v>350</v>
      </c>
      <c r="J426" t="s">
        <v>134</v>
      </c>
      <c r="K426" t="s">
        <v>33</v>
      </c>
      <c r="L426" s="4">
        <v>9.4200113153305907</v>
      </c>
      <c r="M426" s="1" t="s">
        <v>38</v>
      </c>
      <c r="N426" s="11">
        <f t="shared" si="6"/>
        <v>5</v>
      </c>
    </row>
    <row r="427" spans="1:14" ht="16" x14ac:dyDescent="0.2">
      <c r="A427" s="3">
        <v>44320.692858424183</v>
      </c>
      <c r="B427" s="1" t="s">
        <v>782</v>
      </c>
      <c r="C427" t="s">
        <v>391</v>
      </c>
      <c r="D427">
        <v>9</v>
      </c>
      <c r="E427">
        <v>72</v>
      </c>
      <c r="F427">
        <v>36</v>
      </c>
      <c r="G427">
        <v>648</v>
      </c>
      <c r="H427" s="4">
        <v>324</v>
      </c>
      <c r="I427" s="4">
        <v>324</v>
      </c>
      <c r="J427" t="s">
        <v>70</v>
      </c>
      <c r="K427" t="s">
        <v>49</v>
      </c>
      <c r="L427" s="4">
        <v>12.957303170959879</v>
      </c>
      <c r="M427" s="1" t="s">
        <v>38</v>
      </c>
      <c r="N427" s="11">
        <f t="shared" si="6"/>
        <v>5</v>
      </c>
    </row>
    <row r="428" spans="1:14" ht="16" x14ac:dyDescent="0.2">
      <c r="A428" s="3">
        <v>44071.311833277112</v>
      </c>
      <c r="B428" s="1" t="s">
        <v>783</v>
      </c>
      <c r="C428" t="s">
        <v>473</v>
      </c>
      <c r="D428">
        <v>13</v>
      </c>
      <c r="E428">
        <v>72</v>
      </c>
      <c r="F428">
        <v>36</v>
      </c>
      <c r="G428">
        <v>936</v>
      </c>
      <c r="H428" s="4">
        <v>468</v>
      </c>
      <c r="I428" s="4">
        <v>468</v>
      </c>
      <c r="J428" t="s">
        <v>264</v>
      </c>
      <c r="K428" t="s">
        <v>42</v>
      </c>
      <c r="L428" s="4">
        <v>12.514998090845811</v>
      </c>
      <c r="M428" s="1" t="s">
        <v>38</v>
      </c>
      <c r="N428" s="11">
        <f t="shared" si="6"/>
        <v>5</v>
      </c>
    </row>
    <row r="429" spans="1:14" ht="16" x14ac:dyDescent="0.2">
      <c r="A429" s="3">
        <v>44883.342065733064</v>
      </c>
      <c r="B429" s="1" t="s">
        <v>784</v>
      </c>
      <c r="C429" t="s">
        <v>178</v>
      </c>
      <c r="D429">
        <v>16</v>
      </c>
      <c r="E429">
        <v>189</v>
      </c>
      <c r="F429">
        <v>63</v>
      </c>
      <c r="G429">
        <v>3024</v>
      </c>
      <c r="H429" s="4">
        <v>1008</v>
      </c>
      <c r="I429" s="4">
        <v>2016</v>
      </c>
      <c r="J429" t="s">
        <v>270</v>
      </c>
      <c r="K429" t="s">
        <v>42</v>
      </c>
      <c r="L429" s="4">
        <v>12.661538237835474</v>
      </c>
      <c r="M429" s="1" t="s">
        <v>54</v>
      </c>
      <c r="N429" s="11">
        <f t="shared" si="6"/>
        <v>10</v>
      </c>
    </row>
    <row r="430" spans="1:14" ht="16" x14ac:dyDescent="0.2">
      <c r="A430" s="3">
        <v>43954.313896671752</v>
      </c>
      <c r="B430" s="1" t="s">
        <v>785</v>
      </c>
      <c r="C430" t="s">
        <v>72</v>
      </c>
      <c r="D430">
        <v>16</v>
      </c>
      <c r="E430">
        <v>352</v>
      </c>
      <c r="F430">
        <v>88</v>
      </c>
      <c r="G430">
        <v>5632</v>
      </c>
      <c r="H430" s="4">
        <v>1408</v>
      </c>
      <c r="I430" s="4">
        <v>4224</v>
      </c>
      <c r="J430" t="s">
        <v>786</v>
      </c>
      <c r="K430" t="s">
        <v>86</v>
      </c>
      <c r="L430" s="4">
        <v>13.095446915421235</v>
      </c>
      <c r="M430" s="1" t="s">
        <v>38</v>
      </c>
      <c r="N430" s="11">
        <f t="shared" si="6"/>
        <v>5</v>
      </c>
    </row>
    <row r="431" spans="1:14" ht="16" x14ac:dyDescent="0.2">
      <c r="A431" s="3">
        <v>44111.494201776033</v>
      </c>
      <c r="B431" s="1" t="s">
        <v>787</v>
      </c>
      <c r="C431" t="s">
        <v>788</v>
      </c>
      <c r="D431">
        <v>12</v>
      </c>
      <c r="E431">
        <v>100</v>
      </c>
      <c r="F431">
        <v>25</v>
      </c>
      <c r="G431">
        <v>1200</v>
      </c>
      <c r="H431" s="4">
        <v>300</v>
      </c>
      <c r="I431" s="4">
        <v>900</v>
      </c>
      <c r="J431" t="s">
        <v>471</v>
      </c>
      <c r="K431" t="s">
        <v>58</v>
      </c>
      <c r="L431" s="4">
        <v>10.764293826791503</v>
      </c>
      <c r="M431" s="1" t="s">
        <v>38</v>
      </c>
      <c r="N431" s="11">
        <f t="shared" si="6"/>
        <v>5</v>
      </c>
    </row>
    <row r="432" spans="1:14" ht="16" x14ac:dyDescent="0.2">
      <c r="A432" s="3">
        <v>44455.319164509448</v>
      </c>
      <c r="B432" s="1" t="s">
        <v>789</v>
      </c>
      <c r="C432" t="s">
        <v>78</v>
      </c>
      <c r="D432">
        <v>10</v>
      </c>
      <c r="E432">
        <v>94</v>
      </c>
      <c r="F432">
        <v>47</v>
      </c>
      <c r="G432">
        <v>940</v>
      </c>
      <c r="H432" s="4">
        <v>470</v>
      </c>
      <c r="I432" s="4">
        <v>470</v>
      </c>
      <c r="J432" t="s">
        <v>574</v>
      </c>
      <c r="K432" t="s">
        <v>58</v>
      </c>
      <c r="L432" s="4">
        <v>13.150536103258979</v>
      </c>
      <c r="M432" s="1" t="s">
        <v>38</v>
      </c>
      <c r="N432" s="11">
        <f t="shared" si="6"/>
        <v>5</v>
      </c>
    </row>
    <row r="433" spans="1:14" ht="16" x14ac:dyDescent="0.2">
      <c r="A433" s="3">
        <v>43243.758252579959</v>
      </c>
      <c r="B433" s="1" t="s">
        <v>790</v>
      </c>
      <c r="C433" t="s">
        <v>110</v>
      </c>
      <c r="D433">
        <v>20</v>
      </c>
      <c r="E433">
        <v>144</v>
      </c>
      <c r="F433">
        <v>36</v>
      </c>
      <c r="G433">
        <v>2880</v>
      </c>
      <c r="H433" s="4">
        <v>720</v>
      </c>
      <c r="I433" s="4">
        <v>2160</v>
      </c>
      <c r="J433" t="s">
        <v>681</v>
      </c>
      <c r="K433" t="s">
        <v>86</v>
      </c>
      <c r="L433" s="4">
        <v>8.1628930629234038</v>
      </c>
      <c r="M433" s="1" t="s">
        <v>34</v>
      </c>
      <c r="N433" s="11">
        <f t="shared" si="6"/>
        <v>1</v>
      </c>
    </row>
    <row r="434" spans="1:14" ht="16" x14ac:dyDescent="0.2">
      <c r="A434" s="3">
        <v>44266.206599079029</v>
      </c>
      <c r="B434" s="1" t="s">
        <v>791</v>
      </c>
      <c r="C434" t="s">
        <v>88</v>
      </c>
      <c r="D434">
        <v>6</v>
      </c>
      <c r="E434">
        <v>210</v>
      </c>
      <c r="F434">
        <v>70</v>
      </c>
      <c r="G434">
        <v>1260</v>
      </c>
      <c r="H434" s="4">
        <v>420</v>
      </c>
      <c r="I434" s="4">
        <v>840</v>
      </c>
      <c r="J434" t="s">
        <v>701</v>
      </c>
      <c r="K434" t="s">
        <v>42</v>
      </c>
      <c r="L434" s="4">
        <v>10.434860153112215</v>
      </c>
      <c r="M434" s="1" t="s">
        <v>34</v>
      </c>
      <c r="N434" s="11">
        <f t="shared" si="6"/>
        <v>1</v>
      </c>
    </row>
    <row r="435" spans="1:14" ht="16" x14ac:dyDescent="0.2">
      <c r="A435" s="3">
        <v>45041.814512623532</v>
      </c>
      <c r="B435" s="1" t="s">
        <v>792</v>
      </c>
      <c r="C435" t="s">
        <v>88</v>
      </c>
      <c r="D435">
        <v>11</v>
      </c>
      <c r="E435">
        <v>210</v>
      </c>
      <c r="F435">
        <v>70</v>
      </c>
      <c r="G435">
        <v>2310</v>
      </c>
      <c r="H435" s="4">
        <v>770</v>
      </c>
      <c r="I435" s="4">
        <v>1540</v>
      </c>
      <c r="J435" t="s">
        <v>310</v>
      </c>
      <c r="K435" t="s">
        <v>58</v>
      </c>
      <c r="L435" s="4">
        <v>11.03324198943719</v>
      </c>
      <c r="M435" s="1" t="s">
        <v>54</v>
      </c>
      <c r="N435" s="11">
        <f t="shared" si="6"/>
        <v>10</v>
      </c>
    </row>
    <row r="436" spans="1:14" ht="16" x14ac:dyDescent="0.2">
      <c r="A436" s="3">
        <v>44059.543155318046</v>
      </c>
      <c r="B436" s="1" t="s">
        <v>793</v>
      </c>
      <c r="C436" t="s">
        <v>171</v>
      </c>
      <c r="D436">
        <v>11</v>
      </c>
      <c r="E436">
        <v>225</v>
      </c>
      <c r="F436">
        <v>75</v>
      </c>
      <c r="G436">
        <v>2475</v>
      </c>
      <c r="H436" s="4">
        <v>825</v>
      </c>
      <c r="I436" s="4">
        <v>1650</v>
      </c>
      <c r="J436" t="s">
        <v>241</v>
      </c>
      <c r="K436" t="s">
        <v>33</v>
      </c>
      <c r="L436" s="4">
        <v>11.274864741138284</v>
      </c>
      <c r="M436" s="1" t="s">
        <v>54</v>
      </c>
      <c r="N436" s="11">
        <f t="shared" si="6"/>
        <v>10</v>
      </c>
    </row>
    <row r="437" spans="1:14" ht="16" x14ac:dyDescent="0.2">
      <c r="A437" s="3">
        <v>43410.788234201726</v>
      </c>
      <c r="B437" s="1" t="s">
        <v>794</v>
      </c>
      <c r="C437" t="s">
        <v>209</v>
      </c>
      <c r="D437">
        <v>15</v>
      </c>
      <c r="E437">
        <v>150</v>
      </c>
      <c r="F437">
        <v>75</v>
      </c>
      <c r="G437">
        <v>2250</v>
      </c>
      <c r="H437" s="4">
        <v>1125</v>
      </c>
      <c r="I437" s="4">
        <v>1125</v>
      </c>
      <c r="J437" t="s">
        <v>795</v>
      </c>
      <c r="K437" t="s">
        <v>49</v>
      </c>
      <c r="L437" s="4">
        <v>11.661237375491201</v>
      </c>
      <c r="M437" s="1" t="s">
        <v>54</v>
      </c>
      <c r="N437" s="11">
        <f t="shared" si="6"/>
        <v>10</v>
      </c>
    </row>
    <row r="438" spans="1:14" ht="16" x14ac:dyDescent="0.2">
      <c r="A438" s="3">
        <v>44787.479886431043</v>
      </c>
      <c r="B438" s="1" t="s">
        <v>796</v>
      </c>
      <c r="C438" t="s">
        <v>125</v>
      </c>
      <c r="D438">
        <v>20</v>
      </c>
      <c r="E438">
        <v>176</v>
      </c>
      <c r="F438">
        <v>88</v>
      </c>
      <c r="G438">
        <v>3520</v>
      </c>
      <c r="H438" s="4">
        <v>1760</v>
      </c>
      <c r="I438" s="4">
        <v>1760</v>
      </c>
      <c r="J438" t="s">
        <v>595</v>
      </c>
      <c r="K438" t="s">
        <v>86</v>
      </c>
      <c r="L438" s="4">
        <v>12.045339240427111</v>
      </c>
      <c r="M438" s="1" t="s">
        <v>38</v>
      </c>
      <c r="N438" s="11">
        <f t="shared" si="6"/>
        <v>5</v>
      </c>
    </row>
    <row r="439" spans="1:14" ht="16" x14ac:dyDescent="0.2">
      <c r="A439" s="3">
        <v>44117.18264301779</v>
      </c>
      <c r="B439" s="1" t="s">
        <v>797</v>
      </c>
      <c r="C439" t="s">
        <v>145</v>
      </c>
      <c r="D439">
        <v>16</v>
      </c>
      <c r="E439">
        <v>207</v>
      </c>
      <c r="F439">
        <v>69</v>
      </c>
      <c r="G439">
        <v>3312</v>
      </c>
      <c r="H439" s="4">
        <v>1104</v>
      </c>
      <c r="I439" s="4">
        <v>2208</v>
      </c>
      <c r="J439" t="s">
        <v>418</v>
      </c>
      <c r="K439" t="s">
        <v>42</v>
      </c>
      <c r="L439" s="4">
        <v>11.644564584314265</v>
      </c>
      <c r="M439" s="1" t="s">
        <v>38</v>
      </c>
      <c r="N439" s="11">
        <f t="shared" si="6"/>
        <v>5</v>
      </c>
    </row>
    <row r="440" spans="1:14" ht="16" x14ac:dyDescent="0.2">
      <c r="A440" s="3">
        <v>44064.943121198354</v>
      </c>
      <c r="B440" s="1" t="s">
        <v>798</v>
      </c>
      <c r="C440" t="s">
        <v>243</v>
      </c>
      <c r="D440">
        <v>11</v>
      </c>
      <c r="E440">
        <v>90</v>
      </c>
      <c r="F440">
        <v>45</v>
      </c>
      <c r="G440">
        <v>990</v>
      </c>
      <c r="H440" s="4">
        <v>495</v>
      </c>
      <c r="I440" s="4">
        <v>495</v>
      </c>
      <c r="J440" t="s">
        <v>616</v>
      </c>
      <c r="K440" t="s">
        <v>49</v>
      </c>
      <c r="L440" s="4">
        <v>13.466362789017223</v>
      </c>
      <c r="M440" s="1" t="s">
        <v>54</v>
      </c>
      <c r="N440" s="11">
        <f t="shared" si="6"/>
        <v>10</v>
      </c>
    </row>
    <row r="441" spans="1:14" ht="16" x14ac:dyDescent="0.2">
      <c r="A441" s="3">
        <v>43272.417184260703</v>
      </c>
      <c r="B441" s="1" t="s">
        <v>799</v>
      </c>
      <c r="C441" t="s">
        <v>487</v>
      </c>
      <c r="D441">
        <v>7</v>
      </c>
      <c r="E441">
        <v>264</v>
      </c>
      <c r="F441">
        <v>88</v>
      </c>
      <c r="G441">
        <v>1848</v>
      </c>
      <c r="H441" s="4">
        <v>616</v>
      </c>
      <c r="I441" s="4">
        <v>1232</v>
      </c>
      <c r="J441" t="s">
        <v>435</v>
      </c>
      <c r="K441" t="s">
        <v>33</v>
      </c>
      <c r="L441" s="4">
        <v>5.9872353338051019</v>
      </c>
      <c r="M441" s="1" t="s">
        <v>38</v>
      </c>
      <c r="N441" s="11">
        <f t="shared" si="6"/>
        <v>5</v>
      </c>
    </row>
    <row r="442" spans="1:14" ht="16" x14ac:dyDescent="0.2">
      <c r="A442" s="3">
        <v>43965.027042034053</v>
      </c>
      <c r="B442" s="1" t="s">
        <v>800</v>
      </c>
      <c r="C442" t="s">
        <v>420</v>
      </c>
      <c r="D442">
        <v>20</v>
      </c>
      <c r="E442">
        <v>162</v>
      </c>
      <c r="F442">
        <v>54</v>
      </c>
      <c r="G442">
        <v>3240</v>
      </c>
      <c r="H442" s="4">
        <v>1080</v>
      </c>
      <c r="I442" s="4">
        <v>2160</v>
      </c>
      <c r="J442" t="s">
        <v>720</v>
      </c>
      <c r="K442" t="s">
        <v>53</v>
      </c>
      <c r="L442" s="4">
        <v>13.106678263594747</v>
      </c>
      <c r="M442" s="1" t="s">
        <v>54</v>
      </c>
      <c r="N442" s="11">
        <f t="shared" si="6"/>
        <v>10</v>
      </c>
    </row>
    <row r="443" spans="1:14" ht="16" x14ac:dyDescent="0.2">
      <c r="A443" s="3">
        <v>43363.229059998324</v>
      </c>
      <c r="B443" s="1" t="s">
        <v>801</v>
      </c>
      <c r="C443" t="s">
        <v>283</v>
      </c>
      <c r="D443">
        <v>17</v>
      </c>
      <c r="E443">
        <v>144</v>
      </c>
      <c r="F443">
        <v>36</v>
      </c>
      <c r="G443">
        <v>2448</v>
      </c>
      <c r="H443" s="4">
        <v>612</v>
      </c>
      <c r="I443" s="4">
        <v>1836</v>
      </c>
      <c r="J443" t="s">
        <v>802</v>
      </c>
      <c r="K443" t="s">
        <v>58</v>
      </c>
      <c r="L443" s="4">
        <v>11.943192562152261</v>
      </c>
      <c r="M443" s="1" t="s">
        <v>34</v>
      </c>
      <c r="N443" s="11">
        <f t="shared" si="6"/>
        <v>1</v>
      </c>
    </row>
    <row r="444" spans="1:14" ht="16" x14ac:dyDescent="0.2">
      <c r="A444" s="3">
        <v>43697.070457986192</v>
      </c>
      <c r="B444" s="1" t="s">
        <v>803</v>
      </c>
      <c r="C444" t="s">
        <v>473</v>
      </c>
      <c r="D444">
        <v>13</v>
      </c>
      <c r="E444">
        <v>72</v>
      </c>
      <c r="F444">
        <v>36</v>
      </c>
      <c r="G444">
        <v>936</v>
      </c>
      <c r="H444" s="4">
        <v>468</v>
      </c>
      <c r="I444" s="4">
        <v>468</v>
      </c>
      <c r="J444" t="s">
        <v>804</v>
      </c>
      <c r="K444" t="s">
        <v>53</v>
      </c>
      <c r="L444" s="4">
        <v>9.4608554813364627</v>
      </c>
      <c r="M444" s="1" t="s">
        <v>38</v>
      </c>
      <c r="N444" s="11">
        <f t="shared" si="6"/>
        <v>5</v>
      </c>
    </row>
    <row r="445" spans="1:14" ht="16" x14ac:dyDescent="0.2">
      <c r="A445" s="3">
        <v>44149.652275859145</v>
      </c>
      <c r="B445" s="1" t="s">
        <v>805</v>
      </c>
      <c r="C445" t="s">
        <v>394</v>
      </c>
      <c r="D445">
        <v>14</v>
      </c>
      <c r="E445">
        <v>58</v>
      </c>
      <c r="F445">
        <v>29</v>
      </c>
      <c r="G445">
        <v>812</v>
      </c>
      <c r="H445" s="4">
        <v>406</v>
      </c>
      <c r="I445" s="4">
        <v>406</v>
      </c>
      <c r="J445" t="s">
        <v>806</v>
      </c>
      <c r="K445" t="s">
        <v>86</v>
      </c>
      <c r="L445" s="4">
        <v>11.927799225928501</v>
      </c>
      <c r="M445" s="1" t="s">
        <v>54</v>
      </c>
      <c r="N445" s="11">
        <f t="shared" si="6"/>
        <v>10</v>
      </c>
    </row>
    <row r="446" spans="1:14" ht="16" x14ac:dyDescent="0.2">
      <c r="A446" s="3">
        <v>44327.232400064</v>
      </c>
      <c r="B446" s="1" t="s">
        <v>807</v>
      </c>
      <c r="C446" t="s">
        <v>544</v>
      </c>
      <c r="D446">
        <v>14</v>
      </c>
      <c r="E446">
        <v>267</v>
      </c>
      <c r="F446">
        <v>89</v>
      </c>
      <c r="G446">
        <v>3738</v>
      </c>
      <c r="H446" s="4">
        <v>1246</v>
      </c>
      <c r="I446" s="4">
        <v>2492</v>
      </c>
      <c r="J446" t="s">
        <v>392</v>
      </c>
      <c r="K446" t="s">
        <v>49</v>
      </c>
      <c r="L446" s="4">
        <v>12.456740895640767</v>
      </c>
      <c r="M446" s="1" t="s">
        <v>38</v>
      </c>
      <c r="N446" s="11">
        <f t="shared" si="6"/>
        <v>5</v>
      </c>
    </row>
    <row r="447" spans="1:14" ht="16" x14ac:dyDescent="0.2">
      <c r="A447" s="3">
        <v>44349.905499249289</v>
      </c>
      <c r="B447" s="1" t="s">
        <v>808</v>
      </c>
      <c r="C447" t="s">
        <v>201</v>
      </c>
      <c r="D447">
        <v>12</v>
      </c>
      <c r="E447">
        <v>30</v>
      </c>
      <c r="F447">
        <v>15</v>
      </c>
      <c r="G447">
        <v>360</v>
      </c>
      <c r="H447" s="4">
        <v>180</v>
      </c>
      <c r="I447" s="4">
        <v>180</v>
      </c>
      <c r="J447" t="s">
        <v>384</v>
      </c>
      <c r="K447" t="s">
        <v>33</v>
      </c>
      <c r="L447" s="4">
        <v>11.687634894637348</v>
      </c>
      <c r="M447" s="1" t="s">
        <v>54</v>
      </c>
      <c r="N447" s="11">
        <f t="shared" si="6"/>
        <v>10</v>
      </c>
    </row>
    <row r="448" spans="1:14" ht="16" x14ac:dyDescent="0.2">
      <c r="A448" s="3">
        <v>43737.983022370689</v>
      </c>
      <c r="B448" s="1" t="s">
        <v>809</v>
      </c>
      <c r="C448" t="s">
        <v>204</v>
      </c>
      <c r="D448">
        <v>8</v>
      </c>
      <c r="E448">
        <v>57</v>
      </c>
      <c r="F448">
        <v>19</v>
      </c>
      <c r="G448">
        <v>456</v>
      </c>
      <c r="H448" s="4">
        <v>152</v>
      </c>
      <c r="I448" s="4">
        <v>304</v>
      </c>
      <c r="J448" t="s">
        <v>264</v>
      </c>
      <c r="K448" t="s">
        <v>42</v>
      </c>
      <c r="L448" s="4">
        <v>12.514998090845811</v>
      </c>
      <c r="M448" s="1" t="s">
        <v>38</v>
      </c>
      <c r="N448" s="11">
        <f t="shared" si="6"/>
        <v>5</v>
      </c>
    </row>
    <row r="449" spans="1:14" ht="16" x14ac:dyDescent="0.2">
      <c r="A449" s="3">
        <v>44197.573138287393</v>
      </c>
      <c r="B449" s="1" t="s">
        <v>810</v>
      </c>
      <c r="C449" t="s">
        <v>125</v>
      </c>
      <c r="D449">
        <v>4</v>
      </c>
      <c r="E449">
        <v>176</v>
      </c>
      <c r="F449">
        <v>88</v>
      </c>
      <c r="G449">
        <v>704</v>
      </c>
      <c r="H449" s="4">
        <v>352</v>
      </c>
      <c r="I449" s="4">
        <v>352</v>
      </c>
      <c r="J449" t="s">
        <v>811</v>
      </c>
      <c r="K449" t="s">
        <v>58</v>
      </c>
      <c r="L449" s="4">
        <v>14.308257477047373</v>
      </c>
      <c r="M449" s="1" t="s">
        <v>54</v>
      </c>
      <c r="N449" s="11">
        <f t="shared" si="6"/>
        <v>10</v>
      </c>
    </row>
    <row r="450" spans="1:14" ht="16" x14ac:dyDescent="0.2">
      <c r="A450" s="3">
        <v>44013.369743095383</v>
      </c>
      <c r="B450" s="1" t="s">
        <v>812</v>
      </c>
      <c r="C450" t="s">
        <v>375</v>
      </c>
      <c r="D450">
        <v>3</v>
      </c>
      <c r="E450">
        <v>360</v>
      </c>
      <c r="F450">
        <v>90</v>
      </c>
      <c r="G450">
        <v>1080</v>
      </c>
      <c r="H450" s="4">
        <v>270</v>
      </c>
      <c r="I450" s="4">
        <v>810</v>
      </c>
      <c r="J450" t="s">
        <v>323</v>
      </c>
      <c r="K450" t="s">
        <v>53</v>
      </c>
      <c r="L450" s="4">
        <v>11.221666113009938</v>
      </c>
      <c r="M450" s="1" t="s">
        <v>54</v>
      </c>
      <c r="N450" s="11">
        <f t="shared" si="6"/>
        <v>10</v>
      </c>
    </row>
    <row r="451" spans="1:14" ht="16" x14ac:dyDescent="0.2">
      <c r="A451" s="3">
        <v>43001.986392928775</v>
      </c>
      <c r="B451" s="1" t="s">
        <v>813</v>
      </c>
      <c r="C451" t="s">
        <v>365</v>
      </c>
      <c r="D451">
        <v>16</v>
      </c>
      <c r="E451">
        <v>255</v>
      </c>
      <c r="F451">
        <v>85</v>
      </c>
      <c r="G451">
        <v>4080</v>
      </c>
      <c r="H451" s="4">
        <v>1360</v>
      </c>
      <c r="I451" s="4">
        <v>2720</v>
      </c>
      <c r="J451" t="s">
        <v>241</v>
      </c>
      <c r="K451" t="s">
        <v>33</v>
      </c>
      <c r="L451" s="4">
        <v>11.274864741138284</v>
      </c>
      <c r="M451" s="1" t="s">
        <v>38</v>
      </c>
      <c r="N451" s="11">
        <f t="shared" ref="N451:N514" si="7">+IF(M451="Dissatisfied",1,IF(M451="Satisfied",10,5))</f>
        <v>5</v>
      </c>
    </row>
    <row r="452" spans="1:14" ht="16" x14ac:dyDescent="0.2">
      <c r="A452" s="3">
        <v>42892.60082115703</v>
      </c>
      <c r="B452" s="1" t="s">
        <v>814</v>
      </c>
      <c r="C452" t="s">
        <v>148</v>
      </c>
      <c r="D452">
        <v>17</v>
      </c>
      <c r="E452">
        <v>144</v>
      </c>
      <c r="F452">
        <v>36</v>
      </c>
      <c r="G452">
        <v>2448</v>
      </c>
      <c r="H452" s="4">
        <v>612</v>
      </c>
      <c r="I452" s="4">
        <v>1836</v>
      </c>
      <c r="J452" t="s">
        <v>815</v>
      </c>
      <c r="K452" t="s">
        <v>33</v>
      </c>
      <c r="L452" s="4">
        <v>16.254955391951082</v>
      </c>
      <c r="M452" s="1" t="s">
        <v>38</v>
      </c>
      <c r="N452" s="11">
        <f t="shared" si="7"/>
        <v>5</v>
      </c>
    </row>
    <row r="453" spans="1:14" ht="16" x14ac:dyDescent="0.2">
      <c r="A453" s="3">
        <v>44002.759776134677</v>
      </c>
      <c r="B453" s="1" t="s">
        <v>816</v>
      </c>
      <c r="C453" t="s">
        <v>93</v>
      </c>
      <c r="D453">
        <v>3</v>
      </c>
      <c r="E453">
        <v>204</v>
      </c>
      <c r="F453">
        <v>51</v>
      </c>
      <c r="G453">
        <v>612</v>
      </c>
      <c r="H453" s="4">
        <v>153</v>
      </c>
      <c r="I453" s="4">
        <v>459</v>
      </c>
      <c r="J453" t="s">
        <v>817</v>
      </c>
      <c r="K453" t="s">
        <v>64</v>
      </c>
      <c r="L453" s="4">
        <v>11.417996201106442</v>
      </c>
      <c r="M453" s="1" t="s">
        <v>38</v>
      </c>
      <c r="N453" s="11">
        <f t="shared" si="7"/>
        <v>5</v>
      </c>
    </row>
    <row r="454" spans="1:14" ht="16" x14ac:dyDescent="0.2">
      <c r="A454" s="3">
        <v>44342.140499638983</v>
      </c>
      <c r="B454" s="1" t="s">
        <v>818</v>
      </c>
      <c r="C454" t="s">
        <v>487</v>
      </c>
      <c r="D454">
        <v>9</v>
      </c>
      <c r="E454">
        <v>264</v>
      </c>
      <c r="F454">
        <v>88</v>
      </c>
      <c r="G454">
        <v>2376</v>
      </c>
      <c r="H454" s="4">
        <v>792</v>
      </c>
      <c r="I454" s="4">
        <v>1584</v>
      </c>
      <c r="J454" t="s">
        <v>819</v>
      </c>
      <c r="K454" t="s">
        <v>86</v>
      </c>
      <c r="L454" s="4">
        <v>12.155895475340943</v>
      </c>
      <c r="M454" s="1" t="s">
        <v>38</v>
      </c>
      <c r="N454" s="11">
        <f t="shared" si="7"/>
        <v>5</v>
      </c>
    </row>
    <row r="455" spans="1:14" ht="16" x14ac:dyDescent="0.2">
      <c r="A455" s="3">
        <v>43834.626293150082</v>
      </c>
      <c r="B455" s="1" t="s">
        <v>820</v>
      </c>
      <c r="C455" t="s">
        <v>538</v>
      </c>
      <c r="D455">
        <v>6</v>
      </c>
      <c r="E455">
        <v>261</v>
      </c>
      <c r="F455">
        <v>87</v>
      </c>
      <c r="G455">
        <v>1566</v>
      </c>
      <c r="H455" s="4">
        <v>522</v>
      </c>
      <c r="I455" s="4">
        <v>1044</v>
      </c>
      <c r="J455" t="s">
        <v>219</v>
      </c>
      <c r="K455" t="s">
        <v>49</v>
      </c>
      <c r="L455" s="4">
        <v>13.697485557052493</v>
      </c>
      <c r="M455" s="1" t="s">
        <v>38</v>
      </c>
      <c r="N455" s="11">
        <f t="shared" si="7"/>
        <v>5</v>
      </c>
    </row>
    <row r="456" spans="1:14" ht="16" x14ac:dyDescent="0.2">
      <c r="A456" s="3">
        <v>43278.114073094526</v>
      </c>
      <c r="B456" s="1" t="s">
        <v>821</v>
      </c>
      <c r="C456" t="s">
        <v>66</v>
      </c>
      <c r="D456">
        <v>3</v>
      </c>
      <c r="E456">
        <v>144</v>
      </c>
      <c r="F456">
        <v>48</v>
      </c>
      <c r="G456">
        <v>432</v>
      </c>
      <c r="H456" s="4">
        <v>144</v>
      </c>
      <c r="I456" s="4">
        <v>288</v>
      </c>
      <c r="J456" t="s">
        <v>345</v>
      </c>
      <c r="K456" t="s">
        <v>49</v>
      </c>
      <c r="L456" s="4">
        <v>14.687857652112591</v>
      </c>
      <c r="M456" s="1" t="s">
        <v>34</v>
      </c>
      <c r="N456" s="11">
        <f t="shared" si="7"/>
        <v>1</v>
      </c>
    </row>
    <row r="457" spans="1:14" ht="16" x14ac:dyDescent="0.2">
      <c r="A457" s="3">
        <v>43399.010863394717</v>
      </c>
      <c r="B457" s="1" t="s">
        <v>822</v>
      </c>
      <c r="C457" t="s">
        <v>120</v>
      </c>
      <c r="D457">
        <v>10</v>
      </c>
      <c r="E457">
        <v>252</v>
      </c>
      <c r="F457">
        <v>63</v>
      </c>
      <c r="G457">
        <v>2520</v>
      </c>
      <c r="H457" s="4">
        <v>630</v>
      </c>
      <c r="I457" s="4">
        <v>1890</v>
      </c>
      <c r="J457" t="s">
        <v>323</v>
      </c>
      <c r="K457" t="s">
        <v>53</v>
      </c>
      <c r="L457" s="4">
        <v>11.221666113009938</v>
      </c>
      <c r="M457" s="1" t="s">
        <v>34</v>
      </c>
      <c r="N457" s="11">
        <f t="shared" si="7"/>
        <v>1</v>
      </c>
    </row>
    <row r="458" spans="1:14" ht="16" x14ac:dyDescent="0.2">
      <c r="A458" s="3">
        <v>45380.995006598037</v>
      </c>
      <c r="B458" s="1" t="s">
        <v>823</v>
      </c>
      <c r="C458" t="s">
        <v>227</v>
      </c>
      <c r="D458">
        <v>4</v>
      </c>
      <c r="E458">
        <v>144</v>
      </c>
      <c r="F458">
        <v>48</v>
      </c>
      <c r="G458">
        <v>576</v>
      </c>
      <c r="H458" s="4">
        <v>192</v>
      </c>
      <c r="I458" s="4">
        <v>384</v>
      </c>
      <c r="J458" t="s">
        <v>134</v>
      </c>
      <c r="K458" t="s">
        <v>33</v>
      </c>
      <c r="L458" s="4">
        <v>9.4200113153305907</v>
      </c>
      <c r="M458" s="1" t="s">
        <v>54</v>
      </c>
      <c r="N458" s="11">
        <f t="shared" si="7"/>
        <v>10</v>
      </c>
    </row>
    <row r="459" spans="1:14" ht="16" x14ac:dyDescent="0.2">
      <c r="A459" s="3">
        <v>44085.003695023224</v>
      </c>
      <c r="B459" s="1" t="s">
        <v>824</v>
      </c>
      <c r="C459" t="s">
        <v>410</v>
      </c>
      <c r="D459">
        <v>12</v>
      </c>
      <c r="E459">
        <v>84</v>
      </c>
      <c r="F459">
        <v>21</v>
      </c>
      <c r="G459">
        <v>1008</v>
      </c>
      <c r="H459" s="4">
        <v>252</v>
      </c>
      <c r="I459" s="4">
        <v>756</v>
      </c>
      <c r="J459" t="s">
        <v>825</v>
      </c>
      <c r="K459" t="s">
        <v>42</v>
      </c>
      <c r="L459" s="4">
        <v>14.060995290679429</v>
      </c>
      <c r="M459" s="1" t="s">
        <v>38</v>
      </c>
      <c r="N459" s="11">
        <f t="shared" si="7"/>
        <v>5</v>
      </c>
    </row>
    <row r="460" spans="1:14" ht="16" x14ac:dyDescent="0.2">
      <c r="A460" s="3">
        <v>44167.581119487673</v>
      </c>
      <c r="B460" s="1" t="s">
        <v>826</v>
      </c>
      <c r="C460" t="s">
        <v>157</v>
      </c>
      <c r="D460">
        <v>5</v>
      </c>
      <c r="E460">
        <v>50</v>
      </c>
      <c r="F460">
        <v>25</v>
      </c>
      <c r="G460">
        <v>250</v>
      </c>
      <c r="H460" s="4">
        <v>125</v>
      </c>
      <c r="I460" s="4">
        <v>125</v>
      </c>
      <c r="J460" t="s">
        <v>57</v>
      </c>
      <c r="K460" t="s">
        <v>58</v>
      </c>
      <c r="L460" s="4">
        <v>11.749993886708426</v>
      </c>
      <c r="M460" s="1" t="s">
        <v>38</v>
      </c>
      <c r="N460" s="11">
        <f t="shared" si="7"/>
        <v>5</v>
      </c>
    </row>
    <row r="461" spans="1:14" ht="16" x14ac:dyDescent="0.2">
      <c r="A461" s="3">
        <v>44400.808649637271</v>
      </c>
      <c r="B461" s="1" t="s">
        <v>827</v>
      </c>
      <c r="C461" t="s">
        <v>196</v>
      </c>
      <c r="D461">
        <v>11</v>
      </c>
      <c r="E461">
        <v>192</v>
      </c>
      <c r="F461">
        <v>96</v>
      </c>
      <c r="G461">
        <v>2112</v>
      </c>
      <c r="H461" s="4">
        <v>1056</v>
      </c>
      <c r="I461" s="4">
        <v>1056</v>
      </c>
      <c r="J461" t="s">
        <v>249</v>
      </c>
      <c r="K461" t="s">
        <v>49</v>
      </c>
      <c r="L461" s="4">
        <v>12.699346182652626</v>
      </c>
      <c r="M461" s="1" t="s">
        <v>38</v>
      </c>
      <c r="N461" s="11">
        <f t="shared" si="7"/>
        <v>5</v>
      </c>
    </row>
    <row r="462" spans="1:14" ht="16" x14ac:dyDescent="0.2">
      <c r="A462" s="3">
        <v>43579.941146593825</v>
      </c>
      <c r="B462" s="1" t="s">
        <v>828</v>
      </c>
      <c r="C462" t="s">
        <v>337</v>
      </c>
      <c r="D462">
        <v>12</v>
      </c>
      <c r="E462">
        <v>135</v>
      </c>
      <c r="F462">
        <v>45</v>
      </c>
      <c r="G462">
        <v>1620</v>
      </c>
      <c r="H462" s="4">
        <v>540</v>
      </c>
      <c r="I462" s="4">
        <v>1080</v>
      </c>
      <c r="J462" t="s">
        <v>545</v>
      </c>
      <c r="K462" t="s">
        <v>53</v>
      </c>
      <c r="L462" s="4">
        <v>10.112765954734209</v>
      </c>
      <c r="M462" s="1" t="s">
        <v>38</v>
      </c>
      <c r="N462" s="11">
        <f t="shared" si="7"/>
        <v>5</v>
      </c>
    </row>
    <row r="463" spans="1:14" ht="16" x14ac:dyDescent="0.2">
      <c r="A463" s="3">
        <v>43621.266535613904</v>
      </c>
      <c r="B463" s="1" t="s">
        <v>829</v>
      </c>
      <c r="C463" t="s">
        <v>218</v>
      </c>
      <c r="D463">
        <v>6</v>
      </c>
      <c r="E463">
        <v>264</v>
      </c>
      <c r="F463">
        <v>88</v>
      </c>
      <c r="G463">
        <v>1584</v>
      </c>
      <c r="H463" s="4">
        <v>528</v>
      </c>
      <c r="I463" s="4">
        <v>1056</v>
      </c>
      <c r="J463" t="s">
        <v>315</v>
      </c>
      <c r="K463" t="s">
        <v>42</v>
      </c>
      <c r="L463" s="4">
        <v>10.966283117837653</v>
      </c>
      <c r="M463" s="1" t="s">
        <v>34</v>
      </c>
      <c r="N463" s="11">
        <f t="shared" si="7"/>
        <v>1</v>
      </c>
    </row>
    <row r="464" spans="1:14" ht="16" x14ac:dyDescent="0.2">
      <c r="A464" s="3">
        <v>44268.372432425742</v>
      </c>
      <c r="B464" s="1" t="s">
        <v>830</v>
      </c>
      <c r="C464" t="s">
        <v>583</v>
      </c>
      <c r="D464">
        <v>5</v>
      </c>
      <c r="E464">
        <v>57</v>
      </c>
      <c r="F464">
        <v>19</v>
      </c>
      <c r="G464">
        <v>285</v>
      </c>
      <c r="H464" s="4">
        <v>95</v>
      </c>
      <c r="I464" s="4">
        <v>190</v>
      </c>
      <c r="J464" t="s">
        <v>152</v>
      </c>
      <c r="K464" t="s">
        <v>33</v>
      </c>
      <c r="L464" s="4">
        <v>11.749038185128619</v>
      </c>
      <c r="M464" s="1" t="s">
        <v>38</v>
      </c>
      <c r="N464" s="11">
        <f t="shared" si="7"/>
        <v>5</v>
      </c>
    </row>
    <row r="465" spans="1:14" ht="16" x14ac:dyDescent="0.2">
      <c r="A465" s="3">
        <v>43976.146107597153</v>
      </c>
      <c r="B465" s="1" t="s">
        <v>831</v>
      </c>
      <c r="C465" t="s">
        <v>473</v>
      </c>
      <c r="D465">
        <v>14</v>
      </c>
      <c r="E465">
        <v>72</v>
      </c>
      <c r="F465">
        <v>36</v>
      </c>
      <c r="G465">
        <v>1008</v>
      </c>
      <c r="H465" s="4">
        <v>504</v>
      </c>
      <c r="I465" s="4">
        <v>504</v>
      </c>
      <c r="J465" t="s">
        <v>569</v>
      </c>
      <c r="K465" t="s">
        <v>33</v>
      </c>
      <c r="L465" s="4">
        <v>12.921682080641304</v>
      </c>
      <c r="M465" s="1" t="s">
        <v>34</v>
      </c>
      <c r="N465" s="11">
        <f t="shared" si="7"/>
        <v>1</v>
      </c>
    </row>
    <row r="466" spans="1:14" ht="16" x14ac:dyDescent="0.2">
      <c r="A466" s="3">
        <v>43819.707195689283</v>
      </c>
      <c r="B466" s="1" t="s">
        <v>832</v>
      </c>
      <c r="C466" t="s">
        <v>193</v>
      </c>
      <c r="D466">
        <v>4</v>
      </c>
      <c r="E466">
        <v>348</v>
      </c>
      <c r="F466">
        <v>87</v>
      </c>
      <c r="G466">
        <v>1392</v>
      </c>
      <c r="H466" s="4">
        <v>348</v>
      </c>
      <c r="I466" s="4">
        <v>1044</v>
      </c>
      <c r="J466" t="s">
        <v>230</v>
      </c>
      <c r="K466" t="s">
        <v>42</v>
      </c>
      <c r="L466" s="4">
        <v>12.172922939334034</v>
      </c>
      <c r="M466" s="1" t="s">
        <v>54</v>
      </c>
      <c r="N466" s="11">
        <f t="shared" si="7"/>
        <v>10</v>
      </c>
    </row>
    <row r="467" spans="1:14" ht="16" x14ac:dyDescent="0.2">
      <c r="A467" s="3">
        <v>43177.034466239071</v>
      </c>
      <c r="B467" s="1" t="s">
        <v>833</v>
      </c>
      <c r="C467" t="s">
        <v>286</v>
      </c>
      <c r="D467">
        <v>8</v>
      </c>
      <c r="E467">
        <v>34</v>
      </c>
      <c r="F467">
        <v>17</v>
      </c>
      <c r="G467">
        <v>272</v>
      </c>
      <c r="H467" s="4">
        <v>136</v>
      </c>
      <c r="I467" s="4">
        <v>136</v>
      </c>
      <c r="J467" t="s">
        <v>469</v>
      </c>
      <c r="K467" t="s">
        <v>64</v>
      </c>
      <c r="L467" s="4">
        <v>7.9963422143733238</v>
      </c>
      <c r="M467" s="1" t="s">
        <v>38</v>
      </c>
      <c r="N467" s="11">
        <f t="shared" si="7"/>
        <v>5</v>
      </c>
    </row>
    <row r="468" spans="1:14" ht="16" x14ac:dyDescent="0.2">
      <c r="A468" s="3">
        <v>43470.277579714937</v>
      </c>
      <c r="B468" s="1" t="s">
        <v>834</v>
      </c>
      <c r="C468" t="s">
        <v>120</v>
      </c>
      <c r="D468">
        <v>3</v>
      </c>
      <c r="E468">
        <v>252</v>
      </c>
      <c r="F468">
        <v>63</v>
      </c>
      <c r="G468">
        <v>756</v>
      </c>
      <c r="H468" s="4">
        <v>189</v>
      </c>
      <c r="I468" s="4">
        <v>567</v>
      </c>
      <c r="J468" t="s">
        <v>41</v>
      </c>
      <c r="K468" t="s">
        <v>42</v>
      </c>
      <c r="L468" s="4">
        <v>9.3226775515721787</v>
      </c>
      <c r="M468" s="1" t="s">
        <v>38</v>
      </c>
      <c r="N468" s="11">
        <f t="shared" si="7"/>
        <v>5</v>
      </c>
    </row>
    <row r="469" spans="1:14" ht="16" x14ac:dyDescent="0.2">
      <c r="A469" s="3">
        <v>43060.66204771206</v>
      </c>
      <c r="B469" s="1" t="s">
        <v>835</v>
      </c>
      <c r="C469" t="s">
        <v>51</v>
      </c>
      <c r="D469">
        <v>6</v>
      </c>
      <c r="E469">
        <v>160</v>
      </c>
      <c r="F469">
        <v>80</v>
      </c>
      <c r="G469">
        <v>960</v>
      </c>
      <c r="H469" s="4">
        <v>480</v>
      </c>
      <c r="I469" s="4">
        <v>480</v>
      </c>
      <c r="J469" t="s">
        <v>348</v>
      </c>
      <c r="K469" t="s">
        <v>42</v>
      </c>
      <c r="L469" s="4">
        <v>11.769293993029555</v>
      </c>
      <c r="M469" s="1" t="s">
        <v>54</v>
      </c>
      <c r="N469" s="11">
        <f t="shared" si="7"/>
        <v>10</v>
      </c>
    </row>
    <row r="470" spans="1:14" ht="16" x14ac:dyDescent="0.2">
      <c r="A470" s="3">
        <v>44237.040189713487</v>
      </c>
      <c r="B470" s="1" t="s">
        <v>836</v>
      </c>
      <c r="C470" t="s">
        <v>320</v>
      </c>
      <c r="D470">
        <v>16</v>
      </c>
      <c r="E470">
        <v>280</v>
      </c>
      <c r="F470">
        <v>70</v>
      </c>
      <c r="G470">
        <v>4480</v>
      </c>
      <c r="H470" s="4">
        <v>1120</v>
      </c>
      <c r="I470" s="4">
        <v>3360</v>
      </c>
      <c r="J470" t="s">
        <v>802</v>
      </c>
      <c r="K470" t="s">
        <v>58</v>
      </c>
      <c r="L470" s="4">
        <v>11.943192562152261</v>
      </c>
      <c r="M470" s="1" t="s">
        <v>38</v>
      </c>
      <c r="N470" s="11">
        <f t="shared" si="7"/>
        <v>5</v>
      </c>
    </row>
    <row r="471" spans="1:14" ht="16" x14ac:dyDescent="0.2">
      <c r="A471" s="3">
        <v>44180.24831035742</v>
      </c>
      <c r="B471" s="1" t="s">
        <v>837</v>
      </c>
      <c r="C471" t="s">
        <v>115</v>
      </c>
      <c r="D471">
        <v>13</v>
      </c>
      <c r="E471">
        <v>81</v>
      </c>
      <c r="F471">
        <v>27</v>
      </c>
      <c r="G471">
        <v>1053</v>
      </c>
      <c r="H471" s="4">
        <v>351</v>
      </c>
      <c r="I471" s="4">
        <v>702</v>
      </c>
      <c r="J471" t="s">
        <v>219</v>
      </c>
      <c r="K471" t="s">
        <v>49</v>
      </c>
      <c r="L471" s="4">
        <v>13.697485557052493</v>
      </c>
      <c r="M471" s="1" t="s">
        <v>38</v>
      </c>
      <c r="N471" s="11">
        <f t="shared" si="7"/>
        <v>5</v>
      </c>
    </row>
    <row r="472" spans="1:14" ht="16" x14ac:dyDescent="0.2">
      <c r="A472" s="3">
        <v>43875.836379291344</v>
      </c>
      <c r="B472" s="1" t="s">
        <v>838</v>
      </c>
      <c r="C472" t="s">
        <v>788</v>
      </c>
      <c r="D472">
        <v>16</v>
      </c>
      <c r="E472">
        <v>100</v>
      </c>
      <c r="F472">
        <v>25</v>
      </c>
      <c r="G472">
        <v>1600</v>
      </c>
      <c r="H472" s="4">
        <v>400</v>
      </c>
      <c r="I472" s="4">
        <v>1200</v>
      </c>
      <c r="J472" t="s">
        <v>444</v>
      </c>
      <c r="K472" t="s">
        <v>42</v>
      </c>
      <c r="L472" s="4">
        <v>15.861056998489449</v>
      </c>
      <c r="M472" s="1" t="s">
        <v>38</v>
      </c>
      <c r="N472" s="11">
        <f t="shared" si="7"/>
        <v>5</v>
      </c>
    </row>
    <row r="473" spans="1:14" ht="16" x14ac:dyDescent="0.2">
      <c r="A473" s="3">
        <v>43838.722597639819</v>
      </c>
      <c r="B473" s="1" t="s">
        <v>839</v>
      </c>
      <c r="C473" t="s">
        <v>523</v>
      </c>
      <c r="D473">
        <v>1</v>
      </c>
      <c r="E473">
        <v>92</v>
      </c>
      <c r="F473">
        <v>46</v>
      </c>
      <c r="G473">
        <v>92</v>
      </c>
      <c r="H473" s="4">
        <v>46</v>
      </c>
      <c r="I473" s="4">
        <v>46</v>
      </c>
      <c r="J473" t="s">
        <v>542</v>
      </c>
      <c r="K473" t="s">
        <v>58</v>
      </c>
      <c r="L473" s="4">
        <v>13.929237493388955</v>
      </c>
      <c r="M473" s="1" t="s">
        <v>38</v>
      </c>
      <c r="N473" s="11">
        <f t="shared" si="7"/>
        <v>5</v>
      </c>
    </row>
    <row r="474" spans="1:14" ht="16" x14ac:dyDescent="0.2">
      <c r="A474" s="3">
        <v>44269.3855643399</v>
      </c>
      <c r="B474" s="1" t="s">
        <v>840</v>
      </c>
      <c r="C474" t="s">
        <v>420</v>
      </c>
      <c r="D474">
        <v>19</v>
      </c>
      <c r="E474">
        <v>162</v>
      </c>
      <c r="F474">
        <v>54</v>
      </c>
      <c r="G474">
        <v>3078</v>
      </c>
      <c r="H474" s="4">
        <v>1026</v>
      </c>
      <c r="I474" s="4">
        <v>2052</v>
      </c>
      <c r="J474" t="s">
        <v>363</v>
      </c>
      <c r="K474" t="s">
        <v>64</v>
      </c>
      <c r="L474" s="4">
        <v>14.690198582365463</v>
      </c>
      <c r="M474" s="1" t="s">
        <v>54</v>
      </c>
      <c r="N474" s="11">
        <f t="shared" si="7"/>
        <v>10</v>
      </c>
    </row>
    <row r="475" spans="1:14" ht="16" x14ac:dyDescent="0.2">
      <c r="A475" s="3">
        <v>43363.668747628879</v>
      </c>
      <c r="B475" s="1" t="s">
        <v>841</v>
      </c>
      <c r="C475" t="s">
        <v>78</v>
      </c>
      <c r="D475">
        <v>20</v>
      </c>
      <c r="E475">
        <v>94</v>
      </c>
      <c r="F475">
        <v>47</v>
      </c>
      <c r="G475">
        <v>1880</v>
      </c>
      <c r="H475" s="4">
        <v>940</v>
      </c>
      <c r="I475" s="4">
        <v>940</v>
      </c>
      <c r="J475" t="s">
        <v>752</v>
      </c>
      <c r="K475" t="s">
        <v>49</v>
      </c>
      <c r="L475" s="4">
        <v>11.862005526237752</v>
      </c>
      <c r="M475" s="1" t="s">
        <v>38</v>
      </c>
      <c r="N475" s="11">
        <f t="shared" si="7"/>
        <v>5</v>
      </c>
    </row>
    <row r="476" spans="1:14" ht="16" x14ac:dyDescent="0.2">
      <c r="A476" s="3">
        <v>43549.229185546603</v>
      </c>
      <c r="B476" s="1" t="s">
        <v>842</v>
      </c>
      <c r="C476" t="s">
        <v>62</v>
      </c>
      <c r="D476">
        <v>12</v>
      </c>
      <c r="E476">
        <v>80</v>
      </c>
      <c r="F476">
        <v>20</v>
      </c>
      <c r="G476">
        <v>960</v>
      </c>
      <c r="H476" s="4">
        <v>240</v>
      </c>
      <c r="I476" s="4">
        <v>720</v>
      </c>
      <c r="J476" t="s">
        <v>236</v>
      </c>
      <c r="K476" t="s">
        <v>53</v>
      </c>
      <c r="L476" s="4">
        <v>9.3014286057233697</v>
      </c>
      <c r="M476" s="1" t="s">
        <v>38</v>
      </c>
      <c r="N476" s="11">
        <f t="shared" si="7"/>
        <v>5</v>
      </c>
    </row>
    <row r="477" spans="1:14" ht="16" x14ac:dyDescent="0.2">
      <c r="A477" s="3">
        <v>43979.217960931681</v>
      </c>
      <c r="B477" s="1" t="s">
        <v>843</v>
      </c>
      <c r="C477" t="s">
        <v>257</v>
      </c>
      <c r="D477">
        <v>3</v>
      </c>
      <c r="E477">
        <v>160</v>
      </c>
      <c r="F477">
        <v>80</v>
      </c>
      <c r="G477">
        <v>480</v>
      </c>
      <c r="H477" s="4">
        <v>240</v>
      </c>
      <c r="I477" s="4">
        <v>240</v>
      </c>
      <c r="J477" t="s">
        <v>844</v>
      </c>
      <c r="K477" t="s">
        <v>33</v>
      </c>
      <c r="L477" s="4">
        <v>11.816654396440285</v>
      </c>
      <c r="M477" s="1" t="s">
        <v>34</v>
      </c>
      <c r="N477" s="11">
        <f t="shared" si="7"/>
        <v>1</v>
      </c>
    </row>
    <row r="478" spans="1:14" ht="16" x14ac:dyDescent="0.2">
      <c r="A478" s="3">
        <v>43721.93002650702</v>
      </c>
      <c r="B478" s="1" t="s">
        <v>845</v>
      </c>
      <c r="C478" t="s">
        <v>178</v>
      </c>
      <c r="D478">
        <v>17</v>
      </c>
      <c r="E478">
        <v>189</v>
      </c>
      <c r="F478">
        <v>63</v>
      </c>
      <c r="G478">
        <v>3213</v>
      </c>
      <c r="H478" s="4">
        <v>1071</v>
      </c>
      <c r="I478" s="4">
        <v>2142</v>
      </c>
      <c r="J478" t="s">
        <v>272</v>
      </c>
      <c r="K478" t="s">
        <v>49</v>
      </c>
      <c r="L478" s="4">
        <v>12.503632939408062</v>
      </c>
      <c r="M478" s="1" t="s">
        <v>38</v>
      </c>
      <c r="N478" s="11">
        <f t="shared" si="7"/>
        <v>5</v>
      </c>
    </row>
    <row r="479" spans="1:14" ht="16" x14ac:dyDescent="0.2">
      <c r="A479" s="3">
        <v>44248.70464898333</v>
      </c>
      <c r="B479" s="1" t="s">
        <v>846</v>
      </c>
      <c r="C479" t="s">
        <v>163</v>
      </c>
      <c r="D479">
        <v>6</v>
      </c>
      <c r="E479">
        <v>108</v>
      </c>
      <c r="F479">
        <v>36</v>
      </c>
      <c r="G479">
        <v>648</v>
      </c>
      <c r="H479" s="4">
        <v>216</v>
      </c>
      <c r="I479" s="4">
        <v>432</v>
      </c>
      <c r="J479" t="s">
        <v>406</v>
      </c>
      <c r="K479" t="s">
        <v>58</v>
      </c>
      <c r="L479" s="4">
        <v>11.082295381980092</v>
      </c>
      <c r="M479" s="1" t="s">
        <v>38</v>
      </c>
      <c r="N479" s="11">
        <f t="shared" si="7"/>
        <v>5</v>
      </c>
    </row>
    <row r="480" spans="1:14" ht="16" x14ac:dyDescent="0.2">
      <c r="A480" s="3">
        <v>44699.293418130059</v>
      </c>
      <c r="B480" s="1" t="s">
        <v>847</v>
      </c>
      <c r="C480" t="s">
        <v>31</v>
      </c>
      <c r="D480">
        <v>4</v>
      </c>
      <c r="E480">
        <v>280</v>
      </c>
      <c r="F480">
        <v>70</v>
      </c>
      <c r="G480">
        <v>1120</v>
      </c>
      <c r="H480" s="4">
        <v>280</v>
      </c>
      <c r="I480" s="4">
        <v>840</v>
      </c>
      <c r="J480" t="s">
        <v>587</v>
      </c>
      <c r="K480" t="s">
        <v>49</v>
      </c>
      <c r="L480" s="4">
        <v>14.760829371220243</v>
      </c>
      <c r="M480" s="1" t="s">
        <v>54</v>
      </c>
      <c r="N480" s="11">
        <f t="shared" si="7"/>
        <v>10</v>
      </c>
    </row>
    <row r="481" spans="1:14" ht="16" x14ac:dyDescent="0.2">
      <c r="A481" s="3">
        <v>44092.274201848195</v>
      </c>
      <c r="B481" s="1" t="s">
        <v>848</v>
      </c>
      <c r="C481" t="s">
        <v>283</v>
      </c>
      <c r="D481">
        <v>8</v>
      </c>
      <c r="E481">
        <v>144</v>
      </c>
      <c r="F481">
        <v>36</v>
      </c>
      <c r="G481">
        <v>1152</v>
      </c>
      <c r="H481" s="4">
        <v>288</v>
      </c>
      <c r="I481" s="4">
        <v>864</v>
      </c>
      <c r="J481" t="s">
        <v>629</v>
      </c>
      <c r="K481" t="s">
        <v>53</v>
      </c>
      <c r="L481" s="4">
        <v>9.8892508156549788</v>
      </c>
      <c r="M481" s="1" t="s">
        <v>54</v>
      </c>
      <c r="N481" s="11">
        <f t="shared" si="7"/>
        <v>10</v>
      </c>
    </row>
    <row r="482" spans="1:14" ht="16" x14ac:dyDescent="0.2">
      <c r="A482" s="3">
        <v>44042.450062165241</v>
      </c>
      <c r="B482" s="1" t="s">
        <v>849</v>
      </c>
      <c r="C482" t="s">
        <v>607</v>
      </c>
      <c r="D482">
        <v>12</v>
      </c>
      <c r="E482">
        <v>225</v>
      </c>
      <c r="F482">
        <v>75</v>
      </c>
      <c r="G482">
        <v>2700</v>
      </c>
      <c r="H482" s="4">
        <v>900</v>
      </c>
      <c r="I482" s="4">
        <v>1800</v>
      </c>
      <c r="J482" t="s">
        <v>576</v>
      </c>
      <c r="K482" t="s">
        <v>33</v>
      </c>
      <c r="L482" s="4">
        <v>11.769937929618399</v>
      </c>
      <c r="M482" s="1" t="s">
        <v>34</v>
      </c>
      <c r="N482" s="11">
        <f t="shared" si="7"/>
        <v>1</v>
      </c>
    </row>
    <row r="483" spans="1:14" ht="16" x14ac:dyDescent="0.2">
      <c r="A483" s="3">
        <v>44891.316944428916</v>
      </c>
      <c r="B483" s="1" t="s">
        <v>850</v>
      </c>
      <c r="C483" t="s">
        <v>101</v>
      </c>
      <c r="D483">
        <v>13</v>
      </c>
      <c r="E483">
        <v>50</v>
      </c>
      <c r="F483">
        <v>25</v>
      </c>
      <c r="G483">
        <v>650</v>
      </c>
      <c r="H483" s="4">
        <v>325</v>
      </c>
      <c r="I483" s="4">
        <v>325</v>
      </c>
      <c r="J483" t="s">
        <v>851</v>
      </c>
      <c r="K483" t="s">
        <v>49</v>
      </c>
      <c r="L483" s="4">
        <v>9.5176115401380308</v>
      </c>
      <c r="M483" s="1" t="s">
        <v>38</v>
      </c>
      <c r="N483" s="11">
        <f t="shared" si="7"/>
        <v>5</v>
      </c>
    </row>
    <row r="484" spans="1:14" ht="16" x14ac:dyDescent="0.2">
      <c r="A484" s="3">
        <v>44251.76170622871</v>
      </c>
      <c r="B484" s="1" t="s">
        <v>852</v>
      </c>
      <c r="C484" t="s">
        <v>523</v>
      </c>
      <c r="D484">
        <v>1</v>
      </c>
      <c r="E484">
        <v>92</v>
      </c>
      <c r="F484">
        <v>46</v>
      </c>
      <c r="G484">
        <v>92</v>
      </c>
      <c r="H484" s="4">
        <v>46</v>
      </c>
      <c r="I484" s="4">
        <v>46</v>
      </c>
      <c r="J484" t="s">
        <v>384</v>
      </c>
      <c r="K484" t="s">
        <v>33</v>
      </c>
      <c r="L484" s="4">
        <v>11.687634894637348</v>
      </c>
      <c r="M484" s="1" t="s">
        <v>38</v>
      </c>
      <c r="N484" s="11">
        <f t="shared" si="7"/>
        <v>5</v>
      </c>
    </row>
    <row r="485" spans="1:14" ht="16" x14ac:dyDescent="0.2">
      <c r="A485" s="3">
        <v>43422.427285157712</v>
      </c>
      <c r="B485" s="1" t="s">
        <v>853</v>
      </c>
      <c r="C485" t="s">
        <v>561</v>
      </c>
      <c r="D485">
        <v>17</v>
      </c>
      <c r="E485">
        <v>384</v>
      </c>
      <c r="F485">
        <v>96</v>
      </c>
      <c r="G485">
        <v>6528</v>
      </c>
      <c r="H485" s="4">
        <v>1632</v>
      </c>
      <c r="I485" s="4">
        <v>4896</v>
      </c>
      <c r="J485" t="s">
        <v>854</v>
      </c>
      <c r="K485" t="s">
        <v>58</v>
      </c>
      <c r="L485" s="4">
        <v>12.990345718839325</v>
      </c>
      <c r="M485" s="1" t="s">
        <v>38</v>
      </c>
      <c r="N485" s="11">
        <f t="shared" si="7"/>
        <v>5</v>
      </c>
    </row>
    <row r="486" spans="1:14" ht="16" x14ac:dyDescent="0.2">
      <c r="A486" s="3">
        <v>43864.681482363478</v>
      </c>
      <c r="B486" s="1" t="s">
        <v>855</v>
      </c>
      <c r="C486" t="s">
        <v>157</v>
      </c>
      <c r="D486">
        <v>1</v>
      </c>
      <c r="E486">
        <v>50</v>
      </c>
      <c r="F486">
        <v>25</v>
      </c>
      <c r="G486">
        <v>50</v>
      </c>
      <c r="H486" s="4">
        <v>25</v>
      </c>
      <c r="I486" s="4">
        <v>25</v>
      </c>
      <c r="J486" t="s">
        <v>471</v>
      </c>
      <c r="K486" t="s">
        <v>58</v>
      </c>
      <c r="L486" s="4">
        <v>10.764293826791503</v>
      </c>
      <c r="M486" s="1" t="s">
        <v>38</v>
      </c>
      <c r="N486" s="11">
        <f t="shared" si="7"/>
        <v>5</v>
      </c>
    </row>
    <row r="487" spans="1:14" ht="16" x14ac:dyDescent="0.2">
      <c r="A487" s="3">
        <v>44771.993899568988</v>
      </c>
      <c r="B487" s="1" t="s">
        <v>190</v>
      </c>
      <c r="C487" t="s">
        <v>139</v>
      </c>
      <c r="D487">
        <v>9</v>
      </c>
      <c r="E487">
        <v>320</v>
      </c>
      <c r="F487">
        <v>80</v>
      </c>
      <c r="G487">
        <v>2880</v>
      </c>
      <c r="H487" s="4">
        <v>720</v>
      </c>
      <c r="I487" s="4">
        <v>2160</v>
      </c>
      <c r="J487" t="s">
        <v>856</v>
      </c>
      <c r="K487" t="s">
        <v>42</v>
      </c>
      <c r="L487" s="4">
        <v>11.226611755437654</v>
      </c>
      <c r="M487" s="1" t="s">
        <v>34</v>
      </c>
      <c r="N487" s="11">
        <f t="shared" si="7"/>
        <v>1</v>
      </c>
    </row>
    <row r="488" spans="1:14" ht="16" x14ac:dyDescent="0.2">
      <c r="A488" s="3">
        <v>43467.60619153687</v>
      </c>
      <c r="B488" s="1" t="s">
        <v>857</v>
      </c>
      <c r="C488" t="s">
        <v>160</v>
      </c>
      <c r="D488">
        <v>19</v>
      </c>
      <c r="E488">
        <v>132</v>
      </c>
      <c r="F488">
        <v>33</v>
      </c>
      <c r="G488">
        <v>2508</v>
      </c>
      <c r="H488" s="4">
        <v>627</v>
      </c>
      <c r="I488" s="4">
        <v>1881</v>
      </c>
      <c r="J488" t="s">
        <v>57</v>
      </c>
      <c r="K488" t="s">
        <v>58</v>
      </c>
      <c r="L488" s="4">
        <v>11.749993886708426</v>
      </c>
      <c r="M488" s="1" t="s">
        <v>54</v>
      </c>
      <c r="N488" s="11">
        <f t="shared" si="7"/>
        <v>10</v>
      </c>
    </row>
    <row r="489" spans="1:14" ht="16" x14ac:dyDescent="0.2">
      <c r="A489" s="3">
        <v>45099.639112729848</v>
      </c>
      <c r="B489" s="1" t="s">
        <v>858</v>
      </c>
      <c r="C489" t="s">
        <v>286</v>
      </c>
      <c r="D489">
        <v>1</v>
      </c>
      <c r="E489">
        <v>34</v>
      </c>
      <c r="F489">
        <v>17</v>
      </c>
      <c r="G489">
        <v>34</v>
      </c>
      <c r="H489" s="4">
        <v>17</v>
      </c>
      <c r="I489" s="4">
        <v>17</v>
      </c>
      <c r="J489" t="s">
        <v>108</v>
      </c>
      <c r="K489" t="s">
        <v>64</v>
      </c>
      <c r="L489" s="4">
        <v>9.7467096260695598</v>
      </c>
      <c r="M489" s="1" t="s">
        <v>54</v>
      </c>
      <c r="N489" s="11">
        <f t="shared" si="7"/>
        <v>10</v>
      </c>
    </row>
    <row r="490" spans="1:14" ht="16" x14ac:dyDescent="0.2">
      <c r="A490" s="3">
        <v>44166.963481565705</v>
      </c>
      <c r="B490" s="1" t="s">
        <v>859</v>
      </c>
      <c r="C490" t="s">
        <v>259</v>
      </c>
      <c r="D490">
        <v>2</v>
      </c>
      <c r="E490">
        <v>270</v>
      </c>
      <c r="F490">
        <v>90</v>
      </c>
      <c r="G490">
        <v>540</v>
      </c>
      <c r="H490" s="4">
        <v>180</v>
      </c>
      <c r="I490" s="4">
        <v>360</v>
      </c>
      <c r="J490" t="s">
        <v>421</v>
      </c>
      <c r="K490" t="s">
        <v>53</v>
      </c>
      <c r="L490" s="4">
        <v>10.96230865592911</v>
      </c>
      <c r="M490" s="1" t="s">
        <v>54</v>
      </c>
      <c r="N490" s="11">
        <f t="shared" si="7"/>
        <v>10</v>
      </c>
    </row>
    <row r="491" spans="1:14" ht="16" x14ac:dyDescent="0.2">
      <c r="A491" s="3">
        <v>43359.110156088871</v>
      </c>
      <c r="B491" s="1" t="s">
        <v>860</v>
      </c>
      <c r="C491" t="s">
        <v>212</v>
      </c>
      <c r="D491">
        <v>13</v>
      </c>
      <c r="E491">
        <v>300</v>
      </c>
      <c r="F491">
        <v>75</v>
      </c>
      <c r="G491">
        <v>3900</v>
      </c>
      <c r="H491" s="4">
        <v>975</v>
      </c>
      <c r="I491" s="4">
        <v>2925</v>
      </c>
      <c r="J491" t="s">
        <v>213</v>
      </c>
      <c r="K491" t="s">
        <v>58</v>
      </c>
      <c r="L491" s="4">
        <v>10.980884286450312</v>
      </c>
      <c r="M491" s="1" t="s">
        <v>38</v>
      </c>
      <c r="N491" s="11">
        <f t="shared" si="7"/>
        <v>5</v>
      </c>
    </row>
    <row r="492" spans="1:14" ht="16" x14ac:dyDescent="0.2">
      <c r="A492" s="3">
        <v>43173.253047865772</v>
      </c>
      <c r="B492" s="1" t="s">
        <v>861</v>
      </c>
      <c r="C492" t="s">
        <v>370</v>
      </c>
      <c r="D492">
        <v>11</v>
      </c>
      <c r="E492">
        <v>144</v>
      </c>
      <c r="F492">
        <v>36</v>
      </c>
      <c r="G492">
        <v>1584</v>
      </c>
      <c r="H492" s="4">
        <v>396</v>
      </c>
      <c r="I492" s="4">
        <v>1188</v>
      </c>
      <c r="J492" t="s">
        <v>862</v>
      </c>
      <c r="K492" t="s">
        <v>58</v>
      </c>
      <c r="L492" s="4">
        <v>13.827196127590291</v>
      </c>
      <c r="M492" s="1" t="s">
        <v>34</v>
      </c>
      <c r="N492" s="11">
        <f t="shared" si="7"/>
        <v>1</v>
      </c>
    </row>
    <row r="493" spans="1:14" ht="16" x14ac:dyDescent="0.2">
      <c r="A493" s="3">
        <v>44661.154865499877</v>
      </c>
      <c r="B493" s="1" t="s">
        <v>863</v>
      </c>
      <c r="C493" t="s">
        <v>473</v>
      </c>
      <c r="D493">
        <v>4</v>
      </c>
      <c r="E493">
        <v>72</v>
      </c>
      <c r="F493">
        <v>36</v>
      </c>
      <c r="G493">
        <v>288</v>
      </c>
      <c r="H493" s="4">
        <v>144</v>
      </c>
      <c r="I493" s="4">
        <v>144</v>
      </c>
      <c r="J493" t="s">
        <v>48</v>
      </c>
      <c r="K493" t="s">
        <v>49</v>
      </c>
      <c r="L493" s="4">
        <v>15.24190997853951</v>
      </c>
      <c r="M493" s="1" t="s">
        <v>34</v>
      </c>
      <c r="N493" s="11">
        <f t="shared" si="7"/>
        <v>1</v>
      </c>
    </row>
    <row r="494" spans="1:14" ht="16" x14ac:dyDescent="0.2">
      <c r="A494" s="3">
        <v>44061.481313358498</v>
      </c>
      <c r="B494" s="1" t="s">
        <v>864</v>
      </c>
      <c r="C494" t="s">
        <v>276</v>
      </c>
      <c r="D494">
        <v>6</v>
      </c>
      <c r="E494">
        <v>57</v>
      </c>
      <c r="F494">
        <v>19</v>
      </c>
      <c r="G494">
        <v>342</v>
      </c>
      <c r="H494" s="4">
        <v>114</v>
      </c>
      <c r="I494" s="4">
        <v>228</v>
      </c>
      <c r="J494" t="s">
        <v>738</v>
      </c>
      <c r="K494" t="s">
        <v>33</v>
      </c>
      <c r="L494" s="4">
        <v>12.985332015423809</v>
      </c>
      <c r="M494" s="1" t="s">
        <v>54</v>
      </c>
      <c r="N494" s="11">
        <f t="shared" si="7"/>
        <v>10</v>
      </c>
    </row>
    <row r="495" spans="1:14" ht="16" x14ac:dyDescent="0.2">
      <c r="A495" s="3">
        <v>44294.211329151258</v>
      </c>
      <c r="B495" s="1" t="s">
        <v>865</v>
      </c>
      <c r="C495" t="s">
        <v>431</v>
      </c>
      <c r="D495">
        <v>4</v>
      </c>
      <c r="E495">
        <v>356</v>
      </c>
      <c r="F495">
        <v>89</v>
      </c>
      <c r="G495">
        <v>1424</v>
      </c>
      <c r="H495" s="4">
        <v>356</v>
      </c>
      <c r="I495" s="4">
        <v>1068</v>
      </c>
      <c r="J495" t="s">
        <v>492</v>
      </c>
      <c r="K495" t="s">
        <v>33</v>
      </c>
      <c r="L495" s="4">
        <v>11.799431383856128</v>
      </c>
      <c r="M495" s="1" t="s">
        <v>38</v>
      </c>
      <c r="N495" s="11">
        <f t="shared" si="7"/>
        <v>5</v>
      </c>
    </row>
    <row r="496" spans="1:14" ht="16" x14ac:dyDescent="0.2">
      <c r="A496" s="3">
        <v>44081.47900204044</v>
      </c>
      <c r="B496" s="1" t="s">
        <v>866</v>
      </c>
      <c r="C496" t="s">
        <v>157</v>
      </c>
      <c r="D496">
        <v>6</v>
      </c>
      <c r="E496">
        <v>50</v>
      </c>
      <c r="F496">
        <v>25</v>
      </c>
      <c r="G496">
        <v>300</v>
      </c>
      <c r="H496" s="4">
        <v>150</v>
      </c>
      <c r="I496" s="4">
        <v>150</v>
      </c>
      <c r="J496" t="s">
        <v>118</v>
      </c>
      <c r="K496" t="s">
        <v>64</v>
      </c>
      <c r="L496" s="4">
        <v>11.128721898968678</v>
      </c>
      <c r="M496" s="1" t="s">
        <v>38</v>
      </c>
      <c r="N496" s="11">
        <f t="shared" si="7"/>
        <v>5</v>
      </c>
    </row>
    <row r="497" spans="1:14" ht="16" x14ac:dyDescent="0.2">
      <c r="A497" s="3">
        <v>43404.097932151286</v>
      </c>
      <c r="B497" s="1" t="s">
        <v>867</v>
      </c>
      <c r="C497" t="s">
        <v>151</v>
      </c>
      <c r="D497">
        <v>18</v>
      </c>
      <c r="E497">
        <v>153</v>
      </c>
      <c r="F497">
        <v>51</v>
      </c>
      <c r="G497">
        <v>2754</v>
      </c>
      <c r="H497" s="4">
        <v>918</v>
      </c>
      <c r="I497" s="4">
        <v>1836</v>
      </c>
      <c r="J497" t="s">
        <v>587</v>
      </c>
      <c r="K497" t="s">
        <v>49</v>
      </c>
      <c r="L497" s="4">
        <v>14.760829371220243</v>
      </c>
      <c r="M497" s="1" t="s">
        <v>34</v>
      </c>
      <c r="N497" s="11">
        <f t="shared" si="7"/>
        <v>1</v>
      </c>
    </row>
    <row r="498" spans="1:14" ht="16" x14ac:dyDescent="0.2">
      <c r="A498" s="3">
        <v>43566.033562994184</v>
      </c>
      <c r="B498" s="1" t="s">
        <v>868</v>
      </c>
      <c r="C498" t="s">
        <v>163</v>
      </c>
      <c r="D498">
        <v>10</v>
      </c>
      <c r="E498">
        <v>108</v>
      </c>
      <c r="F498">
        <v>36</v>
      </c>
      <c r="G498">
        <v>1080</v>
      </c>
      <c r="H498" s="4">
        <v>360</v>
      </c>
      <c r="I498" s="4">
        <v>720</v>
      </c>
      <c r="J498" t="s">
        <v>123</v>
      </c>
      <c r="K498" t="s">
        <v>53</v>
      </c>
      <c r="L498" s="4">
        <v>10.42743035829395</v>
      </c>
      <c r="M498" s="1" t="s">
        <v>54</v>
      </c>
      <c r="N498" s="11">
        <f t="shared" si="7"/>
        <v>10</v>
      </c>
    </row>
    <row r="499" spans="1:14" ht="16" x14ac:dyDescent="0.2">
      <c r="A499" s="3">
        <v>43822.465870215427</v>
      </c>
      <c r="B499" s="1" t="s">
        <v>869</v>
      </c>
      <c r="C499" t="s">
        <v>130</v>
      </c>
      <c r="D499">
        <v>2</v>
      </c>
      <c r="E499">
        <v>144</v>
      </c>
      <c r="F499">
        <v>48</v>
      </c>
      <c r="G499">
        <v>288</v>
      </c>
      <c r="H499" s="4">
        <v>96</v>
      </c>
      <c r="I499" s="4">
        <v>192</v>
      </c>
      <c r="J499" t="s">
        <v>426</v>
      </c>
      <c r="K499" t="s">
        <v>53</v>
      </c>
      <c r="L499" s="4">
        <v>13.923194761258239</v>
      </c>
      <c r="M499" s="1" t="s">
        <v>38</v>
      </c>
      <c r="N499" s="11">
        <f t="shared" si="7"/>
        <v>5</v>
      </c>
    </row>
    <row r="500" spans="1:14" ht="16" x14ac:dyDescent="0.2">
      <c r="A500" s="3">
        <v>43845.308863123137</v>
      </c>
      <c r="B500" s="1" t="s">
        <v>870</v>
      </c>
      <c r="C500" t="s">
        <v>252</v>
      </c>
      <c r="D500">
        <v>1</v>
      </c>
      <c r="E500">
        <v>252</v>
      </c>
      <c r="F500">
        <v>63</v>
      </c>
      <c r="G500">
        <v>252</v>
      </c>
      <c r="H500" s="4">
        <v>63</v>
      </c>
      <c r="I500" s="4">
        <v>189</v>
      </c>
      <c r="J500" t="s">
        <v>626</v>
      </c>
      <c r="K500" t="s">
        <v>58</v>
      </c>
      <c r="L500" s="4">
        <v>13.259563298324382</v>
      </c>
      <c r="M500" s="1" t="s">
        <v>38</v>
      </c>
      <c r="N500" s="11">
        <f t="shared" si="7"/>
        <v>5</v>
      </c>
    </row>
    <row r="501" spans="1:14" ht="16" x14ac:dyDescent="0.2">
      <c r="A501" s="3">
        <v>43867.197006082351</v>
      </c>
      <c r="B501" s="1" t="s">
        <v>871</v>
      </c>
      <c r="C501" t="s">
        <v>145</v>
      </c>
      <c r="D501">
        <v>20</v>
      </c>
      <c r="E501">
        <v>207</v>
      </c>
      <c r="F501">
        <v>69</v>
      </c>
      <c r="G501">
        <v>4140</v>
      </c>
      <c r="H501" s="4">
        <v>1380</v>
      </c>
      <c r="I501" s="4">
        <v>2760</v>
      </c>
      <c r="J501" t="s">
        <v>444</v>
      </c>
      <c r="K501" t="s">
        <v>42</v>
      </c>
      <c r="L501" s="4">
        <v>15.861056998489449</v>
      </c>
      <c r="M501" s="1" t="s">
        <v>54</v>
      </c>
      <c r="N501" s="11">
        <f t="shared" si="7"/>
        <v>10</v>
      </c>
    </row>
    <row r="502" spans="1:14" ht="16" x14ac:dyDescent="0.2">
      <c r="A502" s="3">
        <v>43836.787169594325</v>
      </c>
      <c r="B502" s="1" t="s">
        <v>872</v>
      </c>
      <c r="C502" t="s">
        <v>178</v>
      </c>
      <c r="D502">
        <v>15</v>
      </c>
      <c r="E502">
        <v>189</v>
      </c>
      <c r="F502">
        <v>63</v>
      </c>
      <c r="G502">
        <v>2835</v>
      </c>
      <c r="H502" s="4">
        <v>945</v>
      </c>
      <c r="I502" s="4">
        <v>1890</v>
      </c>
      <c r="J502" t="s">
        <v>183</v>
      </c>
      <c r="K502" t="s">
        <v>58</v>
      </c>
      <c r="L502" s="4">
        <v>11.939773463335372</v>
      </c>
      <c r="M502" s="1" t="s">
        <v>54</v>
      </c>
      <c r="N502" s="11">
        <f t="shared" si="7"/>
        <v>10</v>
      </c>
    </row>
    <row r="503" spans="1:14" ht="16" x14ac:dyDescent="0.2">
      <c r="A503" s="3">
        <v>44006.783515998133</v>
      </c>
      <c r="B503" s="1" t="s">
        <v>873</v>
      </c>
      <c r="C503" t="s">
        <v>317</v>
      </c>
      <c r="D503">
        <v>15</v>
      </c>
      <c r="E503">
        <v>352</v>
      </c>
      <c r="F503">
        <v>88</v>
      </c>
      <c r="G503">
        <v>5280</v>
      </c>
      <c r="H503" s="4">
        <v>1320</v>
      </c>
      <c r="I503" s="4">
        <v>3960</v>
      </c>
      <c r="J503" t="s">
        <v>704</v>
      </c>
      <c r="K503" t="s">
        <v>86</v>
      </c>
      <c r="L503" s="4">
        <v>12.699042739101285</v>
      </c>
      <c r="M503" s="1" t="s">
        <v>38</v>
      </c>
      <c r="N503" s="11">
        <f t="shared" si="7"/>
        <v>5</v>
      </c>
    </row>
    <row r="504" spans="1:14" ht="16" x14ac:dyDescent="0.2">
      <c r="A504" s="3">
        <v>44038.872263892641</v>
      </c>
      <c r="B504" s="1" t="s">
        <v>874</v>
      </c>
      <c r="C504" t="s">
        <v>386</v>
      </c>
      <c r="D504">
        <v>17</v>
      </c>
      <c r="E504">
        <v>110</v>
      </c>
      <c r="F504">
        <v>55</v>
      </c>
      <c r="G504">
        <v>1870</v>
      </c>
      <c r="H504" s="4">
        <v>935</v>
      </c>
      <c r="I504" s="4">
        <v>935</v>
      </c>
      <c r="J504" t="s">
        <v>875</v>
      </c>
      <c r="K504" t="s">
        <v>58</v>
      </c>
      <c r="L504" s="4">
        <v>11.485823039755857</v>
      </c>
      <c r="M504" s="1" t="s">
        <v>54</v>
      </c>
      <c r="N504" s="11">
        <f t="shared" si="7"/>
        <v>10</v>
      </c>
    </row>
    <row r="505" spans="1:14" ht="16" x14ac:dyDescent="0.2">
      <c r="A505" s="3">
        <v>44539.408433720564</v>
      </c>
      <c r="B505" s="1" t="s">
        <v>876</v>
      </c>
      <c r="C505" t="s">
        <v>365</v>
      </c>
      <c r="D505">
        <v>15</v>
      </c>
      <c r="E505">
        <v>255</v>
      </c>
      <c r="F505">
        <v>85</v>
      </c>
      <c r="G505">
        <v>3825</v>
      </c>
      <c r="H505" s="4">
        <v>1275</v>
      </c>
      <c r="I505" s="4">
        <v>2550</v>
      </c>
      <c r="J505" t="s">
        <v>877</v>
      </c>
      <c r="K505" t="s">
        <v>49</v>
      </c>
      <c r="L505" s="4">
        <v>13.275355576494196</v>
      </c>
      <c r="M505" s="1" t="s">
        <v>54</v>
      </c>
      <c r="N505" s="11">
        <f t="shared" si="7"/>
        <v>10</v>
      </c>
    </row>
    <row r="506" spans="1:14" ht="16" x14ac:dyDescent="0.2">
      <c r="A506" s="3">
        <v>44161.202755563252</v>
      </c>
      <c r="B506" s="1" t="s">
        <v>614</v>
      </c>
      <c r="C506" t="s">
        <v>151</v>
      </c>
      <c r="D506">
        <v>9</v>
      </c>
      <c r="E506">
        <v>153</v>
      </c>
      <c r="F506">
        <v>51</v>
      </c>
      <c r="G506">
        <v>1377</v>
      </c>
      <c r="H506" s="4">
        <v>459</v>
      </c>
      <c r="I506" s="4">
        <v>918</v>
      </c>
      <c r="J506" t="s">
        <v>488</v>
      </c>
      <c r="K506" t="s">
        <v>64</v>
      </c>
      <c r="L506" s="4">
        <v>9.458617986208397</v>
      </c>
      <c r="M506" s="1" t="s">
        <v>38</v>
      </c>
      <c r="N506" s="11">
        <f t="shared" si="7"/>
        <v>5</v>
      </c>
    </row>
    <row r="507" spans="1:14" ht="16" x14ac:dyDescent="0.2">
      <c r="A507" s="3">
        <v>43566.667339429834</v>
      </c>
      <c r="B507" s="1" t="s">
        <v>878</v>
      </c>
      <c r="C507" t="s">
        <v>133</v>
      </c>
      <c r="D507">
        <v>17</v>
      </c>
      <c r="E507">
        <v>189</v>
      </c>
      <c r="F507">
        <v>63</v>
      </c>
      <c r="G507">
        <v>3213</v>
      </c>
      <c r="H507" s="4">
        <v>1071</v>
      </c>
      <c r="I507" s="4">
        <v>2142</v>
      </c>
      <c r="J507" t="s">
        <v>879</v>
      </c>
      <c r="K507" t="s">
        <v>42</v>
      </c>
      <c r="L507" s="4">
        <v>12.37474961859551</v>
      </c>
      <c r="M507" s="1" t="s">
        <v>38</v>
      </c>
      <c r="N507" s="11">
        <f t="shared" si="7"/>
        <v>5</v>
      </c>
    </row>
    <row r="508" spans="1:14" ht="16" x14ac:dyDescent="0.2">
      <c r="A508" s="3">
        <v>43230.757375687557</v>
      </c>
      <c r="B508" s="1" t="s">
        <v>880</v>
      </c>
      <c r="C508" t="s">
        <v>212</v>
      </c>
      <c r="D508">
        <v>14</v>
      </c>
      <c r="E508">
        <v>300</v>
      </c>
      <c r="F508">
        <v>75</v>
      </c>
      <c r="G508">
        <v>4200</v>
      </c>
      <c r="H508" s="4">
        <v>1050</v>
      </c>
      <c r="I508" s="4">
        <v>3150</v>
      </c>
      <c r="J508" t="s">
        <v>329</v>
      </c>
      <c r="K508" t="s">
        <v>33</v>
      </c>
      <c r="L508" s="4">
        <v>12.545140403858928</v>
      </c>
      <c r="M508" s="1" t="s">
        <v>38</v>
      </c>
      <c r="N508" s="11">
        <f t="shared" si="7"/>
        <v>5</v>
      </c>
    </row>
    <row r="509" spans="1:14" ht="16" x14ac:dyDescent="0.2">
      <c r="A509" s="3">
        <v>43377.881908836564</v>
      </c>
      <c r="B509" s="1" t="s">
        <v>881</v>
      </c>
      <c r="C509" t="s">
        <v>157</v>
      </c>
      <c r="D509">
        <v>13</v>
      </c>
      <c r="E509">
        <v>50</v>
      </c>
      <c r="F509">
        <v>25</v>
      </c>
      <c r="G509">
        <v>650</v>
      </c>
      <c r="H509" s="4">
        <v>325</v>
      </c>
      <c r="I509" s="4">
        <v>325</v>
      </c>
      <c r="J509" t="s">
        <v>882</v>
      </c>
      <c r="K509" t="s">
        <v>64</v>
      </c>
      <c r="L509" s="4">
        <v>12.701325659159139</v>
      </c>
      <c r="M509" s="1" t="s">
        <v>54</v>
      </c>
      <c r="N509" s="11">
        <f t="shared" si="7"/>
        <v>10</v>
      </c>
    </row>
    <row r="510" spans="1:14" ht="16" x14ac:dyDescent="0.2">
      <c r="A510" s="3">
        <v>43796.979174553671</v>
      </c>
      <c r="B510" s="1" t="s">
        <v>883</v>
      </c>
      <c r="C510" t="s">
        <v>148</v>
      </c>
      <c r="D510">
        <v>16</v>
      </c>
      <c r="E510">
        <v>144</v>
      </c>
      <c r="F510">
        <v>36</v>
      </c>
      <c r="G510">
        <v>2304</v>
      </c>
      <c r="H510" s="4">
        <v>576</v>
      </c>
      <c r="I510" s="4">
        <v>1728</v>
      </c>
      <c r="J510" t="s">
        <v>169</v>
      </c>
      <c r="K510" t="s">
        <v>33</v>
      </c>
      <c r="L510" s="4">
        <v>15.121383064708469</v>
      </c>
      <c r="M510" s="1" t="s">
        <v>54</v>
      </c>
      <c r="N510" s="11">
        <f t="shared" si="7"/>
        <v>10</v>
      </c>
    </row>
    <row r="511" spans="1:14" ht="16" x14ac:dyDescent="0.2">
      <c r="A511" s="3">
        <v>44500.02109599665</v>
      </c>
      <c r="B511" s="1" t="s">
        <v>884</v>
      </c>
      <c r="C511" t="s">
        <v>145</v>
      </c>
      <c r="D511">
        <v>14</v>
      </c>
      <c r="E511">
        <v>207</v>
      </c>
      <c r="F511">
        <v>69</v>
      </c>
      <c r="G511">
        <v>2898</v>
      </c>
      <c r="H511" s="4">
        <v>966</v>
      </c>
      <c r="I511" s="4">
        <v>1932</v>
      </c>
      <c r="J511" t="s">
        <v>504</v>
      </c>
      <c r="K511" t="s">
        <v>53</v>
      </c>
      <c r="L511" s="4">
        <v>12.801144805697081</v>
      </c>
      <c r="M511" s="1" t="s">
        <v>38</v>
      </c>
      <c r="N511" s="11">
        <f t="shared" si="7"/>
        <v>5</v>
      </c>
    </row>
    <row r="512" spans="1:14" ht="16" x14ac:dyDescent="0.2">
      <c r="A512" s="3">
        <v>43600.773556034837</v>
      </c>
      <c r="B512" s="1" t="s">
        <v>885</v>
      </c>
      <c r="C512" t="s">
        <v>779</v>
      </c>
      <c r="D512">
        <v>19</v>
      </c>
      <c r="E512">
        <v>120</v>
      </c>
      <c r="F512">
        <v>30</v>
      </c>
      <c r="G512">
        <v>2280</v>
      </c>
      <c r="H512" s="4">
        <v>570</v>
      </c>
      <c r="I512" s="4">
        <v>1710</v>
      </c>
      <c r="J512" t="s">
        <v>488</v>
      </c>
      <c r="K512" t="s">
        <v>64</v>
      </c>
      <c r="L512" s="4">
        <v>9.458617986208397</v>
      </c>
      <c r="M512" s="1" t="s">
        <v>38</v>
      </c>
      <c r="N512" s="11">
        <f t="shared" si="7"/>
        <v>5</v>
      </c>
    </row>
    <row r="513" spans="1:14" ht="16" x14ac:dyDescent="0.2">
      <c r="A513" s="3">
        <v>44553.613156366082</v>
      </c>
      <c r="B513" s="1" t="s">
        <v>886</v>
      </c>
      <c r="C513" t="s">
        <v>133</v>
      </c>
      <c r="D513">
        <v>12</v>
      </c>
      <c r="E513">
        <v>189</v>
      </c>
      <c r="F513">
        <v>63</v>
      </c>
      <c r="G513">
        <v>2268</v>
      </c>
      <c r="H513" s="4">
        <v>756</v>
      </c>
      <c r="I513" s="4">
        <v>1512</v>
      </c>
      <c r="J513" t="s">
        <v>673</v>
      </c>
      <c r="K513" t="s">
        <v>53</v>
      </c>
      <c r="L513" s="4">
        <v>14.460020532456038</v>
      </c>
      <c r="M513" s="1" t="s">
        <v>38</v>
      </c>
      <c r="N513" s="11">
        <f t="shared" si="7"/>
        <v>5</v>
      </c>
    </row>
    <row r="514" spans="1:14" ht="16" x14ac:dyDescent="0.2">
      <c r="A514" s="3">
        <v>44150.659067919987</v>
      </c>
      <c r="B514" s="1" t="s">
        <v>887</v>
      </c>
      <c r="C514" t="s">
        <v>544</v>
      </c>
      <c r="D514">
        <v>5</v>
      </c>
      <c r="E514">
        <v>267</v>
      </c>
      <c r="F514">
        <v>89</v>
      </c>
      <c r="G514">
        <v>1335</v>
      </c>
      <c r="H514" s="4">
        <v>445</v>
      </c>
      <c r="I514" s="4">
        <v>890</v>
      </c>
      <c r="J514" t="s">
        <v>552</v>
      </c>
      <c r="K514" t="s">
        <v>53</v>
      </c>
      <c r="L514" s="4">
        <v>9.74650548941427</v>
      </c>
      <c r="M514" s="1" t="s">
        <v>54</v>
      </c>
      <c r="N514" s="11">
        <f t="shared" si="7"/>
        <v>10</v>
      </c>
    </row>
    <row r="515" spans="1:14" ht="16" x14ac:dyDescent="0.2">
      <c r="A515" s="3">
        <v>44614.791940799063</v>
      </c>
      <c r="B515" s="1" t="s">
        <v>888</v>
      </c>
      <c r="C515" t="s">
        <v>317</v>
      </c>
      <c r="D515">
        <v>10</v>
      </c>
      <c r="E515">
        <v>352</v>
      </c>
      <c r="F515">
        <v>88</v>
      </c>
      <c r="G515">
        <v>3520</v>
      </c>
      <c r="H515" s="4">
        <v>880</v>
      </c>
      <c r="I515" s="4">
        <v>2640</v>
      </c>
      <c r="J515" t="s">
        <v>315</v>
      </c>
      <c r="K515" t="s">
        <v>42</v>
      </c>
      <c r="L515" s="4">
        <v>10.966283117837653</v>
      </c>
      <c r="M515" s="1" t="s">
        <v>54</v>
      </c>
      <c r="N515" s="11">
        <f t="shared" ref="N515:N578" si="8">+IF(M515="Dissatisfied",1,IF(M515="Satisfied",10,5))</f>
        <v>10</v>
      </c>
    </row>
    <row r="516" spans="1:14" ht="16" x14ac:dyDescent="0.2">
      <c r="A516" s="3">
        <v>43339.29243161645</v>
      </c>
      <c r="B516" s="1" t="s">
        <v>889</v>
      </c>
      <c r="C516" t="s">
        <v>151</v>
      </c>
      <c r="D516">
        <v>8</v>
      </c>
      <c r="E516">
        <v>153</v>
      </c>
      <c r="F516">
        <v>51</v>
      </c>
      <c r="G516">
        <v>1224</v>
      </c>
      <c r="H516" s="4">
        <v>408</v>
      </c>
      <c r="I516" s="4">
        <v>816</v>
      </c>
      <c r="J516" t="s">
        <v>890</v>
      </c>
      <c r="K516" t="s">
        <v>86</v>
      </c>
      <c r="L516" s="4">
        <v>15.856807810268592</v>
      </c>
      <c r="M516" s="1" t="s">
        <v>38</v>
      </c>
      <c r="N516" s="11">
        <f t="shared" si="8"/>
        <v>5</v>
      </c>
    </row>
    <row r="517" spans="1:14" ht="16" x14ac:dyDescent="0.2">
      <c r="A517" s="3">
        <v>44269.95592446802</v>
      </c>
      <c r="B517" s="1" t="s">
        <v>891</v>
      </c>
      <c r="C517" t="s">
        <v>299</v>
      </c>
      <c r="D517">
        <v>17</v>
      </c>
      <c r="E517">
        <v>225</v>
      </c>
      <c r="F517">
        <v>75</v>
      </c>
      <c r="G517">
        <v>3825</v>
      </c>
      <c r="H517" s="4">
        <v>1275</v>
      </c>
      <c r="I517" s="4">
        <v>2550</v>
      </c>
      <c r="J517" t="s">
        <v>892</v>
      </c>
      <c r="K517" t="s">
        <v>33</v>
      </c>
      <c r="L517" s="4">
        <v>13.062292798511226</v>
      </c>
      <c r="M517" s="1" t="s">
        <v>38</v>
      </c>
      <c r="N517" s="11">
        <f t="shared" si="8"/>
        <v>5</v>
      </c>
    </row>
    <row r="518" spans="1:14" ht="16" x14ac:dyDescent="0.2">
      <c r="A518" s="3">
        <v>43660.787001404577</v>
      </c>
      <c r="B518" s="1" t="s">
        <v>893</v>
      </c>
      <c r="C518" t="s">
        <v>386</v>
      </c>
      <c r="D518">
        <v>1</v>
      </c>
      <c r="E518">
        <v>110</v>
      </c>
      <c r="F518">
        <v>55</v>
      </c>
      <c r="G518">
        <v>110</v>
      </c>
      <c r="H518" s="4">
        <v>55</v>
      </c>
      <c r="I518" s="4">
        <v>55</v>
      </c>
      <c r="J518" t="s">
        <v>720</v>
      </c>
      <c r="K518" t="s">
        <v>53</v>
      </c>
      <c r="L518" s="4">
        <v>13.106678263594747</v>
      </c>
      <c r="M518" s="1" t="s">
        <v>38</v>
      </c>
      <c r="N518" s="11">
        <f t="shared" si="8"/>
        <v>5</v>
      </c>
    </row>
    <row r="519" spans="1:14" ht="16" x14ac:dyDescent="0.2">
      <c r="A519" s="3">
        <v>44166.376185628629</v>
      </c>
      <c r="B519" s="1" t="s">
        <v>894</v>
      </c>
      <c r="C519" t="s">
        <v>503</v>
      </c>
      <c r="D519">
        <v>1</v>
      </c>
      <c r="E519">
        <v>50</v>
      </c>
      <c r="F519">
        <v>25</v>
      </c>
      <c r="G519">
        <v>50</v>
      </c>
      <c r="H519" s="4">
        <v>25</v>
      </c>
      <c r="I519" s="4">
        <v>25</v>
      </c>
      <c r="J519" t="s">
        <v>513</v>
      </c>
      <c r="K519" t="s">
        <v>58</v>
      </c>
      <c r="L519" s="4">
        <v>15.207985888346794</v>
      </c>
      <c r="M519" s="1" t="s">
        <v>38</v>
      </c>
      <c r="N519" s="11">
        <f t="shared" si="8"/>
        <v>5</v>
      </c>
    </row>
    <row r="520" spans="1:14" ht="16" x14ac:dyDescent="0.2">
      <c r="A520" s="3">
        <v>43524.850898041856</v>
      </c>
      <c r="B520" s="1" t="s">
        <v>895</v>
      </c>
      <c r="C520" t="s">
        <v>84</v>
      </c>
      <c r="D520">
        <v>11</v>
      </c>
      <c r="E520">
        <v>126</v>
      </c>
      <c r="F520">
        <v>42</v>
      </c>
      <c r="G520">
        <v>1386</v>
      </c>
      <c r="H520" s="4">
        <v>462</v>
      </c>
      <c r="I520" s="4">
        <v>924</v>
      </c>
      <c r="J520" t="s">
        <v>210</v>
      </c>
      <c r="K520" t="s">
        <v>58</v>
      </c>
      <c r="L520" s="4">
        <v>11.995406972581796</v>
      </c>
      <c r="M520" s="1" t="s">
        <v>38</v>
      </c>
      <c r="N520" s="11">
        <f t="shared" si="8"/>
        <v>5</v>
      </c>
    </row>
    <row r="521" spans="1:14" ht="16" x14ac:dyDescent="0.2">
      <c r="A521" s="3">
        <v>44598.904528799612</v>
      </c>
      <c r="B521" s="1" t="s">
        <v>896</v>
      </c>
      <c r="C521" t="s">
        <v>154</v>
      </c>
      <c r="D521">
        <v>7</v>
      </c>
      <c r="E521">
        <v>308</v>
      </c>
      <c r="F521">
        <v>77</v>
      </c>
      <c r="G521">
        <v>2156</v>
      </c>
      <c r="H521" s="4">
        <v>539</v>
      </c>
      <c r="I521" s="4">
        <v>1617</v>
      </c>
      <c r="J521" t="s">
        <v>416</v>
      </c>
      <c r="K521" t="s">
        <v>58</v>
      </c>
      <c r="L521" s="4">
        <v>12.399050786131125</v>
      </c>
      <c r="M521" s="1" t="s">
        <v>38</v>
      </c>
      <c r="N521" s="11">
        <f t="shared" si="8"/>
        <v>5</v>
      </c>
    </row>
    <row r="522" spans="1:14" ht="16" x14ac:dyDescent="0.2">
      <c r="A522" s="3">
        <v>44215.996057628072</v>
      </c>
      <c r="B522" s="1" t="s">
        <v>897</v>
      </c>
      <c r="C522" t="s">
        <v>337</v>
      </c>
      <c r="D522">
        <v>8</v>
      </c>
      <c r="E522">
        <v>135</v>
      </c>
      <c r="F522">
        <v>45</v>
      </c>
      <c r="G522">
        <v>1080</v>
      </c>
      <c r="H522" s="4">
        <v>360</v>
      </c>
      <c r="I522" s="4">
        <v>720</v>
      </c>
      <c r="J522" t="s">
        <v>567</v>
      </c>
      <c r="K522" t="s">
        <v>49</v>
      </c>
      <c r="L522" s="4">
        <v>12.147202500273634</v>
      </c>
      <c r="M522" s="1" t="s">
        <v>38</v>
      </c>
      <c r="N522" s="11">
        <f t="shared" si="8"/>
        <v>5</v>
      </c>
    </row>
    <row r="523" spans="1:14" ht="16" x14ac:dyDescent="0.2">
      <c r="A523" s="3">
        <v>43562.616942538931</v>
      </c>
      <c r="B523" s="1" t="s">
        <v>898</v>
      </c>
      <c r="C523" t="s">
        <v>160</v>
      </c>
      <c r="D523">
        <v>10</v>
      </c>
      <c r="E523">
        <v>132</v>
      </c>
      <c r="F523">
        <v>33</v>
      </c>
      <c r="G523">
        <v>1320</v>
      </c>
      <c r="H523" s="4">
        <v>330</v>
      </c>
      <c r="I523" s="4">
        <v>990</v>
      </c>
      <c r="J523" t="s">
        <v>111</v>
      </c>
      <c r="K523" t="s">
        <v>53</v>
      </c>
      <c r="L523" s="4">
        <v>13.407340878370247</v>
      </c>
      <c r="M523" s="1" t="s">
        <v>38</v>
      </c>
      <c r="N523" s="11">
        <f t="shared" si="8"/>
        <v>5</v>
      </c>
    </row>
    <row r="524" spans="1:14" ht="16" x14ac:dyDescent="0.2">
      <c r="A524" s="3">
        <v>43468.904341757974</v>
      </c>
      <c r="B524" s="1" t="s">
        <v>899</v>
      </c>
      <c r="C524" t="s">
        <v>255</v>
      </c>
      <c r="D524">
        <v>19</v>
      </c>
      <c r="E524">
        <v>140</v>
      </c>
      <c r="F524">
        <v>70</v>
      </c>
      <c r="G524">
        <v>2660</v>
      </c>
      <c r="H524" s="4">
        <v>1330</v>
      </c>
      <c r="I524" s="4">
        <v>1330</v>
      </c>
      <c r="J524" t="s">
        <v>488</v>
      </c>
      <c r="K524" t="s">
        <v>64</v>
      </c>
      <c r="L524" s="4">
        <v>9.458617986208397</v>
      </c>
      <c r="M524" s="1" t="s">
        <v>34</v>
      </c>
      <c r="N524" s="11">
        <f t="shared" si="8"/>
        <v>1</v>
      </c>
    </row>
    <row r="525" spans="1:14" ht="16" x14ac:dyDescent="0.2">
      <c r="A525" s="3">
        <v>43539.618749927002</v>
      </c>
      <c r="B525" s="1" t="s">
        <v>900</v>
      </c>
      <c r="C525" t="s">
        <v>204</v>
      </c>
      <c r="D525">
        <v>7</v>
      </c>
      <c r="E525">
        <v>57</v>
      </c>
      <c r="F525">
        <v>19</v>
      </c>
      <c r="G525">
        <v>399</v>
      </c>
      <c r="H525" s="4">
        <v>133</v>
      </c>
      <c r="I525" s="4">
        <v>266</v>
      </c>
      <c r="J525" t="s">
        <v>545</v>
      </c>
      <c r="K525" t="s">
        <v>53</v>
      </c>
      <c r="L525" s="4">
        <v>10.112765954734209</v>
      </c>
      <c r="M525" s="1" t="s">
        <v>38</v>
      </c>
      <c r="N525" s="11">
        <f t="shared" si="8"/>
        <v>5</v>
      </c>
    </row>
    <row r="526" spans="1:14" ht="16" x14ac:dyDescent="0.2">
      <c r="A526" s="3">
        <v>44432.815347990902</v>
      </c>
      <c r="B526" s="1" t="s">
        <v>180</v>
      </c>
      <c r="C526" t="s">
        <v>340</v>
      </c>
      <c r="D526">
        <v>17</v>
      </c>
      <c r="E526">
        <v>180</v>
      </c>
      <c r="F526">
        <v>45</v>
      </c>
      <c r="G526">
        <v>3060</v>
      </c>
      <c r="H526" s="4">
        <v>765</v>
      </c>
      <c r="I526" s="4">
        <v>2295</v>
      </c>
      <c r="J526" t="s">
        <v>704</v>
      </c>
      <c r="K526" t="s">
        <v>86</v>
      </c>
      <c r="L526" s="4">
        <v>12.699042739101285</v>
      </c>
      <c r="M526" s="1" t="s">
        <v>38</v>
      </c>
      <c r="N526" s="11">
        <f t="shared" si="8"/>
        <v>5</v>
      </c>
    </row>
    <row r="527" spans="1:14" ht="16" x14ac:dyDescent="0.2">
      <c r="A527" s="3">
        <v>43544.792092927011</v>
      </c>
      <c r="B527" s="1" t="s">
        <v>901</v>
      </c>
      <c r="C527" t="s">
        <v>78</v>
      </c>
      <c r="D527">
        <v>20</v>
      </c>
      <c r="E527">
        <v>94</v>
      </c>
      <c r="F527">
        <v>47</v>
      </c>
      <c r="G527">
        <v>1880</v>
      </c>
      <c r="H527" s="4">
        <v>940</v>
      </c>
      <c r="I527" s="4">
        <v>940</v>
      </c>
      <c r="J527" t="s">
        <v>892</v>
      </c>
      <c r="K527" t="s">
        <v>33</v>
      </c>
      <c r="L527" s="4">
        <v>13.062292798511226</v>
      </c>
      <c r="M527" s="1" t="s">
        <v>34</v>
      </c>
      <c r="N527" s="11">
        <f t="shared" si="8"/>
        <v>1</v>
      </c>
    </row>
    <row r="528" spans="1:14" ht="16" x14ac:dyDescent="0.2">
      <c r="A528" s="3">
        <v>44194.592587140964</v>
      </c>
      <c r="B528" s="1" t="s">
        <v>902</v>
      </c>
      <c r="C528" t="s">
        <v>148</v>
      </c>
      <c r="D528">
        <v>15</v>
      </c>
      <c r="E528">
        <v>144</v>
      </c>
      <c r="F528">
        <v>36</v>
      </c>
      <c r="G528">
        <v>2160</v>
      </c>
      <c r="H528" s="4">
        <v>540</v>
      </c>
      <c r="I528" s="4">
        <v>1620</v>
      </c>
      <c r="J528" t="s">
        <v>903</v>
      </c>
      <c r="K528" t="s">
        <v>58</v>
      </c>
      <c r="L528" s="4">
        <v>11.952554704438674</v>
      </c>
      <c r="M528" s="1" t="s">
        <v>38</v>
      </c>
      <c r="N528" s="11">
        <f t="shared" si="8"/>
        <v>5</v>
      </c>
    </row>
    <row r="529" spans="1:14" ht="16" x14ac:dyDescent="0.2">
      <c r="A529" s="3">
        <v>44197.279864959841</v>
      </c>
      <c r="B529" s="1" t="s">
        <v>904</v>
      </c>
      <c r="C529" t="s">
        <v>779</v>
      </c>
      <c r="D529">
        <v>4</v>
      </c>
      <c r="E529">
        <v>120</v>
      </c>
      <c r="F529">
        <v>30</v>
      </c>
      <c r="G529">
        <v>480</v>
      </c>
      <c r="H529" s="4">
        <v>120</v>
      </c>
      <c r="I529" s="4">
        <v>360</v>
      </c>
      <c r="J529" t="s">
        <v>569</v>
      </c>
      <c r="K529" t="s">
        <v>33</v>
      </c>
      <c r="L529" s="4">
        <v>12.921682080641304</v>
      </c>
      <c r="M529" s="1" t="s">
        <v>38</v>
      </c>
      <c r="N529" s="11">
        <f t="shared" si="8"/>
        <v>5</v>
      </c>
    </row>
    <row r="530" spans="1:14" ht="16" x14ac:dyDescent="0.2">
      <c r="A530" s="3">
        <v>43709.676587773996</v>
      </c>
      <c r="B530" s="1" t="s">
        <v>905</v>
      </c>
      <c r="C530" t="s">
        <v>547</v>
      </c>
      <c r="D530">
        <v>1</v>
      </c>
      <c r="E530">
        <v>300</v>
      </c>
      <c r="F530">
        <v>75</v>
      </c>
      <c r="G530">
        <v>300</v>
      </c>
      <c r="H530" s="4">
        <v>75</v>
      </c>
      <c r="I530" s="4">
        <v>225</v>
      </c>
      <c r="J530" t="s">
        <v>161</v>
      </c>
      <c r="K530" t="s">
        <v>33</v>
      </c>
      <c r="L530" s="4">
        <v>14.370283356317486</v>
      </c>
      <c r="M530" s="1" t="s">
        <v>34</v>
      </c>
      <c r="N530" s="11">
        <f t="shared" si="8"/>
        <v>1</v>
      </c>
    </row>
    <row r="531" spans="1:14" ht="16" x14ac:dyDescent="0.2">
      <c r="A531" s="3">
        <v>42781.14336651253</v>
      </c>
      <c r="B531" s="1" t="s">
        <v>906</v>
      </c>
      <c r="C531" t="s">
        <v>356</v>
      </c>
      <c r="D531">
        <v>20</v>
      </c>
      <c r="E531">
        <v>356</v>
      </c>
      <c r="F531">
        <v>89</v>
      </c>
      <c r="G531">
        <v>7120</v>
      </c>
      <c r="H531" s="4">
        <v>1780</v>
      </c>
      <c r="I531" s="4">
        <v>5340</v>
      </c>
      <c r="J531" t="s">
        <v>67</v>
      </c>
      <c r="K531" t="s">
        <v>64</v>
      </c>
      <c r="L531" s="4">
        <v>15.602184182549776</v>
      </c>
      <c r="M531" s="1" t="s">
        <v>54</v>
      </c>
      <c r="N531" s="11">
        <f t="shared" si="8"/>
        <v>10</v>
      </c>
    </row>
    <row r="532" spans="1:14" ht="16" x14ac:dyDescent="0.2">
      <c r="A532" s="3">
        <v>43606.173383893889</v>
      </c>
      <c r="B532" s="1" t="s">
        <v>907</v>
      </c>
      <c r="C532" t="s">
        <v>163</v>
      </c>
      <c r="D532">
        <v>13</v>
      </c>
      <c r="E532">
        <v>108</v>
      </c>
      <c r="F532">
        <v>36</v>
      </c>
      <c r="G532">
        <v>1404</v>
      </c>
      <c r="H532" s="4">
        <v>468</v>
      </c>
      <c r="I532" s="4">
        <v>936</v>
      </c>
      <c r="J532" t="s">
        <v>376</v>
      </c>
      <c r="K532" t="s">
        <v>86</v>
      </c>
      <c r="L532" s="4">
        <v>11.655355879643379</v>
      </c>
      <c r="M532" s="1" t="s">
        <v>34</v>
      </c>
      <c r="N532" s="11">
        <f t="shared" si="8"/>
        <v>1</v>
      </c>
    </row>
    <row r="533" spans="1:14" ht="16" x14ac:dyDescent="0.2">
      <c r="A533" s="3">
        <v>44050.513115133195</v>
      </c>
      <c r="B533" s="1" t="s">
        <v>908</v>
      </c>
      <c r="C533" t="s">
        <v>185</v>
      </c>
      <c r="D533">
        <v>2</v>
      </c>
      <c r="E533">
        <v>146</v>
      </c>
      <c r="F533">
        <v>73</v>
      </c>
      <c r="G533">
        <v>292</v>
      </c>
      <c r="H533" s="4">
        <v>146</v>
      </c>
      <c r="I533" s="4">
        <v>146</v>
      </c>
      <c r="J533" t="s">
        <v>191</v>
      </c>
      <c r="K533" t="s">
        <v>42</v>
      </c>
      <c r="L533" s="4">
        <v>10.523527521613014</v>
      </c>
      <c r="M533" s="1" t="s">
        <v>38</v>
      </c>
      <c r="N533" s="11">
        <f t="shared" si="8"/>
        <v>5</v>
      </c>
    </row>
    <row r="534" spans="1:14" ht="16" x14ac:dyDescent="0.2">
      <c r="A534" s="3">
        <v>43565.168168127442</v>
      </c>
      <c r="B534" s="1" t="s">
        <v>909</v>
      </c>
      <c r="C534" t="s">
        <v>399</v>
      </c>
      <c r="D534">
        <v>11</v>
      </c>
      <c r="E534">
        <v>160</v>
      </c>
      <c r="F534">
        <v>80</v>
      </c>
      <c r="G534">
        <v>1760</v>
      </c>
      <c r="H534" s="4">
        <v>880</v>
      </c>
      <c r="I534" s="4">
        <v>880</v>
      </c>
      <c r="J534" t="s">
        <v>910</v>
      </c>
      <c r="K534" t="s">
        <v>58</v>
      </c>
      <c r="L534" s="4">
        <v>11.78346750250795</v>
      </c>
      <c r="M534" s="1" t="s">
        <v>38</v>
      </c>
      <c r="N534" s="11">
        <f t="shared" si="8"/>
        <v>5</v>
      </c>
    </row>
    <row r="535" spans="1:14" ht="16" x14ac:dyDescent="0.2">
      <c r="A535" s="3">
        <v>43738.779197324562</v>
      </c>
      <c r="B535" s="1" t="s">
        <v>911</v>
      </c>
      <c r="C535" t="s">
        <v>105</v>
      </c>
      <c r="D535">
        <v>7</v>
      </c>
      <c r="E535">
        <v>201</v>
      </c>
      <c r="F535">
        <v>67</v>
      </c>
      <c r="G535">
        <v>1407</v>
      </c>
      <c r="H535" s="4">
        <v>469</v>
      </c>
      <c r="I535" s="4">
        <v>938</v>
      </c>
      <c r="J535" t="s">
        <v>912</v>
      </c>
      <c r="K535" t="s">
        <v>64</v>
      </c>
      <c r="L535" s="4">
        <v>11.816651848338852</v>
      </c>
      <c r="M535" s="1" t="s">
        <v>38</v>
      </c>
      <c r="N535" s="11">
        <f t="shared" si="8"/>
        <v>5</v>
      </c>
    </row>
    <row r="536" spans="1:14" ht="16" x14ac:dyDescent="0.2">
      <c r="A536" s="3">
        <v>43097.141339772723</v>
      </c>
      <c r="B536" s="1" t="s">
        <v>913</v>
      </c>
      <c r="C536" t="s">
        <v>544</v>
      </c>
      <c r="D536">
        <v>14</v>
      </c>
      <c r="E536">
        <v>267</v>
      </c>
      <c r="F536">
        <v>89</v>
      </c>
      <c r="G536">
        <v>3738</v>
      </c>
      <c r="H536" s="4">
        <v>1246</v>
      </c>
      <c r="I536" s="4">
        <v>2492</v>
      </c>
      <c r="J536" t="s">
        <v>914</v>
      </c>
      <c r="K536" t="s">
        <v>42</v>
      </c>
      <c r="L536" s="4">
        <v>13.853438793083487</v>
      </c>
      <c r="M536" s="1" t="s">
        <v>38</v>
      </c>
      <c r="N536" s="11">
        <f t="shared" si="8"/>
        <v>5</v>
      </c>
    </row>
    <row r="537" spans="1:14" ht="16" x14ac:dyDescent="0.2">
      <c r="A537" s="3">
        <v>44348.895440541826</v>
      </c>
      <c r="B537" s="1" t="s">
        <v>915</v>
      </c>
      <c r="C537" t="s">
        <v>301</v>
      </c>
      <c r="D537">
        <v>13</v>
      </c>
      <c r="E537">
        <v>188</v>
      </c>
      <c r="F537">
        <v>94</v>
      </c>
      <c r="G537">
        <v>2444</v>
      </c>
      <c r="H537" s="4">
        <v>1222</v>
      </c>
      <c r="I537" s="4">
        <v>1222</v>
      </c>
      <c r="J537" t="s">
        <v>246</v>
      </c>
      <c r="K537" t="s">
        <v>58</v>
      </c>
      <c r="L537" s="4">
        <v>15.234329552872023</v>
      </c>
      <c r="M537" s="1" t="s">
        <v>34</v>
      </c>
      <c r="N537" s="11">
        <f t="shared" si="8"/>
        <v>1</v>
      </c>
    </row>
    <row r="538" spans="1:14" ht="16" x14ac:dyDescent="0.2">
      <c r="A538" s="3">
        <v>44148.388748194448</v>
      </c>
      <c r="B538" s="1" t="s">
        <v>916</v>
      </c>
      <c r="C538" t="s">
        <v>36</v>
      </c>
      <c r="D538">
        <v>11</v>
      </c>
      <c r="E538">
        <v>102</v>
      </c>
      <c r="F538">
        <v>51</v>
      </c>
      <c r="G538">
        <v>1122</v>
      </c>
      <c r="H538" s="4">
        <v>561</v>
      </c>
      <c r="I538" s="4">
        <v>561</v>
      </c>
      <c r="J538" t="s">
        <v>875</v>
      </c>
      <c r="K538" t="s">
        <v>58</v>
      </c>
      <c r="L538" s="4">
        <v>11.485823039755857</v>
      </c>
      <c r="M538" s="1" t="s">
        <v>38</v>
      </c>
      <c r="N538" s="11">
        <f t="shared" si="8"/>
        <v>5</v>
      </c>
    </row>
    <row r="539" spans="1:14" ht="16" x14ac:dyDescent="0.2">
      <c r="A539" s="3">
        <v>44727.637488916749</v>
      </c>
      <c r="B539" s="1" t="s">
        <v>917</v>
      </c>
      <c r="C539" t="s">
        <v>145</v>
      </c>
      <c r="D539">
        <v>14</v>
      </c>
      <c r="E539">
        <v>207</v>
      </c>
      <c r="F539">
        <v>69</v>
      </c>
      <c r="G539">
        <v>2898</v>
      </c>
      <c r="H539" s="4">
        <v>966</v>
      </c>
      <c r="I539" s="4">
        <v>1932</v>
      </c>
      <c r="J539" t="s">
        <v>513</v>
      </c>
      <c r="K539" t="s">
        <v>58</v>
      </c>
      <c r="L539" s="4">
        <v>15.207985888346794</v>
      </c>
      <c r="M539" s="1" t="s">
        <v>34</v>
      </c>
      <c r="N539" s="11">
        <f t="shared" si="8"/>
        <v>1</v>
      </c>
    </row>
    <row r="540" spans="1:14" ht="16" x14ac:dyDescent="0.2">
      <c r="A540" s="3">
        <v>43798.920224476002</v>
      </c>
      <c r="B540" s="1" t="s">
        <v>918</v>
      </c>
      <c r="C540" t="s">
        <v>375</v>
      </c>
      <c r="D540">
        <v>2</v>
      </c>
      <c r="E540">
        <v>360</v>
      </c>
      <c r="F540">
        <v>90</v>
      </c>
      <c r="G540">
        <v>720</v>
      </c>
      <c r="H540" s="4">
        <v>180</v>
      </c>
      <c r="I540" s="4">
        <v>540</v>
      </c>
      <c r="J540" t="s">
        <v>384</v>
      </c>
      <c r="K540" t="s">
        <v>33</v>
      </c>
      <c r="L540" s="4">
        <v>11.687634894637348</v>
      </c>
      <c r="M540" s="1" t="s">
        <v>54</v>
      </c>
      <c r="N540" s="11">
        <f t="shared" si="8"/>
        <v>10</v>
      </c>
    </row>
    <row r="541" spans="1:14" ht="16" x14ac:dyDescent="0.2">
      <c r="A541" s="3">
        <v>44108.419596085885</v>
      </c>
      <c r="B541" s="1" t="s">
        <v>919</v>
      </c>
      <c r="C541" t="s">
        <v>394</v>
      </c>
      <c r="D541">
        <v>18</v>
      </c>
      <c r="E541">
        <v>58</v>
      </c>
      <c r="F541">
        <v>29</v>
      </c>
      <c r="G541">
        <v>1044</v>
      </c>
      <c r="H541" s="4">
        <v>522</v>
      </c>
      <c r="I541" s="4">
        <v>522</v>
      </c>
      <c r="J541" t="s">
        <v>57</v>
      </c>
      <c r="K541" t="s">
        <v>58</v>
      </c>
      <c r="L541" s="4">
        <v>11.749993886708426</v>
      </c>
      <c r="M541" s="1" t="s">
        <v>54</v>
      </c>
      <c r="N541" s="11">
        <f t="shared" si="8"/>
        <v>10</v>
      </c>
    </row>
    <row r="542" spans="1:14" ht="16" x14ac:dyDescent="0.2">
      <c r="A542" s="3">
        <v>43783.31384413132</v>
      </c>
      <c r="B542" s="1" t="s">
        <v>920</v>
      </c>
      <c r="C542" t="s">
        <v>431</v>
      </c>
      <c r="D542">
        <v>18</v>
      </c>
      <c r="E542">
        <v>356</v>
      </c>
      <c r="F542">
        <v>89</v>
      </c>
      <c r="G542">
        <v>6408</v>
      </c>
      <c r="H542" s="4">
        <v>1602</v>
      </c>
      <c r="I542" s="4">
        <v>4806</v>
      </c>
      <c r="J542" t="s">
        <v>331</v>
      </c>
      <c r="K542" t="s">
        <v>58</v>
      </c>
      <c r="L542" s="4">
        <v>15.18789248529443</v>
      </c>
      <c r="M542" s="1" t="s">
        <v>34</v>
      </c>
      <c r="N542" s="11">
        <f t="shared" si="8"/>
        <v>1</v>
      </c>
    </row>
    <row r="543" spans="1:14" ht="16" x14ac:dyDescent="0.2">
      <c r="A543" s="3">
        <v>44148.154382464709</v>
      </c>
      <c r="B543" s="1" t="s">
        <v>921</v>
      </c>
      <c r="C543" t="s">
        <v>31</v>
      </c>
      <c r="D543">
        <v>9</v>
      </c>
      <c r="E543">
        <v>280</v>
      </c>
      <c r="F543">
        <v>70</v>
      </c>
      <c r="G543">
        <v>2520</v>
      </c>
      <c r="H543" s="4">
        <v>630</v>
      </c>
      <c r="I543" s="4">
        <v>1890</v>
      </c>
      <c r="J543" t="s">
        <v>825</v>
      </c>
      <c r="K543" t="s">
        <v>42</v>
      </c>
      <c r="L543" s="4">
        <v>14.060995290679429</v>
      </c>
      <c r="M543" s="1" t="s">
        <v>38</v>
      </c>
      <c r="N543" s="11">
        <f t="shared" si="8"/>
        <v>5</v>
      </c>
    </row>
    <row r="544" spans="1:14" ht="16" x14ac:dyDescent="0.2">
      <c r="A544" s="3">
        <v>44392.957417060585</v>
      </c>
      <c r="B544" s="1" t="s">
        <v>922</v>
      </c>
      <c r="C544" t="s">
        <v>337</v>
      </c>
      <c r="D544">
        <v>12</v>
      </c>
      <c r="E544">
        <v>135</v>
      </c>
      <c r="F544">
        <v>45</v>
      </c>
      <c r="G544">
        <v>1620</v>
      </c>
      <c r="H544" s="4">
        <v>540</v>
      </c>
      <c r="I544" s="4">
        <v>1080</v>
      </c>
      <c r="J544" t="s">
        <v>923</v>
      </c>
      <c r="K544" t="s">
        <v>42</v>
      </c>
      <c r="L544" s="4">
        <v>12.502346728827876</v>
      </c>
      <c r="M544" s="1" t="s">
        <v>38</v>
      </c>
      <c r="N544" s="11">
        <f t="shared" si="8"/>
        <v>5</v>
      </c>
    </row>
    <row r="545" spans="1:14" ht="16" x14ac:dyDescent="0.2">
      <c r="A545" s="3">
        <v>43659.974939414984</v>
      </c>
      <c r="B545" s="1" t="s">
        <v>924</v>
      </c>
      <c r="C545" t="s">
        <v>185</v>
      </c>
      <c r="D545">
        <v>1</v>
      </c>
      <c r="E545">
        <v>146</v>
      </c>
      <c r="F545">
        <v>73</v>
      </c>
      <c r="G545">
        <v>146</v>
      </c>
      <c r="H545" s="4">
        <v>73</v>
      </c>
      <c r="I545" s="4">
        <v>73</v>
      </c>
      <c r="J545" t="s">
        <v>310</v>
      </c>
      <c r="K545" t="s">
        <v>58</v>
      </c>
      <c r="L545" s="4">
        <v>11.03324198943719</v>
      </c>
      <c r="M545" s="1" t="s">
        <v>54</v>
      </c>
      <c r="N545" s="11">
        <f t="shared" si="8"/>
        <v>10</v>
      </c>
    </row>
    <row r="546" spans="1:14" ht="16" x14ac:dyDescent="0.2">
      <c r="A546" s="3">
        <v>44028.810425087133</v>
      </c>
      <c r="B546" s="1" t="s">
        <v>925</v>
      </c>
      <c r="C546" t="s">
        <v>209</v>
      </c>
      <c r="D546">
        <v>10</v>
      </c>
      <c r="E546">
        <v>150</v>
      </c>
      <c r="F546">
        <v>75</v>
      </c>
      <c r="G546">
        <v>1500</v>
      </c>
      <c r="H546" s="4">
        <v>750</v>
      </c>
      <c r="I546" s="4">
        <v>750</v>
      </c>
      <c r="J546" t="s">
        <v>361</v>
      </c>
      <c r="K546" t="s">
        <v>64</v>
      </c>
      <c r="L546" s="4">
        <v>13.092530646074781</v>
      </c>
      <c r="M546" s="1" t="s">
        <v>34</v>
      </c>
      <c r="N546" s="11">
        <f t="shared" si="8"/>
        <v>1</v>
      </c>
    </row>
    <row r="547" spans="1:14" ht="16" x14ac:dyDescent="0.2">
      <c r="A547" s="3">
        <v>43761.732624284938</v>
      </c>
      <c r="B547" s="1" t="s">
        <v>926</v>
      </c>
      <c r="C547" t="s">
        <v>257</v>
      </c>
      <c r="D547">
        <v>18</v>
      </c>
      <c r="E547">
        <v>160</v>
      </c>
      <c r="F547">
        <v>80</v>
      </c>
      <c r="G547">
        <v>2880</v>
      </c>
      <c r="H547" s="4">
        <v>1440</v>
      </c>
      <c r="I547" s="4">
        <v>1440</v>
      </c>
      <c r="J547" t="s">
        <v>492</v>
      </c>
      <c r="K547" t="s">
        <v>33</v>
      </c>
      <c r="L547" s="4">
        <v>11.799431383856128</v>
      </c>
      <c r="M547" s="1" t="s">
        <v>54</v>
      </c>
      <c r="N547" s="11">
        <f t="shared" si="8"/>
        <v>10</v>
      </c>
    </row>
    <row r="548" spans="1:14" ht="16" x14ac:dyDescent="0.2">
      <c r="A548" s="3">
        <v>45113.59337282036</v>
      </c>
      <c r="B548" s="1" t="s">
        <v>927</v>
      </c>
      <c r="C548" t="s">
        <v>204</v>
      </c>
      <c r="D548">
        <v>19</v>
      </c>
      <c r="E548">
        <v>57</v>
      </c>
      <c r="F548">
        <v>19</v>
      </c>
      <c r="G548">
        <v>1083</v>
      </c>
      <c r="H548" s="4">
        <v>361</v>
      </c>
      <c r="I548" s="4">
        <v>722</v>
      </c>
      <c r="J548" t="s">
        <v>635</v>
      </c>
      <c r="K548" t="s">
        <v>33</v>
      </c>
      <c r="L548" s="4">
        <v>15.478388039566896</v>
      </c>
      <c r="M548" s="1" t="s">
        <v>38</v>
      </c>
      <c r="N548" s="11">
        <f t="shared" si="8"/>
        <v>5</v>
      </c>
    </row>
    <row r="549" spans="1:14" ht="16" x14ac:dyDescent="0.2">
      <c r="A549" s="3">
        <v>43992.380923082113</v>
      </c>
      <c r="B549" s="1" t="s">
        <v>928</v>
      </c>
      <c r="C549" t="s">
        <v>547</v>
      </c>
      <c r="D549">
        <v>12</v>
      </c>
      <c r="E549">
        <v>300</v>
      </c>
      <c r="F549">
        <v>75</v>
      </c>
      <c r="G549">
        <v>3600</v>
      </c>
      <c r="H549" s="4">
        <v>900</v>
      </c>
      <c r="I549" s="4">
        <v>2700</v>
      </c>
      <c r="J549" t="s">
        <v>290</v>
      </c>
      <c r="K549" t="s">
        <v>86</v>
      </c>
      <c r="L549" s="4">
        <v>12.758430621858414</v>
      </c>
      <c r="M549" s="1" t="s">
        <v>38</v>
      </c>
      <c r="N549" s="11">
        <f t="shared" si="8"/>
        <v>5</v>
      </c>
    </row>
    <row r="550" spans="1:14" ht="16" x14ac:dyDescent="0.2">
      <c r="A550" s="3">
        <v>43752.394474541332</v>
      </c>
      <c r="B550" s="1" t="s">
        <v>929</v>
      </c>
      <c r="C550" t="s">
        <v>148</v>
      </c>
      <c r="D550">
        <v>4</v>
      </c>
      <c r="E550">
        <v>144</v>
      </c>
      <c r="F550">
        <v>36</v>
      </c>
      <c r="G550">
        <v>576</v>
      </c>
      <c r="H550" s="4">
        <v>144</v>
      </c>
      <c r="I550" s="4">
        <v>432</v>
      </c>
      <c r="J550" t="s">
        <v>738</v>
      </c>
      <c r="K550" t="s">
        <v>33</v>
      </c>
      <c r="L550" s="4">
        <v>12.985332015423809</v>
      </c>
      <c r="M550" s="1" t="s">
        <v>54</v>
      </c>
      <c r="N550" s="11">
        <f t="shared" si="8"/>
        <v>10</v>
      </c>
    </row>
    <row r="551" spans="1:14" ht="16" x14ac:dyDescent="0.2">
      <c r="A551" s="3">
        <v>44726.784322654967</v>
      </c>
      <c r="B551" s="1" t="s">
        <v>930</v>
      </c>
      <c r="C551" t="s">
        <v>120</v>
      </c>
      <c r="D551">
        <v>14</v>
      </c>
      <c r="E551">
        <v>252</v>
      </c>
      <c r="F551">
        <v>63</v>
      </c>
      <c r="G551">
        <v>3528</v>
      </c>
      <c r="H551" s="4">
        <v>882</v>
      </c>
      <c r="I551" s="4">
        <v>2646</v>
      </c>
      <c r="J551" t="s">
        <v>720</v>
      </c>
      <c r="K551" t="s">
        <v>53</v>
      </c>
      <c r="L551" s="4">
        <v>13.106678263594747</v>
      </c>
      <c r="M551" s="1" t="s">
        <v>54</v>
      </c>
      <c r="N551" s="11">
        <f t="shared" si="8"/>
        <v>10</v>
      </c>
    </row>
    <row r="552" spans="1:14" ht="16" x14ac:dyDescent="0.2">
      <c r="A552" s="3">
        <v>43918.302417489744</v>
      </c>
      <c r="B552" s="1" t="s">
        <v>931</v>
      </c>
      <c r="C552" t="s">
        <v>88</v>
      </c>
      <c r="D552">
        <v>15</v>
      </c>
      <c r="E552">
        <v>210</v>
      </c>
      <c r="F552">
        <v>70</v>
      </c>
      <c r="G552">
        <v>3150</v>
      </c>
      <c r="H552" s="4">
        <v>1050</v>
      </c>
      <c r="I552" s="4">
        <v>2100</v>
      </c>
      <c r="J552" t="s">
        <v>361</v>
      </c>
      <c r="K552" t="s">
        <v>64</v>
      </c>
      <c r="L552" s="4">
        <v>13.092530646074781</v>
      </c>
      <c r="M552" s="1" t="s">
        <v>38</v>
      </c>
      <c r="N552" s="11">
        <f t="shared" si="8"/>
        <v>5</v>
      </c>
    </row>
    <row r="553" spans="1:14" ht="16" x14ac:dyDescent="0.2">
      <c r="A553" s="3">
        <v>43915.940150548377</v>
      </c>
      <c r="B553" s="1" t="s">
        <v>932</v>
      </c>
      <c r="C553" t="s">
        <v>47</v>
      </c>
      <c r="D553">
        <v>9</v>
      </c>
      <c r="E553">
        <v>231</v>
      </c>
      <c r="F553">
        <v>77</v>
      </c>
      <c r="G553">
        <v>2079</v>
      </c>
      <c r="H553" s="4">
        <v>693</v>
      </c>
      <c r="I553" s="4">
        <v>1386</v>
      </c>
      <c r="J553" t="s">
        <v>933</v>
      </c>
      <c r="K553" t="s">
        <v>58</v>
      </c>
      <c r="L553" s="4">
        <v>11.130819205617987</v>
      </c>
      <c r="M553" s="1" t="s">
        <v>34</v>
      </c>
      <c r="N553" s="11">
        <f t="shared" si="8"/>
        <v>1</v>
      </c>
    </row>
    <row r="554" spans="1:14" ht="16" x14ac:dyDescent="0.2">
      <c r="A554" s="3">
        <v>44094.323667637094</v>
      </c>
      <c r="B554" s="1" t="s">
        <v>934</v>
      </c>
      <c r="C554" t="s">
        <v>301</v>
      </c>
      <c r="D554">
        <v>6</v>
      </c>
      <c r="E554">
        <v>188</v>
      </c>
      <c r="F554">
        <v>94</v>
      </c>
      <c r="G554">
        <v>1128</v>
      </c>
      <c r="H554" s="4">
        <v>564</v>
      </c>
      <c r="I554" s="4">
        <v>564</v>
      </c>
      <c r="J554" t="s">
        <v>450</v>
      </c>
      <c r="K554" t="s">
        <v>49</v>
      </c>
      <c r="L554" s="4">
        <v>13.332534707865639</v>
      </c>
      <c r="M554" s="1" t="s">
        <v>54</v>
      </c>
      <c r="N554" s="11">
        <f t="shared" si="8"/>
        <v>10</v>
      </c>
    </row>
    <row r="555" spans="1:14" ht="16" x14ac:dyDescent="0.2">
      <c r="A555" s="3">
        <v>43643.954769802971</v>
      </c>
      <c r="B555" s="1" t="s">
        <v>935</v>
      </c>
      <c r="C555" t="s">
        <v>261</v>
      </c>
      <c r="D555">
        <v>8</v>
      </c>
      <c r="E555">
        <v>92</v>
      </c>
      <c r="F555">
        <v>46</v>
      </c>
      <c r="G555">
        <v>736</v>
      </c>
      <c r="H555" s="4">
        <v>368</v>
      </c>
      <c r="I555" s="4">
        <v>368</v>
      </c>
      <c r="J555" t="s">
        <v>882</v>
      </c>
      <c r="K555" t="s">
        <v>64</v>
      </c>
      <c r="L555" s="4">
        <v>12.701325659159139</v>
      </c>
      <c r="M555" s="1" t="s">
        <v>54</v>
      </c>
      <c r="N555" s="11">
        <f t="shared" si="8"/>
        <v>10</v>
      </c>
    </row>
    <row r="556" spans="1:14" ht="16" x14ac:dyDescent="0.2">
      <c r="A556" s="3">
        <v>43864.667435413263</v>
      </c>
      <c r="B556" s="1" t="s">
        <v>936</v>
      </c>
      <c r="C556" t="s">
        <v>81</v>
      </c>
      <c r="D556">
        <v>15</v>
      </c>
      <c r="E556">
        <v>166</v>
      </c>
      <c r="F556">
        <v>83</v>
      </c>
      <c r="G556">
        <v>2490</v>
      </c>
      <c r="H556" s="4">
        <v>1245</v>
      </c>
      <c r="I556" s="4">
        <v>1245</v>
      </c>
      <c r="J556" t="s">
        <v>569</v>
      </c>
      <c r="K556" t="s">
        <v>33</v>
      </c>
      <c r="L556" s="4">
        <v>12.921682080641304</v>
      </c>
      <c r="M556" s="1" t="s">
        <v>38</v>
      </c>
      <c r="N556" s="11">
        <f t="shared" si="8"/>
        <v>5</v>
      </c>
    </row>
    <row r="557" spans="1:14" ht="16" x14ac:dyDescent="0.2">
      <c r="A557" s="3">
        <v>43460.727630682617</v>
      </c>
      <c r="B557" s="1" t="s">
        <v>937</v>
      </c>
      <c r="C557" t="s">
        <v>56</v>
      </c>
      <c r="D557">
        <v>17</v>
      </c>
      <c r="E557">
        <v>38</v>
      </c>
      <c r="F557">
        <v>19</v>
      </c>
      <c r="G557">
        <v>646</v>
      </c>
      <c r="H557" s="4">
        <v>323</v>
      </c>
      <c r="I557" s="4">
        <v>323</v>
      </c>
      <c r="J557" t="s">
        <v>938</v>
      </c>
      <c r="K557" t="s">
        <v>33</v>
      </c>
      <c r="L557" s="4">
        <v>13.397308081757757</v>
      </c>
      <c r="M557" s="1" t="s">
        <v>38</v>
      </c>
      <c r="N557" s="11">
        <f t="shared" si="8"/>
        <v>5</v>
      </c>
    </row>
    <row r="558" spans="1:14" ht="16" x14ac:dyDescent="0.2">
      <c r="A558" s="3">
        <v>43085.868668158648</v>
      </c>
      <c r="B558" s="1" t="s">
        <v>939</v>
      </c>
      <c r="C558" t="s">
        <v>201</v>
      </c>
      <c r="D558">
        <v>16</v>
      </c>
      <c r="E558">
        <v>30</v>
      </c>
      <c r="F558">
        <v>15</v>
      </c>
      <c r="G558">
        <v>480</v>
      </c>
      <c r="H558" s="4">
        <v>240</v>
      </c>
      <c r="I558" s="4">
        <v>240</v>
      </c>
      <c r="J558" t="s">
        <v>940</v>
      </c>
      <c r="K558" t="s">
        <v>86</v>
      </c>
      <c r="L558" s="4">
        <v>9.2053706474810433</v>
      </c>
      <c r="M558" s="1" t="s">
        <v>38</v>
      </c>
      <c r="N558" s="11">
        <f t="shared" si="8"/>
        <v>5</v>
      </c>
    </row>
    <row r="559" spans="1:14" ht="16" x14ac:dyDescent="0.2">
      <c r="A559" s="3">
        <v>43853.609242647253</v>
      </c>
      <c r="B559" s="1" t="s">
        <v>941</v>
      </c>
      <c r="C559" t="s">
        <v>370</v>
      </c>
      <c r="D559">
        <v>5</v>
      </c>
      <c r="E559">
        <v>144</v>
      </c>
      <c r="F559">
        <v>36</v>
      </c>
      <c r="G559">
        <v>720</v>
      </c>
      <c r="H559" s="4">
        <v>180</v>
      </c>
      <c r="I559" s="4">
        <v>540</v>
      </c>
      <c r="J559" t="s">
        <v>315</v>
      </c>
      <c r="K559" t="s">
        <v>42</v>
      </c>
      <c r="L559" s="4">
        <v>10.966283117837653</v>
      </c>
      <c r="M559" s="1" t="s">
        <v>38</v>
      </c>
      <c r="N559" s="11">
        <f t="shared" si="8"/>
        <v>5</v>
      </c>
    </row>
    <row r="560" spans="1:14" ht="16" x14ac:dyDescent="0.2">
      <c r="A560" s="3">
        <v>44123.830946973147</v>
      </c>
      <c r="B560" s="1" t="s">
        <v>942</v>
      </c>
      <c r="C560" t="s">
        <v>583</v>
      </c>
      <c r="D560">
        <v>2</v>
      </c>
      <c r="E560">
        <v>57</v>
      </c>
      <c r="F560">
        <v>19</v>
      </c>
      <c r="G560">
        <v>114</v>
      </c>
      <c r="H560" s="4">
        <v>38</v>
      </c>
      <c r="I560" s="4">
        <v>76</v>
      </c>
      <c r="J560" t="s">
        <v>638</v>
      </c>
      <c r="K560" t="s">
        <v>33</v>
      </c>
      <c r="L560" s="4">
        <v>12.131375018945562</v>
      </c>
      <c r="M560" s="1" t="s">
        <v>38</v>
      </c>
      <c r="N560" s="11">
        <f t="shared" si="8"/>
        <v>5</v>
      </c>
    </row>
    <row r="561" spans="1:14" ht="16" x14ac:dyDescent="0.2">
      <c r="A561" s="3">
        <v>43754.058341443044</v>
      </c>
      <c r="B561" s="1" t="s">
        <v>943</v>
      </c>
      <c r="C561" t="s">
        <v>473</v>
      </c>
      <c r="D561">
        <v>9</v>
      </c>
      <c r="E561">
        <v>72</v>
      </c>
      <c r="F561">
        <v>36</v>
      </c>
      <c r="G561">
        <v>648</v>
      </c>
      <c r="H561" s="4">
        <v>324</v>
      </c>
      <c r="I561" s="4">
        <v>324</v>
      </c>
      <c r="J561" t="s">
        <v>611</v>
      </c>
      <c r="K561" t="s">
        <v>58</v>
      </c>
      <c r="L561" s="4">
        <v>7.8974070387684714</v>
      </c>
      <c r="M561" s="1" t="s">
        <v>54</v>
      </c>
      <c r="N561" s="11">
        <f t="shared" si="8"/>
        <v>10</v>
      </c>
    </row>
    <row r="562" spans="1:14" ht="16" x14ac:dyDescent="0.2">
      <c r="A562" s="3">
        <v>43385.301724963349</v>
      </c>
      <c r="B562" s="1" t="s">
        <v>944</v>
      </c>
      <c r="C562" t="s">
        <v>175</v>
      </c>
      <c r="D562">
        <v>16</v>
      </c>
      <c r="E562">
        <v>38</v>
      </c>
      <c r="F562">
        <v>19</v>
      </c>
      <c r="G562">
        <v>608</v>
      </c>
      <c r="H562" s="4">
        <v>304</v>
      </c>
      <c r="I562" s="4">
        <v>304</v>
      </c>
      <c r="J562" t="s">
        <v>562</v>
      </c>
      <c r="K562" t="s">
        <v>49</v>
      </c>
      <c r="L562" s="4">
        <v>11.808681852148307</v>
      </c>
      <c r="M562" s="1" t="s">
        <v>38</v>
      </c>
      <c r="N562" s="11">
        <f t="shared" si="8"/>
        <v>5</v>
      </c>
    </row>
    <row r="563" spans="1:14" ht="16" x14ac:dyDescent="0.2">
      <c r="A563" s="3">
        <v>44413.056799438869</v>
      </c>
      <c r="B563" s="1" t="s">
        <v>65</v>
      </c>
      <c r="C563" t="s">
        <v>98</v>
      </c>
      <c r="D563">
        <v>1</v>
      </c>
      <c r="E563">
        <v>156</v>
      </c>
      <c r="F563">
        <v>78</v>
      </c>
      <c r="G563">
        <v>156</v>
      </c>
      <c r="H563" s="4">
        <v>78</v>
      </c>
      <c r="I563" s="4">
        <v>78</v>
      </c>
      <c r="J563" t="s">
        <v>207</v>
      </c>
      <c r="K563" t="s">
        <v>42</v>
      </c>
      <c r="L563" s="4">
        <v>12.177709716438097</v>
      </c>
      <c r="M563" s="1" t="s">
        <v>38</v>
      </c>
      <c r="N563" s="11">
        <f t="shared" si="8"/>
        <v>5</v>
      </c>
    </row>
    <row r="564" spans="1:14" ht="16" x14ac:dyDescent="0.2">
      <c r="A564" s="3">
        <v>44425.165688218869</v>
      </c>
      <c r="B564" s="1" t="s">
        <v>945</v>
      </c>
      <c r="C564" t="s">
        <v>40</v>
      </c>
      <c r="D564">
        <v>4</v>
      </c>
      <c r="E564">
        <v>46</v>
      </c>
      <c r="F564">
        <v>23</v>
      </c>
      <c r="G564">
        <v>184</v>
      </c>
      <c r="H564" s="4">
        <v>92</v>
      </c>
      <c r="I564" s="4">
        <v>92</v>
      </c>
      <c r="J564" t="s">
        <v>253</v>
      </c>
      <c r="K564" t="s">
        <v>53</v>
      </c>
      <c r="L564" s="4">
        <v>13.918153610259502</v>
      </c>
      <c r="M564" s="1" t="s">
        <v>38</v>
      </c>
      <c r="N564" s="11">
        <f t="shared" si="8"/>
        <v>5</v>
      </c>
    </row>
    <row r="565" spans="1:14" ht="16" x14ac:dyDescent="0.2">
      <c r="A565" s="3">
        <v>44326.83717364219</v>
      </c>
      <c r="B565" s="1" t="s">
        <v>946</v>
      </c>
      <c r="C565" t="s">
        <v>163</v>
      </c>
      <c r="D565">
        <v>11</v>
      </c>
      <c r="E565">
        <v>108</v>
      </c>
      <c r="F565">
        <v>36</v>
      </c>
      <c r="G565">
        <v>1188</v>
      </c>
      <c r="H565" s="4">
        <v>396</v>
      </c>
      <c r="I565" s="4">
        <v>792</v>
      </c>
      <c r="J565" t="s">
        <v>321</v>
      </c>
      <c r="K565" t="s">
        <v>42</v>
      </c>
      <c r="L565" s="4">
        <v>7.7337149713827413</v>
      </c>
      <c r="M565" s="1" t="s">
        <v>38</v>
      </c>
      <c r="N565" s="11">
        <f t="shared" si="8"/>
        <v>5</v>
      </c>
    </row>
    <row r="566" spans="1:14" ht="16" x14ac:dyDescent="0.2">
      <c r="A566" s="3">
        <v>44214.49141376539</v>
      </c>
      <c r="B566" s="1" t="s">
        <v>947</v>
      </c>
      <c r="C566" t="s">
        <v>148</v>
      </c>
      <c r="D566">
        <v>17</v>
      </c>
      <c r="E566">
        <v>144</v>
      </c>
      <c r="F566">
        <v>36</v>
      </c>
      <c r="G566">
        <v>2448</v>
      </c>
      <c r="H566" s="4">
        <v>612</v>
      </c>
      <c r="I566" s="4">
        <v>1836</v>
      </c>
      <c r="J566" t="s">
        <v>313</v>
      </c>
      <c r="K566" t="s">
        <v>49</v>
      </c>
      <c r="L566" s="4">
        <v>11.99399163482429</v>
      </c>
      <c r="M566" s="1" t="s">
        <v>34</v>
      </c>
      <c r="N566" s="11">
        <f t="shared" si="8"/>
        <v>1</v>
      </c>
    </row>
    <row r="567" spans="1:14" ht="16" x14ac:dyDescent="0.2">
      <c r="A567" s="3">
        <v>44025.110827897341</v>
      </c>
      <c r="B567" s="1" t="s">
        <v>948</v>
      </c>
      <c r="C567" t="s">
        <v>196</v>
      </c>
      <c r="D567">
        <v>18</v>
      </c>
      <c r="E567">
        <v>192</v>
      </c>
      <c r="F567">
        <v>96</v>
      </c>
      <c r="G567">
        <v>3456</v>
      </c>
      <c r="H567" s="4">
        <v>1728</v>
      </c>
      <c r="I567" s="4">
        <v>1728</v>
      </c>
      <c r="J567" t="s">
        <v>903</v>
      </c>
      <c r="K567" t="s">
        <v>58</v>
      </c>
      <c r="L567" s="4">
        <v>11.952554704438674</v>
      </c>
      <c r="M567" s="1" t="s">
        <v>38</v>
      </c>
      <c r="N567" s="11">
        <f t="shared" si="8"/>
        <v>5</v>
      </c>
    </row>
    <row r="568" spans="1:14" ht="16" x14ac:dyDescent="0.2">
      <c r="A568" s="3">
        <v>43706.278642499681</v>
      </c>
      <c r="B568" s="1" t="s">
        <v>949</v>
      </c>
      <c r="C568" t="s">
        <v>503</v>
      </c>
      <c r="D568">
        <v>16</v>
      </c>
      <c r="E568">
        <v>50</v>
      </c>
      <c r="F568">
        <v>25</v>
      </c>
      <c r="G568">
        <v>800</v>
      </c>
      <c r="H568" s="4">
        <v>400</v>
      </c>
      <c r="I568" s="4">
        <v>400</v>
      </c>
      <c r="J568" t="s">
        <v>397</v>
      </c>
      <c r="K568" t="s">
        <v>49</v>
      </c>
      <c r="L568" s="4">
        <v>9.4239783062860578</v>
      </c>
      <c r="M568" s="1" t="s">
        <v>38</v>
      </c>
      <c r="N568" s="11">
        <f t="shared" si="8"/>
        <v>5</v>
      </c>
    </row>
    <row r="569" spans="1:14" ht="16" x14ac:dyDescent="0.2">
      <c r="A569" s="3">
        <v>44091.398618632382</v>
      </c>
      <c r="B569" s="1" t="s">
        <v>950</v>
      </c>
      <c r="C569" t="s">
        <v>227</v>
      </c>
      <c r="D569">
        <v>11</v>
      </c>
      <c r="E569">
        <v>144</v>
      </c>
      <c r="F569">
        <v>48</v>
      </c>
      <c r="G569">
        <v>1584</v>
      </c>
      <c r="H569" s="4">
        <v>528</v>
      </c>
      <c r="I569" s="4">
        <v>1056</v>
      </c>
      <c r="J569" t="s">
        <v>392</v>
      </c>
      <c r="K569" t="s">
        <v>49</v>
      </c>
      <c r="L569" s="4">
        <v>12.456740895640767</v>
      </c>
      <c r="M569" s="1" t="s">
        <v>34</v>
      </c>
      <c r="N569" s="11">
        <f t="shared" si="8"/>
        <v>1</v>
      </c>
    </row>
    <row r="570" spans="1:14" ht="16" x14ac:dyDescent="0.2">
      <c r="A570" s="3">
        <v>44404.793282276521</v>
      </c>
      <c r="B570" s="1" t="s">
        <v>520</v>
      </c>
      <c r="C570" t="s">
        <v>257</v>
      </c>
      <c r="D570">
        <v>13</v>
      </c>
      <c r="E570">
        <v>160</v>
      </c>
      <c r="F570">
        <v>80</v>
      </c>
      <c r="G570">
        <v>2080</v>
      </c>
      <c r="H570" s="4">
        <v>1040</v>
      </c>
      <c r="I570" s="4">
        <v>1040</v>
      </c>
      <c r="J570" t="s">
        <v>164</v>
      </c>
      <c r="K570" t="s">
        <v>86</v>
      </c>
      <c r="L570" s="4">
        <v>12.452986387489583</v>
      </c>
      <c r="M570" s="1" t="s">
        <v>54</v>
      </c>
      <c r="N570" s="11">
        <f t="shared" si="8"/>
        <v>10</v>
      </c>
    </row>
    <row r="571" spans="1:14" ht="16" x14ac:dyDescent="0.2">
      <c r="A571" s="3">
        <v>43413.310370904313</v>
      </c>
      <c r="B571" s="1" t="s">
        <v>951</v>
      </c>
      <c r="C571" t="s">
        <v>154</v>
      </c>
      <c r="D571">
        <v>18</v>
      </c>
      <c r="E571">
        <v>308</v>
      </c>
      <c r="F571">
        <v>77</v>
      </c>
      <c r="G571">
        <v>5544</v>
      </c>
      <c r="H571" s="4">
        <v>1386</v>
      </c>
      <c r="I571" s="4">
        <v>4158</v>
      </c>
      <c r="J571" t="s">
        <v>521</v>
      </c>
      <c r="K571" t="s">
        <v>58</v>
      </c>
      <c r="L571" s="4">
        <v>8.8514729234790472</v>
      </c>
      <c r="M571" s="1" t="s">
        <v>38</v>
      </c>
      <c r="N571" s="11">
        <f t="shared" si="8"/>
        <v>5</v>
      </c>
    </row>
    <row r="572" spans="1:14" ht="16" x14ac:dyDescent="0.2">
      <c r="A572" s="3">
        <v>43285.189604190113</v>
      </c>
      <c r="B572" s="1" t="s">
        <v>952</v>
      </c>
      <c r="C572" t="s">
        <v>592</v>
      </c>
      <c r="D572">
        <v>18</v>
      </c>
      <c r="E572">
        <v>312</v>
      </c>
      <c r="F572">
        <v>78</v>
      </c>
      <c r="G572">
        <v>5616</v>
      </c>
      <c r="H572" s="4">
        <v>1404</v>
      </c>
      <c r="I572" s="4">
        <v>4212</v>
      </c>
      <c r="J572" t="s">
        <v>733</v>
      </c>
      <c r="K572" t="s">
        <v>53</v>
      </c>
      <c r="L572" s="4">
        <v>16.148992525516267</v>
      </c>
      <c r="M572" s="1" t="s">
        <v>38</v>
      </c>
      <c r="N572" s="11">
        <f t="shared" si="8"/>
        <v>5</v>
      </c>
    </row>
    <row r="573" spans="1:14" ht="16" x14ac:dyDescent="0.2">
      <c r="A573" s="3">
        <v>44367.700662639596</v>
      </c>
      <c r="B573" s="1" t="s">
        <v>953</v>
      </c>
      <c r="C573" t="s">
        <v>523</v>
      </c>
      <c r="D573">
        <v>4</v>
      </c>
      <c r="E573">
        <v>92</v>
      </c>
      <c r="F573">
        <v>46</v>
      </c>
      <c r="G573">
        <v>368</v>
      </c>
      <c r="H573" s="4">
        <v>184</v>
      </c>
      <c r="I573" s="4">
        <v>184</v>
      </c>
      <c r="J573" t="s">
        <v>490</v>
      </c>
      <c r="K573" t="s">
        <v>64</v>
      </c>
      <c r="L573" s="4">
        <v>11.249825090458803</v>
      </c>
      <c r="M573" s="1" t="s">
        <v>38</v>
      </c>
      <c r="N573" s="11">
        <f t="shared" si="8"/>
        <v>5</v>
      </c>
    </row>
    <row r="574" spans="1:14" ht="16" x14ac:dyDescent="0.2">
      <c r="A574" s="3">
        <v>43696.317261548524</v>
      </c>
      <c r="B574" s="1" t="s">
        <v>954</v>
      </c>
      <c r="C574" t="s">
        <v>188</v>
      </c>
      <c r="D574">
        <v>19</v>
      </c>
      <c r="E574">
        <v>368</v>
      </c>
      <c r="F574">
        <v>92</v>
      </c>
      <c r="G574">
        <v>6992</v>
      </c>
      <c r="H574" s="4">
        <v>1748</v>
      </c>
      <c r="I574" s="4">
        <v>5244</v>
      </c>
      <c r="J574" t="s">
        <v>513</v>
      </c>
      <c r="K574" t="s">
        <v>58</v>
      </c>
      <c r="L574" s="4">
        <v>15.207985888346794</v>
      </c>
      <c r="M574" s="1" t="s">
        <v>54</v>
      </c>
      <c r="N574" s="11">
        <f t="shared" si="8"/>
        <v>10</v>
      </c>
    </row>
    <row r="575" spans="1:14" ht="16" x14ac:dyDescent="0.2">
      <c r="A575" s="3">
        <v>43018.564802562025</v>
      </c>
      <c r="B575" s="1" t="s">
        <v>955</v>
      </c>
      <c r="C575" t="s">
        <v>148</v>
      </c>
      <c r="D575">
        <v>15</v>
      </c>
      <c r="E575">
        <v>144</v>
      </c>
      <c r="F575">
        <v>36</v>
      </c>
      <c r="G575">
        <v>2160</v>
      </c>
      <c r="H575" s="4">
        <v>540</v>
      </c>
      <c r="I575" s="4">
        <v>1620</v>
      </c>
      <c r="J575" t="s">
        <v>587</v>
      </c>
      <c r="K575" t="s">
        <v>49</v>
      </c>
      <c r="L575" s="4">
        <v>14.760829371220243</v>
      </c>
      <c r="M575" s="1" t="s">
        <v>38</v>
      </c>
      <c r="N575" s="11">
        <f t="shared" si="8"/>
        <v>5</v>
      </c>
    </row>
    <row r="576" spans="1:14" ht="16" x14ac:dyDescent="0.2">
      <c r="A576" s="3">
        <v>43487.055702529564</v>
      </c>
      <c r="B576" s="1" t="s">
        <v>956</v>
      </c>
      <c r="C576" t="s">
        <v>779</v>
      </c>
      <c r="D576">
        <v>15</v>
      </c>
      <c r="E576">
        <v>120</v>
      </c>
      <c r="F576">
        <v>30</v>
      </c>
      <c r="G576">
        <v>1800</v>
      </c>
      <c r="H576" s="4">
        <v>450</v>
      </c>
      <c r="I576" s="4">
        <v>1350</v>
      </c>
      <c r="J576" t="s">
        <v>580</v>
      </c>
      <c r="K576" t="s">
        <v>58</v>
      </c>
      <c r="L576" s="4">
        <v>14.66147716237918</v>
      </c>
      <c r="M576" s="1" t="s">
        <v>54</v>
      </c>
      <c r="N576" s="11">
        <f t="shared" si="8"/>
        <v>10</v>
      </c>
    </row>
    <row r="577" spans="1:14" ht="16" x14ac:dyDescent="0.2">
      <c r="A577" s="3">
        <v>43860.975035204181</v>
      </c>
      <c r="B577" s="1" t="s">
        <v>957</v>
      </c>
      <c r="C577" t="s">
        <v>425</v>
      </c>
      <c r="D577">
        <v>17</v>
      </c>
      <c r="E577">
        <v>352</v>
      </c>
      <c r="F577">
        <v>88</v>
      </c>
      <c r="G577">
        <v>5984</v>
      </c>
      <c r="H577" s="4">
        <v>1496</v>
      </c>
      <c r="I577" s="4">
        <v>4488</v>
      </c>
      <c r="J577" t="s">
        <v>958</v>
      </c>
      <c r="K577" t="s">
        <v>58</v>
      </c>
      <c r="L577" s="4">
        <v>9.1591412531773226</v>
      </c>
      <c r="M577" s="1" t="s">
        <v>38</v>
      </c>
      <c r="N577" s="11">
        <f t="shared" si="8"/>
        <v>5</v>
      </c>
    </row>
    <row r="578" spans="1:14" ht="16" x14ac:dyDescent="0.2">
      <c r="A578" s="3">
        <v>44263.327169921693</v>
      </c>
      <c r="B578" s="1" t="s">
        <v>959</v>
      </c>
      <c r="C578" t="s">
        <v>473</v>
      </c>
      <c r="D578">
        <v>7</v>
      </c>
      <c r="E578">
        <v>72</v>
      </c>
      <c r="F578">
        <v>36</v>
      </c>
      <c r="G578">
        <v>504</v>
      </c>
      <c r="H578" s="4">
        <v>252</v>
      </c>
      <c r="I578" s="4">
        <v>252</v>
      </c>
      <c r="J578" t="s">
        <v>85</v>
      </c>
      <c r="K578" t="s">
        <v>86</v>
      </c>
      <c r="L578" s="4">
        <v>11.631646244583138</v>
      </c>
      <c r="M578" s="1" t="s">
        <v>38</v>
      </c>
      <c r="N578" s="11">
        <f t="shared" si="8"/>
        <v>5</v>
      </c>
    </row>
    <row r="579" spans="1:14" ht="16" x14ac:dyDescent="0.2">
      <c r="A579" s="3">
        <v>43974.915670449969</v>
      </c>
      <c r="B579" s="1" t="s">
        <v>960</v>
      </c>
      <c r="C579" t="s">
        <v>248</v>
      </c>
      <c r="D579">
        <v>7</v>
      </c>
      <c r="E579">
        <v>132</v>
      </c>
      <c r="F579">
        <v>44</v>
      </c>
      <c r="G579">
        <v>924</v>
      </c>
      <c r="H579" s="4">
        <v>308</v>
      </c>
      <c r="I579" s="4">
        <v>616</v>
      </c>
      <c r="J579" t="s">
        <v>202</v>
      </c>
      <c r="K579" t="s">
        <v>58</v>
      </c>
      <c r="L579" s="4">
        <v>13.765798454641494</v>
      </c>
      <c r="M579" s="1" t="s">
        <v>38</v>
      </c>
      <c r="N579" s="11">
        <f t="shared" ref="N579:N642" si="9">+IF(M579="Dissatisfied",1,IF(M579="Satisfied",10,5))</f>
        <v>5</v>
      </c>
    </row>
    <row r="580" spans="1:14" ht="16" x14ac:dyDescent="0.2">
      <c r="A580" s="3">
        <v>44158.851723416723</v>
      </c>
      <c r="B580" s="1" t="s">
        <v>961</v>
      </c>
      <c r="C580" t="s">
        <v>88</v>
      </c>
      <c r="D580">
        <v>10</v>
      </c>
      <c r="E580">
        <v>210</v>
      </c>
      <c r="F580">
        <v>70</v>
      </c>
      <c r="G580">
        <v>2100</v>
      </c>
      <c r="H580" s="4">
        <v>700</v>
      </c>
      <c r="I580" s="4">
        <v>1400</v>
      </c>
      <c r="J580" t="s">
        <v>962</v>
      </c>
      <c r="K580" t="s">
        <v>86</v>
      </c>
      <c r="L580" s="4">
        <v>10.968401424454578</v>
      </c>
      <c r="M580" s="1" t="s">
        <v>38</v>
      </c>
      <c r="N580" s="11">
        <f t="shared" si="9"/>
        <v>5</v>
      </c>
    </row>
    <row r="581" spans="1:14" ht="16" x14ac:dyDescent="0.2">
      <c r="A581" s="3">
        <v>44275.198167111055</v>
      </c>
      <c r="B581" s="1" t="s">
        <v>963</v>
      </c>
      <c r="C581" t="s">
        <v>544</v>
      </c>
      <c r="D581">
        <v>6</v>
      </c>
      <c r="E581">
        <v>267</v>
      </c>
      <c r="F581">
        <v>89</v>
      </c>
      <c r="G581">
        <v>1602</v>
      </c>
      <c r="H581" s="4">
        <v>534</v>
      </c>
      <c r="I581" s="4">
        <v>1068</v>
      </c>
      <c r="J581" t="s">
        <v>678</v>
      </c>
      <c r="K581" t="s">
        <v>86</v>
      </c>
      <c r="L581" s="4">
        <v>12.460490918487697</v>
      </c>
      <c r="M581" s="1" t="s">
        <v>38</v>
      </c>
      <c r="N581" s="11">
        <f t="shared" si="9"/>
        <v>5</v>
      </c>
    </row>
    <row r="582" spans="1:14" ht="16" x14ac:dyDescent="0.2">
      <c r="A582" s="3">
        <v>44521.326720085824</v>
      </c>
      <c r="B582" s="1" t="s">
        <v>964</v>
      </c>
      <c r="C582" t="s">
        <v>410</v>
      </c>
      <c r="D582">
        <v>7</v>
      </c>
      <c r="E582">
        <v>84</v>
      </c>
      <c r="F582">
        <v>21</v>
      </c>
      <c r="G582">
        <v>588</v>
      </c>
      <c r="H582" s="4">
        <v>147</v>
      </c>
      <c r="I582" s="4">
        <v>441</v>
      </c>
      <c r="J582" t="s">
        <v>933</v>
      </c>
      <c r="K582" t="s">
        <v>58</v>
      </c>
      <c r="L582" s="4">
        <v>11.130819205617987</v>
      </c>
      <c r="M582" s="1" t="s">
        <v>54</v>
      </c>
      <c r="N582" s="11">
        <f t="shared" si="9"/>
        <v>10</v>
      </c>
    </row>
    <row r="583" spans="1:14" ht="16" x14ac:dyDescent="0.2">
      <c r="A583" s="3">
        <v>43730.792818263297</v>
      </c>
      <c r="B583" s="1" t="s">
        <v>965</v>
      </c>
      <c r="C583" t="s">
        <v>175</v>
      </c>
      <c r="D583">
        <v>15</v>
      </c>
      <c r="E583">
        <v>38</v>
      </c>
      <c r="F583">
        <v>19</v>
      </c>
      <c r="G583">
        <v>570</v>
      </c>
      <c r="H583" s="4">
        <v>285</v>
      </c>
      <c r="I583" s="4">
        <v>285</v>
      </c>
      <c r="J583" t="s">
        <v>640</v>
      </c>
      <c r="K583" t="s">
        <v>53</v>
      </c>
      <c r="L583" s="4">
        <v>8.7741864171993527</v>
      </c>
      <c r="M583" s="1" t="s">
        <v>38</v>
      </c>
      <c r="N583" s="11">
        <f t="shared" si="9"/>
        <v>5</v>
      </c>
    </row>
    <row r="584" spans="1:14" ht="16" x14ac:dyDescent="0.2">
      <c r="A584" s="3">
        <v>43701.132002889688</v>
      </c>
      <c r="B584" s="1" t="s">
        <v>966</v>
      </c>
      <c r="C584" t="s">
        <v>101</v>
      </c>
      <c r="D584">
        <v>6</v>
      </c>
      <c r="E584">
        <v>50</v>
      </c>
      <c r="F584">
        <v>25</v>
      </c>
      <c r="G584">
        <v>300</v>
      </c>
      <c r="H584" s="4">
        <v>150</v>
      </c>
      <c r="I584" s="4">
        <v>150</v>
      </c>
      <c r="J584" t="s">
        <v>131</v>
      </c>
      <c r="K584" t="s">
        <v>33</v>
      </c>
      <c r="L584" s="4">
        <v>12.844063202784817</v>
      </c>
      <c r="M584" s="1" t="s">
        <v>34</v>
      </c>
      <c r="N584" s="11">
        <f t="shared" si="9"/>
        <v>1</v>
      </c>
    </row>
    <row r="585" spans="1:14" ht="16" x14ac:dyDescent="0.2">
      <c r="A585" s="3">
        <v>43030.841924129338</v>
      </c>
      <c r="B585" s="1" t="s">
        <v>967</v>
      </c>
      <c r="C585" t="s">
        <v>218</v>
      </c>
      <c r="D585">
        <v>5</v>
      </c>
      <c r="E585">
        <v>264</v>
      </c>
      <c r="F585">
        <v>88</v>
      </c>
      <c r="G585">
        <v>1320</v>
      </c>
      <c r="H585" s="4">
        <v>440</v>
      </c>
      <c r="I585" s="4">
        <v>880</v>
      </c>
      <c r="J585" t="s">
        <v>968</v>
      </c>
      <c r="K585" t="s">
        <v>42</v>
      </c>
      <c r="L585" s="4">
        <v>11.961761925704458</v>
      </c>
      <c r="M585" s="1" t="s">
        <v>38</v>
      </c>
      <c r="N585" s="11">
        <f t="shared" si="9"/>
        <v>5</v>
      </c>
    </row>
    <row r="586" spans="1:14" ht="16" x14ac:dyDescent="0.2">
      <c r="A586" s="3">
        <v>43701.858078292047</v>
      </c>
      <c r="B586" s="1" t="s">
        <v>969</v>
      </c>
      <c r="C586" t="s">
        <v>81</v>
      </c>
      <c r="D586">
        <v>3</v>
      </c>
      <c r="E586">
        <v>166</v>
      </c>
      <c r="F586">
        <v>83</v>
      </c>
      <c r="G586">
        <v>498</v>
      </c>
      <c r="H586" s="4">
        <v>249</v>
      </c>
      <c r="I586" s="4">
        <v>249</v>
      </c>
      <c r="J586" t="s">
        <v>488</v>
      </c>
      <c r="K586" t="s">
        <v>64</v>
      </c>
      <c r="L586" s="4">
        <v>9.458617986208397</v>
      </c>
      <c r="M586" s="1" t="s">
        <v>54</v>
      </c>
      <c r="N586" s="11">
        <f t="shared" si="9"/>
        <v>10</v>
      </c>
    </row>
    <row r="587" spans="1:14" ht="16" x14ac:dyDescent="0.2">
      <c r="A587" s="3">
        <v>43924.605704698995</v>
      </c>
      <c r="B587" s="1" t="s">
        <v>970</v>
      </c>
      <c r="C587" t="s">
        <v>410</v>
      </c>
      <c r="D587">
        <v>14</v>
      </c>
      <c r="E587">
        <v>84</v>
      </c>
      <c r="F587">
        <v>21</v>
      </c>
      <c r="G587">
        <v>1176</v>
      </c>
      <c r="H587" s="4">
        <v>294</v>
      </c>
      <c r="I587" s="4">
        <v>882</v>
      </c>
      <c r="J587" t="s">
        <v>745</v>
      </c>
      <c r="K587" t="s">
        <v>33</v>
      </c>
      <c r="L587" s="4">
        <v>9.1057685343725456</v>
      </c>
      <c r="M587" s="1" t="s">
        <v>54</v>
      </c>
      <c r="N587" s="11">
        <f t="shared" si="9"/>
        <v>10</v>
      </c>
    </row>
    <row r="588" spans="1:14" ht="16" x14ac:dyDescent="0.2">
      <c r="A588" s="3">
        <v>43798.818636213975</v>
      </c>
      <c r="B588" s="1" t="s">
        <v>971</v>
      </c>
      <c r="C588" t="s">
        <v>394</v>
      </c>
      <c r="D588">
        <v>12</v>
      </c>
      <c r="E588">
        <v>58</v>
      </c>
      <c r="F588">
        <v>29</v>
      </c>
      <c r="G588">
        <v>696</v>
      </c>
      <c r="H588" s="4">
        <v>348</v>
      </c>
      <c r="I588" s="4">
        <v>348</v>
      </c>
      <c r="J588" t="s">
        <v>713</v>
      </c>
      <c r="K588" t="s">
        <v>42</v>
      </c>
      <c r="L588" s="4">
        <v>10.956589836772277</v>
      </c>
      <c r="M588" s="1" t="s">
        <v>54</v>
      </c>
      <c r="N588" s="11">
        <f t="shared" si="9"/>
        <v>10</v>
      </c>
    </row>
    <row r="589" spans="1:14" ht="16" x14ac:dyDescent="0.2">
      <c r="A589" s="3">
        <v>43163.269293095662</v>
      </c>
      <c r="B589" s="1" t="s">
        <v>972</v>
      </c>
      <c r="C589" t="s">
        <v>337</v>
      </c>
      <c r="D589">
        <v>6</v>
      </c>
      <c r="E589">
        <v>135</v>
      </c>
      <c r="F589">
        <v>45</v>
      </c>
      <c r="G589">
        <v>810</v>
      </c>
      <c r="H589" s="4">
        <v>270</v>
      </c>
      <c r="I589" s="4">
        <v>540</v>
      </c>
      <c r="J589" t="s">
        <v>933</v>
      </c>
      <c r="K589" t="s">
        <v>58</v>
      </c>
      <c r="L589" s="4">
        <v>11.130819205617987</v>
      </c>
      <c r="M589" s="1" t="s">
        <v>34</v>
      </c>
      <c r="N589" s="11">
        <f t="shared" si="9"/>
        <v>1</v>
      </c>
    </row>
    <row r="590" spans="1:14" ht="16" x14ac:dyDescent="0.2">
      <c r="A590" s="3">
        <v>44118.249068357654</v>
      </c>
      <c r="B590" s="1" t="s">
        <v>973</v>
      </c>
      <c r="C590" t="s">
        <v>257</v>
      </c>
      <c r="D590">
        <v>6</v>
      </c>
      <c r="E590">
        <v>160</v>
      </c>
      <c r="F590">
        <v>80</v>
      </c>
      <c r="G590">
        <v>960</v>
      </c>
      <c r="H590" s="4">
        <v>480</v>
      </c>
      <c r="I590" s="4">
        <v>480</v>
      </c>
      <c r="J590" t="s">
        <v>73</v>
      </c>
      <c r="K590" t="s">
        <v>58</v>
      </c>
      <c r="L590" s="4">
        <v>8.2871811249429097</v>
      </c>
      <c r="M590" s="1" t="s">
        <v>54</v>
      </c>
      <c r="N590" s="11">
        <f t="shared" si="9"/>
        <v>10</v>
      </c>
    </row>
    <row r="591" spans="1:14" ht="16" x14ac:dyDescent="0.2">
      <c r="A591" s="3">
        <v>44109.349501558791</v>
      </c>
      <c r="B591" s="1" t="s">
        <v>974</v>
      </c>
      <c r="C591" t="s">
        <v>243</v>
      </c>
      <c r="D591">
        <v>6</v>
      </c>
      <c r="E591">
        <v>90</v>
      </c>
      <c r="F591">
        <v>45</v>
      </c>
      <c r="G591">
        <v>540</v>
      </c>
      <c r="H591" s="4">
        <v>270</v>
      </c>
      <c r="I591" s="4">
        <v>270</v>
      </c>
      <c r="J591" t="s">
        <v>542</v>
      </c>
      <c r="K591" t="s">
        <v>58</v>
      </c>
      <c r="L591" s="4">
        <v>13.929237493388955</v>
      </c>
      <c r="M591" s="1" t="s">
        <v>38</v>
      </c>
      <c r="N591" s="11">
        <f t="shared" si="9"/>
        <v>5</v>
      </c>
    </row>
    <row r="592" spans="1:14" ht="16" x14ac:dyDescent="0.2">
      <c r="A592" s="3">
        <v>44105.999346960954</v>
      </c>
      <c r="B592" s="1" t="s">
        <v>975</v>
      </c>
      <c r="C592" t="s">
        <v>75</v>
      </c>
      <c r="D592">
        <v>7</v>
      </c>
      <c r="E592">
        <v>76</v>
      </c>
      <c r="F592">
        <v>19</v>
      </c>
      <c r="G592">
        <v>532</v>
      </c>
      <c r="H592" s="4">
        <v>133</v>
      </c>
      <c r="I592" s="4">
        <v>399</v>
      </c>
      <c r="J592" t="s">
        <v>587</v>
      </c>
      <c r="K592" t="s">
        <v>49</v>
      </c>
      <c r="L592" s="4">
        <v>14.760829371220243</v>
      </c>
      <c r="M592" s="1" t="s">
        <v>54</v>
      </c>
      <c r="N592" s="11">
        <f t="shared" si="9"/>
        <v>10</v>
      </c>
    </row>
    <row r="593" spans="1:14" ht="16" x14ac:dyDescent="0.2">
      <c r="A593" s="3">
        <v>43676.020839830373</v>
      </c>
      <c r="B593" s="1" t="s">
        <v>976</v>
      </c>
      <c r="C593" t="s">
        <v>151</v>
      </c>
      <c r="D593">
        <v>6</v>
      </c>
      <c r="E593">
        <v>153</v>
      </c>
      <c r="F593">
        <v>51</v>
      </c>
      <c r="G593">
        <v>918</v>
      </c>
      <c r="H593" s="4">
        <v>306</v>
      </c>
      <c r="I593" s="4">
        <v>612</v>
      </c>
      <c r="J593" t="s">
        <v>99</v>
      </c>
      <c r="K593" t="s">
        <v>86</v>
      </c>
      <c r="L593" s="4">
        <v>15.140903556171683</v>
      </c>
      <c r="M593" s="1" t="s">
        <v>54</v>
      </c>
      <c r="N593" s="11">
        <f t="shared" si="9"/>
        <v>10</v>
      </c>
    </row>
    <row r="594" spans="1:14" ht="16" x14ac:dyDescent="0.2">
      <c r="A594" s="3">
        <v>43828.03194774811</v>
      </c>
      <c r="B594" s="1" t="s">
        <v>977</v>
      </c>
      <c r="C594" t="s">
        <v>218</v>
      </c>
      <c r="D594">
        <v>18</v>
      </c>
      <c r="E594">
        <v>264</v>
      </c>
      <c r="F594">
        <v>88</v>
      </c>
      <c r="G594">
        <v>4752</v>
      </c>
      <c r="H594" s="4">
        <v>1584</v>
      </c>
      <c r="I594" s="4">
        <v>3168</v>
      </c>
      <c r="J594" t="s">
        <v>131</v>
      </c>
      <c r="K594" t="s">
        <v>33</v>
      </c>
      <c r="L594" s="4">
        <v>12.844063202784817</v>
      </c>
      <c r="M594" s="1" t="s">
        <v>54</v>
      </c>
      <c r="N594" s="11">
        <f t="shared" si="9"/>
        <v>10</v>
      </c>
    </row>
    <row r="595" spans="1:14" ht="16" x14ac:dyDescent="0.2">
      <c r="A595" s="3">
        <v>44016.110555605061</v>
      </c>
      <c r="B595" s="1" t="s">
        <v>978</v>
      </c>
      <c r="C595" t="s">
        <v>266</v>
      </c>
      <c r="D595">
        <v>11</v>
      </c>
      <c r="E595">
        <v>50</v>
      </c>
      <c r="F595">
        <v>25</v>
      </c>
      <c r="G595">
        <v>550</v>
      </c>
      <c r="H595" s="4">
        <v>275</v>
      </c>
      <c r="I595" s="4">
        <v>275</v>
      </c>
      <c r="J595" t="s">
        <v>450</v>
      </c>
      <c r="K595" t="s">
        <v>49</v>
      </c>
      <c r="L595" s="4">
        <v>13.332534707865639</v>
      </c>
      <c r="M595" s="1" t="s">
        <v>38</v>
      </c>
      <c r="N595" s="11">
        <f t="shared" si="9"/>
        <v>5</v>
      </c>
    </row>
    <row r="596" spans="1:14" ht="16" x14ac:dyDescent="0.2">
      <c r="A596" s="3">
        <v>43943.316982327575</v>
      </c>
      <c r="B596" s="1" t="s">
        <v>979</v>
      </c>
      <c r="C596" t="s">
        <v>248</v>
      </c>
      <c r="D596">
        <v>2</v>
      </c>
      <c r="E596">
        <v>132</v>
      </c>
      <c r="F596">
        <v>44</v>
      </c>
      <c r="G596">
        <v>264</v>
      </c>
      <c r="H596" s="4">
        <v>88</v>
      </c>
      <c r="I596" s="4">
        <v>176</v>
      </c>
      <c r="J596" t="s">
        <v>980</v>
      </c>
      <c r="K596" t="s">
        <v>33</v>
      </c>
      <c r="L596" s="4">
        <v>8.1743378387804331</v>
      </c>
      <c r="M596" s="1" t="s">
        <v>34</v>
      </c>
      <c r="N596" s="11">
        <f t="shared" si="9"/>
        <v>1</v>
      </c>
    </row>
    <row r="597" spans="1:14" ht="16" x14ac:dyDescent="0.2">
      <c r="A597" s="3">
        <v>44266.999151177159</v>
      </c>
      <c r="B597" s="1" t="s">
        <v>981</v>
      </c>
      <c r="C597" t="s">
        <v>101</v>
      </c>
      <c r="D597">
        <v>3</v>
      </c>
      <c r="E597">
        <v>50</v>
      </c>
      <c r="F597">
        <v>25</v>
      </c>
      <c r="G597">
        <v>150</v>
      </c>
      <c r="H597" s="4">
        <v>75</v>
      </c>
      <c r="I597" s="4">
        <v>75</v>
      </c>
      <c r="J597" t="s">
        <v>52</v>
      </c>
      <c r="K597" t="s">
        <v>53</v>
      </c>
      <c r="L597" s="4">
        <v>12.169266722245851</v>
      </c>
      <c r="M597" s="1" t="s">
        <v>38</v>
      </c>
      <c r="N597" s="11">
        <f t="shared" si="9"/>
        <v>5</v>
      </c>
    </row>
    <row r="598" spans="1:14" ht="16" x14ac:dyDescent="0.2">
      <c r="A598" s="3">
        <v>44645.962840064734</v>
      </c>
      <c r="B598" s="1" t="s">
        <v>982</v>
      </c>
      <c r="C598" t="s">
        <v>188</v>
      </c>
      <c r="D598">
        <v>20</v>
      </c>
      <c r="E598">
        <v>368</v>
      </c>
      <c r="F598">
        <v>92</v>
      </c>
      <c r="G598">
        <v>7360</v>
      </c>
      <c r="H598" s="4">
        <v>1840</v>
      </c>
      <c r="I598" s="4">
        <v>5520</v>
      </c>
      <c r="J598" t="s">
        <v>882</v>
      </c>
      <c r="K598" t="s">
        <v>64</v>
      </c>
      <c r="L598" s="4">
        <v>12.701325659159139</v>
      </c>
      <c r="M598" s="1" t="s">
        <v>54</v>
      </c>
      <c r="N598" s="11">
        <f t="shared" si="9"/>
        <v>10</v>
      </c>
    </row>
    <row r="599" spans="1:14" ht="16" x14ac:dyDescent="0.2">
      <c r="A599" s="3">
        <v>44916.670505625982</v>
      </c>
      <c r="B599" s="1" t="s">
        <v>983</v>
      </c>
      <c r="C599" t="s">
        <v>196</v>
      </c>
      <c r="D599">
        <v>1</v>
      </c>
      <c r="E599">
        <v>192</v>
      </c>
      <c r="F599">
        <v>96</v>
      </c>
      <c r="G599">
        <v>192</v>
      </c>
      <c r="H599" s="4">
        <v>96</v>
      </c>
      <c r="I599" s="4">
        <v>96</v>
      </c>
      <c r="J599" t="s">
        <v>535</v>
      </c>
      <c r="K599" t="s">
        <v>33</v>
      </c>
      <c r="L599" s="4">
        <v>14.554851510602212</v>
      </c>
      <c r="M599" s="1" t="s">
        <v>34</v>
      </c>
      <c r="N599" s="11">
        <f t="shared" si="9"/>
        <v>1</v>
      </c>
    </row>
    <row r="600" spans="1:14" ht="16" x14ac:dyDescent="0.2">
      <c r="A600" s="3">
        <v>43358.061348194598</v>
      </c>
      <c r="B600" s="1" t="s">
        <v>984</v>
      </c>
      <c r="C600" t="s">
        <v>240</v>
      </c>
      <c r="D600">
        <v>13</v>
      </c>
      <c r="E600">
        <v>108</v>
      </c>
      <c r="F600">
        <v>54</v>
      </c>
      <c r="G600">
        <v>1404</v>
      </c>
      <c r="H600" s="4">
        <v>702</v>
      </c>
      <c r="I600" s="4">
        <v>702</v>
      </c>
      <c r="J600" t="s">
        <v>521</v>
      </c>
      <c r="K600" t="s">
        <v>58</v>
      </c>
      <c r="L600" s="4">
        <v>8.8514729234790472</v>
      </c>
      <c r="M600" s="1" t="s">
        <v>54</v>
      </c>
      <c r="N600" s="11">
        <f t="shared" si="9"/>
        <v>10</v>
      </c>
    </row>
    <row r="601" spans="1:14" ht="16" x14ac:dyDescent="0.2">
      <c r="A601" s="3">
        <v>43893.109874254566</v>
      </c>
      <c r="B601" s="1" t="s">
        <v>985</v>
      </c>
      <c r="C601" t="s">
        <v>72</v>
      </c>
      <c r="D601">
        <v>10</v>
      </c>
      <c r="E601">
        <v>352</v>
      </c>
      <c r="F601">
        <v>88</v>
      </c>
      <c r="G601">
        <v>3520</v>
      </c>
      <c r="H601" s="4">
        <v>880</v>
      </c>
      <c r="I601" s="4">
        <v>2640</v>
      </c>
      <c r="J601" t="s">
        <v>986</v>
      </c>
      <c r="K601" t="s">
        <v>86</v>
      </c>
      <c r="L601" s="4">
        <v>12.392787515215366</v>
      </c>
      <c r="M601" s="1" t="s">
        <v>54</v>
      </c>
      <c r="N601" s="11">
        <f t="shared" si="9"/>
        <v>10</v>
      </c>
    </row>
    <row r="602" spans="1:14" ht="16" x14ac:dyDescent="0.2">
      <c r="A602" s="3">
        <v>44641.99501168391</v>
      </c>
      <c r="B602" s="1" t="s">
        <v>987</v>
      </c>
      <c r="C602" t="s">
        <v>84</v>
      </c>
      <c r="D602">
        <v>6</v>
      </c>
      <c r="E602">
        <v>126</v>
      </c>
      <c r="F602">
        <v>42</v>
      </c>
      <c r="G602">
        <v>756</v>
      </c>
      <c r="H602" s="4">
        <v>252</v>
      </c>
      <c r="I602" s="4">
        <v>504</v>
      </c>
      <c r="J602" t="s">
        <v>469</v>
      </c>
      <c r="K602" t="s">
        <v>64</v>
      </c>
      <c r="L602" s="4">
        <v>7.9963422143733238</v>
      </c>
      <c r="M602" s="1" t="s">
        <v>38</v>
      </c>
      <c r="N602" s="11">
        <f t="shared" si="9"/>
        <v>5</v>
      </c>
    </row>
    <row r="603" spans="1:14" ht="16" x14ac:dyDescent="0.2">
      <c r="A603" s="3">
        <v>43614.66884873595</v>
      </c>
      <c r="B603" s="1" t="s">
        <v>988</v>
      </c>
      <c r="C603" t="s">
        <v>386</v>
      </c>
      <c r="D603">
        <v>14</v>
      </c>
      <c r="E603">
        <v>110</v>
      </c>
      <c r="F603">
        <v>55</v>
      </c>
      <c r="G603">
        <v>1540</v>
      </c>
      <c r="H603" s="4">
        <v>770</v>
      </c>
      <c r="I603" s="4">
        <v>770</v>
      </c>
      <c r="J603" t="s">
        <v>183</v>
      </c>
      <c r="K603" t="s">
        <v>58</v>
      </c>
      <c r="L603" s="4">
        <v>11.939773463335372</v>
      </c>
      <c r="M603" s="1" t="s">
        <v>38</v>
      </c>
      <c r="N603" s="11">
        <f t="shared" si="9"/>
        <v>5</v>
      </c>
    </row>
    <row r="604" spans="1:14" ht="16" x14ac:dyDescent="0.2">
      <c r="A604" s="3">
        <v>43066.611499069477</v>
      </c>
      <c r="B604" s="1" t="s">
        <v>989</v>
      </c>
      <c r="C604" t="s">
        <v>93</v>
      </c>
      <c r="D604">
        <v>16</v>
      </c>
      <c r="E604">
        <v>204</v>
      </c>
      <c r="F604">
        <v>51</v>
      </c>
      <c r="G604">
        <v>3264</v>
      </c>
      <c r="H604" s="4">
        <v>816</v>
      </c>
      <c r="I604" s="4">
        <v>2448</v>
      </c>
      <c r="J604" t="s">
        <v>79</v>
      </c>
      <c r="K604" t="s">
        <v>64</v>
      </c>
      <c r="L604" s="4">
        <v>12.163730387337393</v>
      </c>
      <c r="M604" s="1" t="s">
        <v>54</v>
      </c>
      <c r="N604" s="11">
        <f t="shared" si="9"/>
        <v>10</v>
      </c>
    </row>
    <row r="605" spans="1:14" ht="16" x14ac:dyDescent="0.2">
      <c r="A605" s="3">
        <v>45012.600264253575</v>
      </c>
      <c r="B605" s="1" t="s">
        <v>990</v>
      </c>
      <c r="C605" t="s">
        <v>160</v>
      </c>
      <c r="D605">
        <v>5</v>
      </c>
      <c r="E605">
        <v>132</v>
      </c>
      <c r="F605">
        <v>33</v>
      </c>
      <c r="G605">
        <v>660</v>
      </c>
      <c r="H605" s="4">
        <v>165</v>
      </c>
      <c r="I605" s="4">
        <v>495</v>
      </c>
      <c r="J605" t="s">
        <v>786</v>
      </c>
      <c r="K605" t="s">
        <v>86</v>
      </c>
      <c r="L605" s="4">
        <v>13.095446915421235</v>
      </c>
      <c r="M605" s="1" t="s">
        <v>38</v>
      </c>
      <c r="N605" s="11">
        <f t="shared" si="9"/>
        <v>5</v>
      </c>
    </row>
    <row r="606" spans="1:14" ht="16" x14ac:dyDescent="0.2">
      <c r="A606" s="3">
        <v>44226.917897205727</v>
      </c>
      <c r="B606" s="1" t="s">
        <v>991</v>
      </c>
      <c r="C606" t="s">
        <v>78</v>
      </c>
      <c r="D606">
        <v>17</v>
      </c>
      <c r="E606">
        <v>94</v>
      </c>
      <c r="F606">
        <v>47</v>
      </c>
      <c r="G606">
        <v>1598</v>
      </c>
      <c r="H606" s="4">
        <v>799</v>
      </c>
      <c r="I606" s="4">
        <v>799</v>
      </c>
      <c r="J606" t="s">
        <v>199</v>
      </c>
      <c r="K606" t="s">
        <v>86</v>
      </c>
      <c r="L606" s="4">
        <v>13.890275354050972</v>
      </c>
      <c r="M606" s="1" t="s">
        <v>54</v>
      </c>
      <c r="N606" s="11">
        <f t="shared" si="9"/>
        <v>10</v>
      </c>
    </row>
    <row r="607" spans="1:14" ht="16" x14ac:dyDescent="0.2">
      <c r="A607" s="3">
        <v>43416.932862662936</v>
      </c>
      <c r="B607" s="1" t="s">
        <v>992</v>
      </c>
      <c r="C607" t="s">
        <v>297</v>
      </c>
      <c r="D607">
        <v>20</v>
      </c>
      <c r="E607">
        <v>108</v>
      </c>
      <c r="F607">
        <v>36</v>
      </c>
      <c r="G607">
        <v>2160</v>
      </c>
      <c r="H607" s="4">
        <v>720</v>
      </c>
      <c r="I607" s="4">
        <v>1440</v>
      </c>
      <c r="J607" t="s">
        <v>774</v>
      </c>
      <c r="K607" t="s">
        <v>49</v>
      </c>
      <c r="L607" s="4">
        <v>13.392447352247808</v>
      </c>
      <c r="M607" s="1" t="s">
        <v>38</v>
      </c>
      <c r="N607" s="11">
        <f t="shared" si="9"/>
        <v>5</v>
      </c>
    </row>
    <row r="608" spans="1:14" ht="16" x14ac:dyDescent="0.2">
      <c r="A608" s="3">
        <v>43612.439771643978</v>
      </c>
      <c r="B608" s="1" t="s">
        <v>993</v>
      </c>
      <c r="C608" t="s">
        <v>215</v>
      </c>
      <c r="D608">
        <v>9</v>
      </c>
      <c r="E608">
        <v>176</v>
      </c>
      <c r="F608">
        <v>88</v>
      </c>
      <c r="G608">
        <v>1584</v>
      </c>
      <c r="H608" s="4">
        <v>792</v>
      </c>
      <c r="I608" s="4">
        <v>792</v>
      </c>
      <c r="J608" t="s">
        <v>564</v>
      </c>
      <c r="K608" t="s">
        <v>53</v>
      </c>
      <c r="L608" s="4">
        <v>11.563724686003232</v>
      </c>
      <c r="M608" s="1" t="s">
        <v>38</v>
      </c>
      <c r="N608" s="11">
        <f t="shared" si="9"/>
        <v>5</v>
      </c>
    </row>
    <row r="609" spans="1:14" ht="16" x14ac:dyDescent="0.2">
      <c r="A609" s="3">
        <v>44345.178101529877</v>
      </c>
      <c r="B609" s="1" t="s">
        <v>994</v>
      </c>
      <c r="C609" t="s">
        <v>420</v>
      </c>
      <c r="D609">
        <v>14</v>
      </c>
      <c r="E609">
        <v>162</v>
      </c>
      <c r="F609">
        <v>54</v>
      </c>
      <c r="G609">
        <v>2268</v>
      </c>
      <c r="H609" s="4">
        <v>756</v>
      </c>
      <c r="I609" s="4">
        <v>1512</v>
      </c>
      <c r="J609" t="s">
        <v>331</v>
      </c>
      <c r="K609" t="s">
        <v>58</v>
      </c>
      <c r="L609" s="4">
        <v>15.18789248529443</v>
      </c>
      <c r="M609" s="1" t="s">
        <v>38</v>
      </c>
      <c r="N609" s="11">
        <f t="shared" si="9"/>
        <v>5</v>
      </c>
    </row>
    <row r="610" spans="1:14" ht="16" x14ac:dyDescent="0.2">
      <c r="A610" s="3">
        <v>43667.435268118548</v>
      </c>
      <c r="B610" s="1" t="s">
        <v>995</v>
      </c>
      <c r="C610" t="s">
        <v>44</v>
      </c>
      <c r="D610">
        <v>16</v>
      </c>
      <c r="E610">
        <v>114</v>
      </c>
      <c r="F610">
        <v>57</v>
      </c>
      <c r="G610">
        <v>1824</v>
      </c>
      <c r="H610" s="4">
        <v>912</v>
      </c>
      <c r="I610" s="4">
        <v>912</v>
      </c>
      <c r="J610" t="s">
        <v>397</v>
      </c>
      <c r="K610" t="s">
        <v>49</v>
      </c>
      <c r="L610" s="4">
        <v>9.4239783062860578</v>
      </c>
      <c r="M610" s="1" t="s">
        <v>38</v>
      </c>
      <c r="N610" s="11">
        <f t="shared" si="9"/>
        <v>5</v>
      </c>
    </row>
    <row r="611" spans="1:14" ht="16" x14ac:dyDescent="0.2">
      <c r="A611" s="3">
        <v>43623.029333707666</v>
      </c>
      <c r="B611" s="1" t="s">
        <v>996</v>
      </c>
      <c r="C611" t="s">
        <v>607</v>
      </c>
      <c r="D611">
        <v>12</v>
      </c>
      <c r="E611">
        <v>225</v>
      </c>
      <c r="F611">
        <v>75</v>
      </c>
      <c r="G611">
        <v>2700</v>
      </c>
      <c r="H611" s="4">
        <v>900</v>
      </c>
      <c r="I611" s="4">
        <v>1800</v>
      </c>
      <c r="J611" t="s">
        <v>997</v>
      </c>
      <c r="K611" t="s">
        <v>58</v>
      </c>
      <c r="L611" s="4">
        <v>12.173451788225162</v>
      </c>
      <c r="M611" s="1" t="s">
        <v>38</v>
      </c>
      <c r="N611" s="11">
        <f t="shared" si="9"/>
        <v>5</v>
      </c>
    </row>
    <row r="612" spans="1:14" ht="16" x14ac:dyDescent="0.2">
      <c r="A612" s="3">
        <v>43003.012834456174</v>
      </c>
      <c r="B612" s="1" t="s">
        <v>998</v>
      </c>
      <c r="C612" t="s">
        <v>561</v>
      </c>
      <c r="D612">
        <v>14</v>
      </c>
      <c r="E612">
        <v>384</v>
      </c>
      <c r="F612">
        <v>96</v>
      </c>
      <c r="G612">
        <v>5376</v>
      </c>
      <c r="H612" s="4">
        <v>1344</v>
      </c>
      <c r="I612" s="4">
        <v>4032</v>
      </c>
      <c r="J612" t="s">
        <v>146</v>
      </c>
      <c r="K612" t="s">
        <v>64</v>
      </c>
      <c r="L612" s="4">
        <v>12.487915239531313</v>
      </c>
      <c r="M612" s="1" t="s">
        <v>38</v>
      </c>
      <c r="N612" s="11">
        <f t="shared" si="9"/>
        <v>5</v>
      </c>
    </row>
    <row r="613" spans="1:14" ht="16" x14ac:dyDescent="0.2">
      <c r="A613" s="3">
        <v>43957.983210854138</v>
      </c>
      <c r="B613" s="1" t="s">
        <v>999</v>
      </c>
      <c r="C613" t="s">
        <v>36</v>
      </c>
      <c r="D613">
        <v>3</v>
      </c>
      <c r="E613">
        <v>102</v>
      </c>
      <c r="F613">
        <v>51</v>
      </c>
      <c r="G613">
        <v>306</v>
      </c>
      <c r="H613" s="4">
        <v>153</v>
      </c>
      <c r="I613" s="4">
        <v>153</v>
      </c>
      <c r="J613" t="s">
        <v>557</v>
      </c>
      <c r="K613" t="s">
        <v>64</v>
      </c>
      <c r="L613" s="4">
        <v>10.037135914792184</v>
      </c>
      <c r="M613" s="1" t="s">
        <v>38</v>
      </c>
      <c r="N613" s="11">
        <f t="shared" si="9"/>
        <v>5</v>
      </c>
    </row>
    <row r="614" spans="1:14" ht="16" x14ac:dyDescent="0.2">
      <c r="A614" s="3">
        <v>43786.237348431197</v>
      </c>
      <c r="B614" s="1" t="s">
        <v>1000</v>
      </c>
      <c r="C614" t="s">
        <v>255</v>
      </c>
      <c r="D614">
        <v>19</v>
      </c>
      <c r="E614">
        <v>140</v>
      </c>
      <c r="F614">
        <v>70</v>
      </c>
      <c r="G614">
        <v>2660</v>
      </c>
      <c r="H614" s="4">
        <v>1330</v>
      </c>
      <c r="I614" s="4">
        <v>1330</v>
      </c>
      <c r="J614" t="s">
        <v>37</v>
      </c>
      <c r="K614" t="s">
        <v>33</v>
      </c>
      <c r="L614" s="4">
        <v>13.299525114817991</v>
      </c>
      <c r="M614" s="1" t="s">
        <v>54</v>
      </c>
      <c r="N614" s="11">
        <f t="shared" si="9"/>
        <v>10</v>
      </c>
    </row>
    <row r="615" spans="1:14" ht="16" x14ac:dyDescent="0.2">
      <c r="A615" s="3">
        <v>44105.989869317338</v>
      </c>
      <c r="B615" s="1" t="s">
        <v>1001</v>
      </c>
      <c r="C615" t="s">
        <v>51</v>
      </c>
      <c r="D615">
        <v>11</v>
      </c>
      <c r="E615">
        <v>160</v>
      </c>
      <c r="F615">
        <v>80</v>
      </c>
      <c r="G615">
        <v>1760</v>
      </c>
      <c r="H615" s="4">
        <v>880</v>
      </c>
      <c r="I615" s="4">
        <v>880</v>
      </c>
      <c r="J615" t="s">
        <v>653</v>
      </c>
      <c r="K615" t="s">
        <v>86</v>
      </c>
      <c r="L615" s="4">
        <v>12.869841591513939</v>
      </c>
      <c r="M615" s="1" t="s">
        <v>54</v>
      </c>
      <c r="N615" s="11">
        <f t="shared" si="9"/>
        <v>10</v>
      </c>
    </row>
    <row r="616" spans="1:14" ht="16" x14ac:dyDescent="0.2">
      <c r="A616" s="3">
        <v>43520.533019867362</v>
      </c>
      <c r="B616" s="1" t="s">
        <v>1002</v>
      </c>
      <c r="C616" t="s">
        <v>561</v>
      </c>
      <c r="D616">
        <v>9</v>
      </c>
      <c r="E616">
        <v>384</v>
      </c>
      <c r="F616">
        <v>96</v>
      </c>
      <c r="G616">
        <v>3456</v>
      </c>
      <c r="H616" s="4">
        <v>864</v>
      </c>
      <c r="I616" s="4">
        <v>2592</v>
      </c>
      <c r="J616" t="s">
        <v>221</v>
      </c>
      <c r="K616" t="s">
        <v>49</v>
      </c>
      <c r="L616" s="4">
        <v>12.396052160428608</v>
      </c>
      <c r="M616" s="1" t="s">
        <v>38</v>
      </c>
      <c r="N616" s="11">
        <f t="shared" si="9"/>
        <v>5</v>
      </c>
    </row>
    <row r="617" spans="1:14" ht="16" x14ac:dyDescent="0.2">
      <c r="A617" s="3">
        <v>44207.700781536289</v>
      </c>
      <c r="B617" s="1" t="s">
        <v>1003</v>
      </c>
      <c r="C617" t="s">
        <v>503</v>
      </c>
      <c r="D617">
        <v>19</v>
      </c>
      <c r="E617">
        <v>50</v>
      </c>
      <c r="F617">
        <v>25</v>
      </c>
      <c r="G617">
        <v>950</v>
      </c>
      <c r="H617" s="4">
        <v>475</v>
      </c>
      <c r="I617" s="4">
        <v>475</v>
      </c>
      <c r="J617" t="s">
        <v>609</v>
      </c>
      <c r="K617" t="s">
        <v>64</v>
      </c>
      <c r="L617" s="4">
        <v>12.564315242820944</v>
      </c>
      <c r="M617" s="1" t="s">
        <v>38</v>
      </c>
      <c r="N617" s="11">
        <f t="shared" si="9"/>
        <v>5</v>
      </c>
    </row>
    <row r="618" spans="1:14" ht="16" x14ac:dyDescent="0.2">
      <c r="A618" s="3">
        <v>43756.645628077647</v>
      </c>
      <c r="B618" s="1" t="s">
        <v>1004</v>
      </c>
      <c r="C618" t="s">
        <v>218</v>
      </c>
      <c r="D618">
        <v>4</v>
      </c>
      <c r="E618">
        <v>264</v>
      </c>
      <c r="F618">
        <v>88</v>
      </c>
      <c r="G618">
        <v>1056</v>
      </c>
      <c r="H618" s="4">
        <v>352</v>
      </c>
      <c r="I618" s="4">
        <v>704</v>
      </c>
      <c r="J618" t="s">
        <v>453</v>
      </c>
      <c r="K618" t="s">
        <v>42</v>
      </c>
      <c r="L618" s="4">
        <v>13.104576594826185</v>
      </c>
      <c r="M618" s="1" t="s">
        <v>38</v>
      </c>
      <c r="N618" s="11">
        <f t="shared" si="9"/>
        <v>5</v>
      </c>
    </row>
    <row r="619" spans="1:14" ht="16" x14ac:dyDescent="0.2">
      <c r="A619" s="3">
        <v>43676.291500000778</v>
      </c>
      <c r="B619" s="1" t="s">
        <v>1005</v>
      </c>
      <c r="C619" t="s">
        <v>299</v>
      </c>
      <c r="D619">
        <v>20</v>
      </c>
      <c r="E619">
        <v>225</v>
      </c>
      <c r="F619">
        <v>75</v>
      </c>
      <c r="G619">
        <v>4500</v>
      </c>
      <c r="H619" s="4">
        <v>1500</v>
      </c>
      <c r="I619" s="4">
        <v>3000</v>
      </c>
      <c r="J619" t="s">
        <v>406</v>
      </c>
      <c r="K619" t="s">
        <v>58</v>
      </c>
      <c r="L619" s="4">
        <v>11.082295381980092</v>
      </c>
      <c r="M619" s="1" t="s">
        <v>38</v>
      </c>
      <c r="N619" s="11">
        <f t="shared" si="9"/>
        <v>5</v>
      </c>
    </row>
    <row r="620" spans="1:14" ht="16" x14ac:dyDescent="0.2">
      <c r="A620" s="3">
        <v>42798.410040433257</v>
      </c>
      <c r="B620" s="1" t="s">
        <v>1006</v>
      </c>
      <c r="C620" t="s">
        <v>286</v>
      </c>
      <c r="D620">
        <v>15</v>
      </c>
      <c r="E620">
        <v>34</v>
      </c>
      <c r="F620">
        <v>17</v>
      </c>
      <c r="G620">
        <v>510</v>
      </c>
      <c r="H620" s="4">
        <v>255</v>
      </c>
      <c r="I620" s="4">
        <v>255</v>
      </c>
      <c r="J620" t="s">
        <v>228</v>
      </c>
      <c r="K620" t="s">
        <v>53</v>
      </c>
      <c r="L620" s="4">
        <v>14.377134310720955</v>
      </c>
      <c r="M620" s="1" t="s">
        <v>54</v>
      </c>
      <c r="N620" s="11">
        <f t="shared" si="9"/>
        <v>10</v>
      </c>
    </row>
    <row r="621" spans="1:14" ht="16" x14ac:dyDescent="0.2">
      <c r="A621" s="3">
        <v>43791.993305536751</v>
      </c>
      <c r="B621" s="1" t="s">
        <v>1007</v>
      </c>
      <c r="C621" t="s">
        <v>212</v>
      </c>
      <c r="D621">
        <v>19</v>
      </c>
      <c r="E621">
        <v>300</v>
      </c>
      <c r="F621">
        <v>75</v>
      </c>
      <c r="G621">
        <v>5700</v>
      </c>
      <c r="H621" s="4">
        <v>1425</v>
      </c>
      <c r="I621" s="4">
        <v>4275</v>
      </c>
      <c r="J621" t="s">
        <v>1008</v>
      </c>
      <c r="K621" t="s">
        <v>58</v>
      </c>
      <c r="L621" s="4">
        <v>9.9471686551317795</v>
      </c>
      <c r="M621" s="1" t="s">
        <v>38</v>
      </c>
      <c r="N621" s="11">
        <f t="shared" si="9"/>
        <v>5</v>
      </c>
    </row>
    <row r="622" spans="1:14" ht="16" x14ac:dyDescent="0.2">
      <c r="A622" s="3">
        <v>43774.395290767643</v>
      </c>
      <c r="B622" s="1" t="s">
        <v>1009</v>
      </c>
      <c r="C622" t="s">
        <v>299</v>
      </c>
      <c r="D622">
        <v>20</v>
      </c>
      <c r="E622">
        <v>225</v>
      </c>
      <c r="F622">
        <v>75</v>
      </c>
      <c r="G622">
        <v>4500</v>
      </c>
      <c r="H622" s="4">
        <v>1500</v>
      </c>
      <c r="I622" s="4">
        <v>3000</v>
      </c>
      <c r="J622" t="s">
        <v>555</v>
      </c>
      <c r="K622" t="s">
        <v>53</v>
      </c>
      <c r="L622" s="4">
        <v>14.341195386574373</v>
      </c>
      <c r="M622" s="1" t="s">
        <v>34</v>
      </c>
      <c r="N622" s="11">
        <f t="shared" si="9"/>
        <v>1</v>
      </c>
    </row>
    <row r="623" spans="1:14" ht="16" x14ac:dyDescent="0.2">
      <c r="A623" s="3">
        <v>44704.979242528105</v>
      </c>
      <c r="B623" s="1" t="s">
        <v>1010</v>
      </c>
      <c r="C623" t="s">
        <v>410</v>
      </c>
      <c r="D623">
        <v>13</v>
      </c>
      <c r="E623">
        <v>84</v>
      </c>
      <c r="F623">
        <v>21</v>
      </c>
      <c r="G623">
        <v>1092</v>
      </c>
      <c r="H623" s="4">
        <v>273</v>
      </c>
      <c r="I623" s="4">
        <v>819</v>
      </c>
      <c r="J623" t="s">
        <v>686</v>
      </c>
      <c r="K623" t="s">
        <v>86</v>
      </c>
      <c r="L623" s="4">
        <v>8.1595626482464514</v>
      </c>
      <c r="M623" s="1" t="s">
        <v>38</v>
      </c>
      <c r="N623" s="11">
        <f t="shared" si="9"/>
        <v>5</v>
      </c>
    </row>
    <row r="624" spans="1:14" ht="16" x14ac:dyDescent="0.2">
      <c r="A624" s="3">
        <v>44351.09316669494</v>
      </c>
      <c r="B624" s="1" t="s">
        <v>1011</v>
      </c>
      <c r="C624" t="s">
        <v>375</v>
      </c>
      <c r="D624">
        <v>2</v>
      </c>
      <c r="E624">
        <v>360</v>
      </c>
      <c r="F624">
        <v>90</v>
      </c>
      <c r="G624">
        <v>720</v>
      </c>
      <c r="H624" s="4">
        <v>180</v>
      </c>
      <c r="I624" s="4">
        <v>540</v>
      </c>
      <c r="J624" t="s">
        <v>1012</v>
      </c>
      <c r="K624" t="s">
        <v>33</v>
      </c>
      <c r="L624" s="4">
        <v>14.538471643780088</v>
      </c>
      <c r="M624" s="1" t="s">
        <v>38</v>
      </c>
      <c r="N624" s="11">
        <f t="shared" si="9"/>
        <v>5</v>
      </c>
    </row>
    <row r="625" spans="1:14" ht="16" x14ac:dyDescent="0.2">
      <c r="A625" s="3">
        <v>42993.282284259847</v>
      </c>
      <c r="B625" s="1" t="s">
        <v>1013</v>
      </c>
      <c r="C625" t="s">
        <v>248</v>
      </c>
      <c r="D625">
        <v>20</v>
      </c>
      <c r="E625">
        <v>132</v>
      </c>
      <c r="F625">
        <v>44</v>
      </c>
      <c r="G625">
        <v>2640</v>
      </c>
      <c r="H625" s="4">
        <v>880</v>
      </c>
      <c r="I625" s="4">
        <v>1760</v>
      </c>
      <c r="J625" t="s">
        <v>645</v>
      </c>
      <c r="K625" t="s">
        <v>86</v>
      </c>
      <c r="L625" s="4">
        <v>9.879282537628514</v>
      </c>
      <c r="M625" s="1" t="s">
        <v>38</v>
      </c>
      <c r="N625" s="11">
        <f t="shared" si="9"/>
        <v>5</v>
      </c>
    </row>
    <row r="626" spans="1:14" ht="16" x14ac:dyDescent="0.2">
      <c r="A626" s="3">
        <v>43615.113725783049</v>
      </c>
      <c r="B626" s="1" t="s">
        <v>1000</v>
      </c>
      <c r="C626" t="s">
        <v>160</v>
      </c>
      <c r="D626">
        <v>15</v>
      </c>
      <c r="E626">
        <v>132</v>
      </c>
      <c r="F626">
        <v>33</v>
      </c>
      <c r="G626">
        <v>1980</v>
      </c>
      <c r="H626" s="4">
        <v>495</v>
      </c>
      <c r="I626" s="4">
        <v>1485</v>
      </c>
      <c r="J626" t="s">
        <v>1012</v>
      </c>
      <c r="K626" t="s">
        <v>33</v>
      </c>
      <c r="L626" s="4">
        <v>14.538471643780088</v>
      </c>
      <c r="M626" s="1" t="s">
        <v>38</v>
      </c>
      <c r="N626" s="11">
        <f t="shared" si="9"/>
        <v>5</v>
      </c>
    </row>
    <row r="627" spans="1:14" ht="16" x14ac:dyDescent="0.2">
      <c r="A627" s="3">
        <v>43825.611731414188</v>
      </c>
      <c r="B627" s="1" t="s">
        <v>1014</v>
      </c>
      <c r="C627" t="s">
        <v>425</v>
      </c>
      <c r="D627">
        <v>20</v>
      </c>
      <c r="E627">
        <v>352</v>
      </c>
      <c r="F627">
        <v>88</v>
      </c>
      <c r="G627">
        <v>7040</v>
      </c>
      <c r="H627" s="4">
        <v>1760</v>
      </c>
      <c r="I627" s="4">
        <v>5280</v>
      </c>
      <c r="J627" t="s">
        <v>123</v>
      </c>
      <c r="K627" t="s">
        <v>53</v>
      </c>
      <c r="L627" s="4">
        <v>10.42743035829395</v>
      </c>
      <c r="M627" s="1" t="s">
        <v>54</v>
      </c>
      <c r="N627" s="11">
        <f t="shared" si="9"/>
        <v>10</v>
      </c>
    </row>
    <row r="628" spans="1:14" ht="16" x14ac:dyDescent="0.2">
      <c r="A628" s="3">
        <v>43915.489913941812</v>
      </c>
      <c r="B628" s="1" t="s">
        <v>1015</v>
      </c>
      <c r="C628" t="s">
        <v>110</v>
      </c>
      <c r="D628">
        <v>8</v>
      </c>
      <c r="E628">
        <v>144</v>
      </c>
      <c r="F628">
        <v>36</v>
      </c>
      <c r="G628">
        <v>1152</v>
      </c>
      <c r="H628" s="4">
        <v>288</v>
      </c>
      <c r="I628" s="4">
        <v>864</v>
      </c>
      <c r="J628" t="s">
        <v>210</v>
      </c>
      <c r="K628" t="s">
        <v>58</v>
      </c>
      <c r="L628" s="4">
        <v>11.995406972581796</v>
      </c>
      <c r="M628" s="1" t="s">
        <v>38</v>
      </c>
      <c r="N628" s="11">
        <f t="shared" si="9"/>
        <v>5</v>
      </c>
    </row>
    <row r="629" spans="1:14" ht="16" x14ac:dyDescent="0.2">
      <c r="A629" s="3">
        <v>43621.456249734969</v>
      </c>
      <c r="B629" s="1" t="s">
        <v>1016</v>
      </c>
      <c r="C629" t="s">
        <v>592</v>
      </c>
      <c r="D629">
        <v>7</v>
      </c>
      <c r="E629">
        <v>312</v>
      </c>
      <c r="F629">
        <v>78</v>
      </c>
      <c r="G629">
        <v>2184</v>
      </c>
      <c r="H629" s="4">
        <v>546</v>
      </c>
      <c r="I629" s="4">
        <v>1638</v>
      </c>
      <c r="J629" t="s">
        <v>290</v>
      </c>
      <c r="K629" t="s">
        <v>86</v>
      </c>
      <c r="L629" s="4">
        <v>12.758430621858414</v>
      </c>
      <c r="M629" s="1" t="s">
        <v>34</v>
      </c>
      <c r="N629" s="11">
        <f t="shared" si="9"/>
        <v>1</v>
      </c>
    </row>
    <row r="630" spans="1:14" ht="16" x14ac:dyDescent="0.2">
      <c r="A630" s="3">
        <v>43587.324480105075</v>
      </c>
      <c r="B630" s="1" t="s">
        <v>1017</v>
      </c>
      <c r="C630" t="s">
        <v>88</v>
      </c>
      <c r="D630">
        <v>17</v>
      </c>
      <c r="E630">
        <v>210</v>
      </c>
      <c r="F630">
        <v>70</v>
      </c>
      <c r="G630">
        <v>3570</v>
      </c>
      <c r="H630" s="4">
        <v>1190</v>
      </c>
      <c r="I630" s="4">
        <v>2380</v>
      </c>
      <c r="J630" t="s">
        <v>875</v>
      </c>
      <c r="K630" t="s">
        <v>58</v>
      </c>
      <c r="L630" s="4">
        <v>11.485823039755857</v>
      </c>
      <c r="M630" s="1" t="s">
        <v>38</v>
      </c>
      <c r="N630" s="11">
        <f t="shared" si="9"/>
        <v>5</v>
      </c>
    </row>
    <row r="631" spans="1:14" ht="16" x14ac:dyDescent="0.2">
      <c r="A631" s="3">
        <v>43874.707364080939</v>
      </c>
      <c r="B631" s="1" t="s">
        <v>1018</v>
      </c>
      <c r="C631" t="s">
        <v>561</v>
      </c>
      <c r="D631">
        <v>5</v>
      </c>
      <c r="E631">
        <v>384</v>
      </c>
      <c r="F631">
        <v>96</v>
      </c>
      <c r="G631">
        <v>1920</v>
      </c>
      <c r="H631" s="4">
        <v>480</v>
      </c>
      <c r="I631" s="4">
        <v>1440</v>
      </c>
      <c r="J631" t="s">
        <v>640</v>
      </c>
      <c r="K631" t="s">
        <v>53</v>
      </c>
      <c r="L631" s="4">
        <v>8.7741864171993527</v>
      </c>
      <c r="M631" s="1" t="s">
        <v>38</v>
      </c>
      <c r="N631" s="11">
        <f t="shared" si="9"/>
        <v>5</v>
      </c>
    </row>
    <row r="632" spans="1:14" ht="16" x14ac:dyDescent="0.2">
      <c r="A632" s="3">
        <v>44054.634061752979</v>
      </c>
      <c r="B632" s="1" t="s">
        <v>1019</v>
      </c>
      <c r="C632" t="s">
        <v>370</v>
      </c>
      <c r="D632">
        <v>19</v>
      </c>
      <c r="E632">
        <v>144</v>
      </c>
      <c r="F632">
        <v>36</v>
      </c>
      <c r="G632">
        <v>2736</v>
      </c>
      <c r="H632" s="4">
        <v>684</v>
      </c>
      <c r="I632" s="4">
        <v>2052</v>
      </c>
      <c r="J632" t="s">
        <v>767</v>
      </c>
      <c r="K632" t="s">
        <v>42</v>
      </c>
      <c r="L632" s="4">
        <v>11.289144410898391</v>
      </c>
      <c r="M632" s="1" t="s">
        <v>34</v>
      </c>
      <c r="N632" s="11">
        <f t="shared" si="9"/>
        <v>1</v>
      </c>
    </row>
    <row r="633" spans="1:14" ht="16" x14ac:dyDescent="0.2">
      <c r="A633" s="3">
        <v>43301.477122128468</v>
      </c>
      <c r="B633" s="1" t="s">
        <v>1020</v>
      </c>
      <c r="C633" t="s">
        <v>91</v>
      </c>
      <c r="D633">
        <v>11</v>
      </c>
      <c r="E633">
        <v>300</v>
      </c>
      <c r="F633">
        <v>75</v>
      </c>
      <c r="G633">
        <v>3300</v>
      </c>
      <c r="H633" s="4">
        <v>825</v>
      </c>
      <c r="I633" s="4">
        <v>2475</v>
      </c>
      <c r="J633" t="s">
        <v>567</v>
      </c>
      <c r="K633" t="s">
        <v>49</v>
      </c>
      <c r="L633" s="4">
        <v>12.147202500273634</v>
      </c>
      <c r="M633" s="1" t="s">
        <v>38</v>
      </c>
      <c r="N633" s="11">
        <f t="shared" si="9"/>
        <v>5</v>
      </c>
    </row>
    <row r="634" spans="1:14" ht="16" x14ac:dyDescent="0.2">
      <c r="A634" s="3">
        <v>43675.028639324155</v>
      </c>
      <c r="B634" s="1" t="s">
        <v>1021</v>
      </c>
      <c r="C634" t="s">
        <v>252</v>
      </c>
      <c r="D634">
        <v>19</v>
      </c>
      <c r="E634">
        <v>252</v>
      </c>
      <c r="F634">
        <v>63</v>
      </c>
      <c r="G634">
        <v>4788</v>
      </c>
      <c r="H634" s="4">
        <v>1197</v>
      </c>
      <c r="I634" s="4">
        <v>3591</v>
      </c>
      <c r="J634" t="s">
        <v>1022</v>
      </c>
      <c r="K634" t="s">
        <v>49</v>
      </c>
      <c r="L634" s="4">
        <v>15.268550004010105</v>
      </c>
      <c r="M634" s="1" t="s">
        <v>38</v>
      </c>
      <c r="N634" s="11">
        <f t="shared" si="9"/>
        <v>5</v>
      </c>
    </row>
    <row r="635" spans="1:14" ht="16" x14ac:dyDescent="0.2">
      <c r="A635" s="3">
        <v>43870.889675938473</v>
      </c>
      <c r="B635" s="1" t="s">
        <v>1023</v>
      </c>
      <c r="C635" t="s">
        <v>259</v>
      </c>
      <c r="D635">
        <v>15</v>
      </c>
      <c r="E635">
        <v>270</v>
      </c>
      <c r="F635">
        <v>90</v>
      </c>
      <c r="G635">
        <v>4050</v>
      </c>
      <c r="H635" s="4">
        <v>1350</v>
      </c>
      <c r="I635" s="4">
        <v>2700</v>
      </c>
      <c r="J635" t="s">
        <v>938</v>
      </c>
      <c r="K635" t="s">
        <v>33</v>
      </c>
      <c r="L635" s="4">
        <v>13.397308081757757</v>
      </c>
      <c r="M635" s="1" t="s">
        <v>38</v>
      </c>
      <c r="N635" s="11">
        <f t="shared" si="9"/>
        <v>5</v>
      </c>
    </row>
    <row r="636" spans="1:14" ht="16" x14ac:dyDescent="0.2">
      <c r="A636" s="3">
        <v>43824.629406275075</v>
      </c>
      <c r="B636" s="1" t="s">
        <v>1024</v>
      </c>
      <c r="C636" t="s">
        <v>62</v>
      </c>
      <c r="D636">
        <v>8</v>
      </c>
      <c r="E636">
        <v>80</v>
      </c>
      <c r="F636">
        <v>20</v>
      </c>
      <c r="G636">
        <v>640</v>
      </c>
      <c r="H636" s="4">
        <v>160</v>
      </c>
      <c r="I636" s="4">
        <v>480</v>
      </c>
      <c r="J636" t="s">
        <v>469</v>
      </c>
      <c r="K636" t="s">
        <v>64</v>
      </c>
      <c r="L636" s="4">
        <v>7.9963422143733238</v>
      </c>
      <c r="M636" s="1" t="s">
        <v>54</v>
      </c>
      <c r="N636" s="11">
        <f t="shared" si="9"/>
        <v>10</v>
      </c>
    </row>
    <row r="637" spans="1:14" ht="16" x14ac:dyDescent="0.2">
      <c r="A637" s="3">
        <v>44164.340905522564</v>
      </c>
      <c r="B637" s="1" t="s">
        <v>1025</v>
      </c>
      <c r="C637" t="s">
        <v>375</v>
      </c>
      <c r="D637">
        <v>4</v>
      </c>
      <c r="E637">
        <v>360</v>
      </c>
      <c r="F637">
        <v>90</v>
      </c>
      <c r="G637">
        <v>1440</v>
      </c>
      <c r="H637" s="4">
        <v>360</v>
      </c>
      <c r="I637" s="4">
        <v>1080</v>
      </c>
      <c r="J637" t="s">
        <v>164</v>
      </c>
      <c r="K637" t="s">
        <v>86</v>
      </c>
      <c r="L637" s="4">
        <v>12.452986387489583</v>
      </c>
      <c r="M637" s="1" t="s">
        <v>38</v>
      </c>
      <c r="N637" s="11">
        <f t="shared" si="9"/>
        <v>5</v>
      </c>
    </row>
    <row r="638" spans="1:14" ht="16" x14ac:dyDescent="0.2">
      <c r="A638" s="3">
        <v>44636.978400402288</v>
      </c>
      <c r="B638" s="1" t="s">
        <v>1026</v>
      </c>
      <c r="C638" t="s">
        <v>151</v>
      </c>
      <c r="D638">
        <v>7</v>
      </c>
      <c r="E638">
        <v>153</v>
      </c>
      <c r="F638">
        <v>51</v>
      </c>
      <c r="G638">
        <v>1071</v>
      </c>
      <c r="H638" s="4">
        <v>357</v>
      </c>
      <c r="I638" s="4">
        <v>714</v>
      </c>
      <c r="J638" t="s">
        <v>713</v>
      </c>
      <c r="K638" t="s">
        <v>42</v>
      </c>
      <c r="L638" s="4">
        <v>10.956589836772277</v>
      </c>
      <c r="M638" s="1" t="s">
        <v>54</v>
      </c>
      <c r="N638" s="11">
        <f t="shared" si="9"/>
        <v>10</v>
      </c>
    </row>
    <row r="639" spans="1:14" ht="16" x14ac:dyDescent="0.2">
      <c r="A639" s="3">
        <v>43569.691131422827</v>
      </c>
      <c r="B639" s="1" t="s">
        <v>1027</v>
      </c>
      <c r="C639" t="s">
        <v>125</v>
      </c>
      <c r="D639">
        <v>17</v>
      </c>
      <c r="E639">
        <v>176</v>
      </c>
      <c r="F639">
        <v>88</v>
      </c>
      <c r="G639">
        <v>2992</v>
      </c>
      <c r="H639" s="4">
        <v>1496</v>
      </c>
      <c r="I639" s="4">
        <v>1496</v>
      </c>
      <c r="J639" t="s">
        <v>116</v>
      </c>
      <c r="K639" t="s">
        <v>64</v>
      </c>
      <c r="L639" s="4">
        <v>14.697745043716761</v>
      </c>
      <c r="M639" s="1" t="s">
        <v>38</v>
      </c>
      <c r="N639" s="11">
        <f t="shared" si="9"/>
        <v>5</v>
      </c>
    </row>
    <row r="640" spans="1:14" ht="16" x14ac:dyDescent="0.2">
      <c r="A640" s="3">
        <v>43536.330025674783</v>
      </c>
      <c r="B640" s="1" t="s">
        <v>1028</v>
      </c>
      <c r="C640" t="s">
        <v>503</v>
      </c>
      <c r="D640">
        <v>1</v>
      </c>
      <c r="E640">
        <v>50</v>
      </c>
      <c r="F640">
        <v>25</v>
      </c>
      <c r="G640">
        <v>50</v>
      </c>
      <c r="H640" s="4">
        <v>25</v>
      </c>
      <c r="I640" s="4">
        <v>25</v>
      </c>
      <c r="J640" t="s">
        <v>172</v>
      </c>
      <c r="K640" t="s">
        <v>33</v>
      </c>
      <c r="L640" s="4">
        <v>9.9311000381363836</v>
      </c>
      <c r="M640" s="1" t="s">
        <v>54</v>
      </c>
      <c r="N640" s="11">
        <f t="shared" si="9"/>
        <v>10</v>
      </c>
    </row>
    <row r="641" spans="1:14" ht="16" x14ac:dyDescent="0.2">
      <c r="A641" s="3">
        <v>43997.149193645942</v>
      </c>
      <c r="B641" s="1" t="s">
        <v>1029</v>
      </c>
      <c r="C641" t="s">
        <v>72</v>
      </c>
      <c r="D641">
        <v>9</v>
      </c>
      <c r="E641">
        <v>352</v>
      </c>
      <c r="F641">
        <v>88</v>
      </c>
      <c r="G641">
        <v>3168</v>
      </c>
      <c r="H641" s="4">
        <v>792</v>
      </c>
      <c r="I641" s="4">
        <v>2376</v>
      </c>
      <c r="J641" t="s">
        <v>341</v>
      </c>
      <c r="K641" t="s">
        <v>64</v>
      </c>
      <c r="L641" s="4">
        <v>10.816866337473218</v>
      </c>
      <c r="M641" s="1" t="s">
        <v>38</v>
      </c>
      <c r="N641" s="11">
        <f t="shared" si="9"/>
        <v>5</v>
      </c>
    </row>
    <row r="642" spans="1:14" ht="16" x14ac:dyDescent="0.2">
      <c r="A642" s="3">
        <v>43274.399227210793</v>
      </c>
      <c r="B642" s="1" t="s">
        <v>1030</v>
      </c>
      <c r="C642" t="s">
        <v>148</v>
      </c>
      <c r="D642">
        <v>9</v>
      </c>
      <c r="E642">
        <v>144</v>
      </c>
      <c r="F642">
        <v>36</v>
      </c>
      <c r="G642">
        <v>1296</v>
      </c>
      <c r="H642" s="4">
        <v>324</v>
      </c>
      <c r="I642" s="4">
        <v>972</v>
      </c>
      <c r="J642" t="s">
        <v>76</v>
      </c>
      <c r="K642" t="s">
        <v>58</v>
      </c>
      <c r="L642" s="4">
        <v>9.8384363471888783</v>
      </c>
      <c r="M642" s="1" t="s">
        <v>38</v>
      </c>
      <c r="N642" s="11">
        <f t="shared" si="9"/>
        <v>5</v>
      </c>
    </row>
    <row r="643" spans="1:14" ht="16" x14ac:dyDescent="0.2">
      <c r="A643" s="3">
        <v>43689.250547660107</v>
      </c>
      <c r="B643" s="1" t="s">
        <v>1031</v>
      </c>
      <c r="C643" t="s">
        <v>257</v>
      </c>
      <c r="D643">
        <v>8</v>
      </c>
      <c r="E643">
        <v>160</v>
      </c>
      <c r="F643">
        <v>80</v>
      </c>
      <c r="G643">
        <v>1280</v>
      </c>
      <c r="H643" s="4">
        <v>640</v>
      </c>
      <c r="I643" s="4">
        <v>640</v>
      </c>
      <c r="J643" t="s">
        <v>284</v>
      </c>
      <c r="K643" t="s">
        <v>58</v>
      </c>
      <c r="L643" s="4">
        <v>10.570474361325047</v>
      </c>
      <c r="M643" s="1" t="s">
        <v>54</v>
      </c>
      <c r="N643" s="11">
        <f t="shared" ref="N643:N706" si="10">+IF(M643="Dissatisfied",1,IF(M643="Satisfied",10,5))</f>
        <v>10</v>
      </c>
    </row>
    <row r="644" spans="1:14" ht="16" x14ac:dyDescent="0.2">
      <c r="A644" s="3">
        <v>44691.60022967957</v>
      </c>
      <c r="B644" s="1" t="s">
        <v>1032</v>
      </c>
      <c r="C644" t="s">
        <v>312</v>
      </c>
      <c r="D644">
        <v>18</v>
      </c>
      <c r="E644">
        <v>240</v>
      </c>
      <c r="F644">
        <v>80</v>
      </c>
      <c r="G644">
        <v>4320</v>
      </c>
      <c r="H644" s="4">
        <v>1440</v>
      </c>
      <c r="I644" s="4">
        <v>2880</v>
      </c>
      <c r="J644" t="s">
        <v>910</v>
      </c>
      <c r="K644" t="s">
        <v>58</v>
      </c>
      <c r="L644" s="4">
        <v>11.78346750250795</v>
      </c>
      <c r="M644" s="1" t="s">
        <v>38</v>
      </c>
      <c r="N644" s="11">
        <f t="shared" si="10"/>
        <v>5</v>
      </c>
    </row>
    <row r="645" spans="1:14" ht="16" x14ac:dyDescent="0.2">
      <c r="A645" s="3">
        <v>44261.702781891508</v>
      </c>
      <c r="B645" s="1" t="s">
        <v>1033</v>
      </c>
      <c r="C645" t="s">
        <v>115</v>
      </c>
      <c r="D645">
        <v>5</v>
      </c>
      <c r="E645">
        <v>81</v>
      </c>
      <c r="F645">
        <v>27</v>
      </c>
      <c r="G645">
        <v>405</v>
      </c>
      <c r="H645" s="4">
        <v>135</v>
      </c>
      <c r="I645" s="4">
        <v>270</v>
      </c>
      <c r="J645" t="s">
        <v>249</v>
      </c>
      <c r="K645" t="s">
        <v>49</v>
      </c>
      <c r="L645" s="4">
        <v>12.699346182652626</v>
      </c>
      <c r="M645" s="1" t="s">
        <v>54</v>
      </c>
      <c r="N645" s="11">
        <f t="shared" si="10"/>
        <v>10</v>
      </c>
    </row>
    <row r="646" spans="1:14" ht="16" x14ac:dyDescent="0.2">
      <c r="A646" s="3">
        <v>43334.930608271919</v>
      </c>
      <c r="B646" s="1" t="s">
        <v>1034</v>
      </c>
      <c r="C646" t="s">
        <v>133</v>
      </c>
      <c r="D646">
        <v>9</v>
      </c>
      <c r="E646">
        <v>189</v>
      </c>
      <c r="F646">
        <v>63</v>
      </c>
      <c r="G646">
        <v>1701</v>
      </c>
      <c r="H646" s="4">
        <v>567</v>
      </c>
      <c r="I646" s="4">
        <v>1134</v>
      </c>
      <c r="J646" t="s">
        <v>681</v>
      </c>
      <c r="K646" t="s">
        <v>86</v>
      </c>
      <c r="L646" s="4">
        <v>8.1628930629234038</v>
      </c>
      <c r="M646" s="1" t="s">
        <v>38</v>
      </c>
      <c r="N646" s="11">
        <f t="shared" si="10"/>
        <v>5</v>
      </c>
    </row>
    <row r="647" spans="1:14" ht="16" x14ac:dyDescent="0.2">
      <c r="A647" s="3">
        <v>43821.893369773163</v>
      </c>
      <c r="B647" s="1" t="s">
        <v>1035</v>
      </c>
      <c r="C647" t="s">
        <v>304</v>
      </c>
      <c r="D647">
        <v>2</v>
      </c>
      <c r="E647">
        <v>116</v>
      </c>
      <c r="F647">
        <v>29</v>
      </c>
      <c r="G647">
        <v>232</v>
      </c>
      <c r="H647" s="4">
        <v>58</v>
      </c>
      <c r="I647" s="4">
        <v>174</v>
      </c>
      <c r="J647" t="s">
        <v>576</v>
      </c>
      <c r="K647" t="s">
        <v>33</v>
      </c>
      <c r="L647" s="4">
        <v>11.769937929618399</v>
      </c>
      <c r="M647" s="1" t="s">
        <v>38</v>
      </c>
      <c r="N647" s="11">
        <f t="shared" si="10"/>
        <v>5</v>
      </c>
    </row>
    <row r="648" spans="1:14" ht="16" x14ac:dyDescent="0.2">
      <c r="A648" s="3">
        <v>44255.452336246337</v>
      </c>
      <c r="B648" s="1" t="s">
        <v>1036</v>
      </c>
      <c r="C648" t="s">
        <v>93</v>
      </c>
      <c r="D648">
        <v>15</v>
      </c>
      <c r="E648">
        <v>204</v>
      </c>
      <c r="F648">
        <v>51</v>
      </c>
      <c r="G648">
        <v>3060</v>
      </c>
      <c r="H648" s="4">
        <v>765</v>
      </c>
      <c r="I648" s="4">
        <v>2295</v>
      </c>
      <c r="J648" t="s">
        <v>131</v>
      </c>
      <c r="K648" t="s">
        <v>33</v>
      </c>
      <c r="L648" s="4">
        <v>12.844063202784817</v>
      </c>
      <c r="M648" s="1" t="s">
        <v>54</v>
      </c>
      <c r="N648" s="11">
        <f t="shared" si="10"/>
        <v>10</v>
      </c>
    </row>
    <row r="649" spans="1:14" ht="16" x14ac:dyDescent="0.2">
      <c r="A649" s="3">
        <v>44166.502586509829</v>
      </c>
      <c r="B649" s="1" t="s">
        <v>1037</v>
      </c>
      <c r="C649" t="s">
        <v>365</v>
      </c>
      <c r="D649">
        <v>9</v>
      </c>
      <c r="E649">
        <v>255</v>
      </c>
      <c r="F649">
        <v>85</v>
      </c>
      <c r="G649">
        <v>2295</v>
      </c>
      <c r="H649" s="4">
        <v>765</v>
      </c>
      <c r="I649" s="4">
        <v>1530</v>
      </c>
      <c r="J649" t="s">
        <v>786</v>
      </c>
      <c r="K649" t="s">
        <v>86</v>
      </c>
      <c r="L649" s="4">
        <v>13.095446915421235</v>
      </c>
      <c r="M649" s="1" t="s">
        <v>38</v>
      </c>
      <c r="N649" s="11">
        <f t="shared" si="10"/>
        <v>5</v>
      </c>
    </row>
    <row r="650" spans="1:14" ht="16" x14ac:dyDescent="0.2">
      <c r="A650" s="3">
        <v>44282.535853872949</v>
      </c>
      <c r="B650" s="1" t="s">
        <v>1038</v>
      </c>
      <c r="C650" t="s">
        <v>185</v>
      </c>
      <c r="D650">
        <v>8</v>
      </c>
      <c r="E650">
        <v>146</v>
      </c>
      <c r="F650">
        <v>73</v>
      </c>
      <c r="G650">
        <v>1168</v>
      </c>
      <c r="H650" s="4">
        <v>584</v>
      </c>
      <c r="I650" s="4">
        <v>584</v>
      </c>
      <c r="J650" t="s">
        <v>253</v>
      </c>
      <c r="K650" t="s">
        <v>53</v>
      </c>
      <c r="L650" s="4">
        <v>13.918153610259502</v>
      </c>
      <c r="M650" s="1" t="s">
        <v>34</v>
      </c>
      <c r="N650" s="11">
        <f t="shared" si="10"/>
        <v>1</v>
      </c>
    </row>
    <row r="651" spans="1:14" ht="16" x14ac:dyDescent="0.2">
      <c r="A651" s="3">
        <v>44800.604714140929</v>
      </c>
      <c r="B651" s="1" t="s">
        <v>1039</v>
      </c>
      <c r="C651" t="s">
        <v>788</v>
      </c>
      <c r="D651">
        <v>13</v>
      </c>
      <c r="E651">
        <v>100</v>
      </c>
      <c r="F651">
        <v>25</v>
      </c>
      <c r="G651">
        <v>1300</v>
      </c>
      <c r="H651" s="4">
        <v>325</v>
      </c>
      <c r="I651" s="4">
        <v>975</v>
      </c>
      <c r="J651" t="s">
        <v>378</v>
      </c>
      <c r="K651" t="s">
        <v>53</v>
      </c>
      <c r="L651" s="4">
        <v>14.423322704129969</v>
      </c>
      <c r="M651" s="1" t="s">
        <v>38</v>
      </c>
      <c r="N651" s="11">
        <f t="shared" si="10"/>
        <v>5</v>
      </c>
    </row>
    <row r="652" spans="1:14" ht="16" x14ac:dyDescent="0.2">
      <c r="A652" s="3">
        <v>44806.124571104265</v>
      </c>
      <c r="B652" s="1" t="s">
        <v>1040</v>
      </c>
      <c r="C652" t="s">
        <v>31</v>
      </c>
      <c r="D652">
        <v>11</v>
      </c>
      <c r="E652">
        <v>280</v>
      </c>
      <c r="F652">
        <v>70</v>
      </c>
      <c r="G652">
        <v>3080</v>
      </c>
      <c r="H652" s="4">
        <v>770</v>
      </c>
      <c r="I652" s="4">
        <v>2310</v>
      </c>
      <c r="J652" t="s">
        <v>230</v>
      </c>
      <c r="K652" t="s">
        <v>42</v>
      </c>
      <c r="L652" s="4">
        <v>12.172922939334034</v>
      </c>
      <c r="M652" s="1" t="s">
        <v>38</v>
      </c>
      <c r="N652" s="11">
        <f t="shared" si="10"/>
        <v>5</v>
      </c>
    </row>
    <row r="653" spans="1:14" ht="16" x14ac:dyDescent="0.2">
      <c r="A653" s="3">
        <v>42720.978212519527</v>
      </c>
      <c r="B653" s="1" t="s">
        <v>1041</v>
      </c>
      <c r="C653" t="s">
        <v>47</v>
      </c>
      <c r="D653">
        <v>1</v>
      </c>
      <c r="E653">
        <v>231</v>
      </c>
      <c r="F653">
        <v>77</v>
      </c>
      <c r="G653">
        <v>231</v>
      </c>
      <c r="H653" s="4">
        <v>77</v>
      </c>
      <c r="I653" s="4">
        <v>154</v>
      </c>
      <c r="J653" t="s">
        <v>1042</v>
      </c>
      <c r="K653" t="s">
        <v>58</v>
      </c>
      <c r="L653" s="4">
        <v>10.588336269016523</v>
      </c>
      <c r="M653" s="1" t="s">
        <v>38</v>
      </c>
      <c r="N653" s="11">
        <f t="shared" si="10"/>
        <v>5</v>
      </c>
    </row>
    <row r="654" spans="1:14" ht="16" x14ac:dyDescent="0.2">
      <c r="A654" s="3">
        <v>43889.954185497292</v>
      </c>
      <c r="B654" s="1" t="s">
        <v>1043</v>
      </c>
      <c r="C654" t="s">
        <v>193</v>
      </c>
      <c r="D654">
        <v>4</v>
      </c>
      <c r="E654">
        <v>348</v>
      </c>
      <c r="F654">
        <v>87</v>
      </c>
      <c r="G654">
        <v>1392</v>
      </c>
      <c r="H654" s="4">
        <v>348</v>
      </c>
      <c r="I654" s="4">
        <v>1044</v>
      </c>
      <c r="J654" t="s">
        <v>910</v>
      </c>
      <c r="K654" t="s">
        <v>58</v>
      </c>
      <c r="L654" s="4">
        <v>11.78346750250795</v>
      </c>
      <c r="M654" s="1" t="s">
        <v>54</v>
      </c>
      <c r="N654" s="11">
        <f t="shared" si="10"/>
        <v>10</v>
      </c>
    </row>
    <row r="655" spans="1:14" ht="16" x14ac:dyDescent="0.2">
      <c r="A655" s="3">
        <v>43186.193539077889</v>
      </c>
      <c r="B655" s="1" t="s">
        <v>1044</v>
      </c>
      <c r="C655" t="s">
        <v>78</v>
      </c>
      <c r="D655">
        <v>1</v>
      </c>
      <c r="E655">
        <v>94</v>
      </c>
      <c r="F655">
        <v>47</v>
      </c>
      <c r="G655">
        <v>94</v>
      </c>
      <c r="H655" s="4">
        <v>47</v>
      </c>
      <c r="I655" s="4">
        <v>47</v>
      </c>
      <c r="J655" t="s">
        <v>980</v>
      </c>
      <c r="K655" t="s">
        <v>33</v>
      </c>
      <c r="L655" s="4">
        <v>8.1743378387804331</v>
      </c>
      <c r="M655" s="1" t="s">
        <v>34</v>
      </c>
      <c r="N655" s="11">
        <f t="shared" si="10"/>
        <v>1</v>
      </c>
    </row>
    <row r="656" spans="1:14" ht="16" x14ac:dyDescent="0.2">
      <c r="A656" s="3">
        <v>44319.671479708239</v>
      </c>
      <c r="B656" s="1" t="s">
        <v>1045</v>
      </c>
      <c r="C656" t="s">
        <v>337</v>
      </c>
      <c r="D656">
        <v>13</v>
      </c>
      <c r="E656">
        <v>135</v>
      </c>
      <c r="F656">
        <v>45</v>
      </c>
      <c r="G656">
        <v>1755</v>
      </c>
      <c r="H656" s="4">
        <v>585</v>
      </c>
      <c r="I656" s="4">
        <v>1170</v>
      </c>
      <c r="J656" t="s">
        <v>817</v>
      </c>
      <c r="K656" t="s">
        <v>64</v>
      </c>
      <c r="L656" s="4">
        <v>11.417996201106442</v>
      </c>
      <c r="M656" s="1" t="s">
        <v>34</v>
      </c>
      <c r="N656" s="11">
        <f t="shared" si="10"/>
        <v>1</v>
      </c>
    </row>
    <row r="657" spans="1:14" ht="16" x14ac:dyDescent="0.2">
      <c r="A657" s="3">
        <v>43895.558859351593</v>
      </c>
      <c r="B657" s="1" t="s">
        <v>1046</v>
      </c>
      <c r="C657" t="s">
        <v>252</v>
      </c>
      <c r="D657">
        <v>8</v>
      </c>
      <c r="E657">
        <v>252</v>
      </c>
      <c r="F657">
        <v>63</v>
      </c>
      <c r="G657">
        <v>2016</v>
      </c>
      <c r="H657" s="4">
        <v>504</v>
      </c>
      <c r="I657" s="4">
        <v>1512</v>
      </c>
      <c r="J657" t="s">
        <v>629</v>
      </c>
      <c r="K657" t="s">
        <v>53</v>
      </c>
      <c r="L657" s="4">
        <v>9.8892508156549788</v>
      </c>
      <c r="M657" s="1" t="s">
        <v>34</v>
      </c>
      <c r="N657" s="11">
        <f t="shared" si="10"/>
        <v>1</v>
      </c>
    </row>
    <row r="658" spans="1:14" ht="16" x14ac:dyDescent="0.2">
      <c r="A658" s="3">
        <v>43883.615535326426</v>
      </c>
      <c r="B658" s="1" t="s">
        <v>1047</v>
      </c>
      <c r="C658" t="s">
        <v>148</v>
      </c>
      <c r="D658">
        <v>19</v>
      </c>
      <c r="E658">
        <v>144</v>
      </c>
      <c r="F658">
        <v>36</v>
      </c>
      <c r="G658">
        <v>2736</v>
      </c>
      <c r="H658" s="4">
        <v>684</v>
      </c>
      <c r="I658" s="4">
        <v>2052</v>
      </c>
      <c r="J658" t="s">
        <v>650</v>
      </c>
      <c r="K658" t="s">
        <v>86</v>
      </c>
      <c r="L658" s="4">
        <v>12.679725647708608</v>
      </c>
      <c r="M658" s="1" t="s">
        <v>38</v>
      </c>
      <c r="N658" s="11">
        <f t="shared" si="10"/>
        <v>5</v>
      </c>
    </row>
    <row r="659" spans="1:14" ht="16" x14ac:dyDescent="0.2">
      <c r="A659" s="3">
        <v>45138.583454464162</v>
      </c>
      <c r="B659" s="1" t="s">
        <v>1048</v>
      </c>
      <c r="C659" t="s">
        <v>312</v>
      </c>
      <c r="D659">
        <v>16</v>
      </c>
      <c r="E659">
        <v>240</v>
      </c>
      <c r="F659">
        <v>80</v>
      </c>
      <c r="G659">
        <v>3840</v>
      </c>
      <c r="H659" s="4">
        <v>1280</v>
      </c>
      <c r="I659" s="4">
        <v>2560</v>
      </c>
      <c r="J659" t="s">
        <v>189</v>
      </c>
      <c r="K659" t="s">
        <v>58</v>
      </c>
      <c r="L659" s="4">
        <v>12.551203838971933</v>
      </c>
      <c r="M659" s="1" t="s">
        <v>34</v>
      </c>
      <c r="N659" s="11">
        <f t="shared" si="10"/>
        <v>1</v>
      </c>
    </row>
    <row r="660" spans="1:14" ht="16" x14ac:dyDescent="0.2">
      <c r="A660" s="3">
        <v>43849.826476341193</v>
      </c>
      <c r="B660" s="1" t="s">
        <v>1049</v>
      </c>
      <c r="C660" t="s">
        <v>218</v>
      </c>
      <c r="D660">
        <v>14</v>
      </c>
      <c r="E660">
        <v>264</v>
      </c>
      <c r="F660">
        <v>88</v>
      </c>
      <c r="G660">
        <v>3696</v>
      </c>
      <c r="H660" s="4">
        <v>1232</v>
      </c>
      <c r="I660" s="4">
        <v>2464</v>
      </c>
      <c r="J660" t="s">
        <v>517</v>
      </c>
      <c r="K660" t="s">
        <v>86</v>
      </c>
      <c r="L660" s="4">
        <v>13.57003172959007</v>
      </c>
      <c r="M660" s="1" t="s">
        <v>34</v>
      </c>
      <c r="N660" s="11">
        <f t="shared" si="10"/>
        <v>1</v>
      </c>
    </row>
    <row r="661" spans="1:14" ht="16" x14ac:dyDescent="0.2">
      <c r="A661" s="3">
        <v>43465.098816709651</v>
      </c>
      <c r="B661" s="1" t="s">
        <v>1050</v>
      </c>
      <c r="C661" t="s">
        <v>356</v>
      </c>
      <c r="D661">
        <v>18</v>
      </c>
      <c r="E661">
        <v>356</v>
      </c>
      <c r="F661">
        <v>89</v>
      </c>
      <c r="G661">
        <v>6408</v>
      </c>
      <c r="H661" s="4">
        <v>1602</v>
      </c>
      <c r="I661" s="4">
        <v>4806</v>
      </c>
      <c r="J661" t="s">
        <v>1051</v>
      </c>
      <c r="K661" t="s">
        <v>64</v>
      </c>
      <c r="L661" s="4">
        <v>12.852414455158604</v>
      </c>
      <c r="M661" s="1" t="s">
        <v>38</v>
      </c>
      <c r="N661" s="11">
        <f t="shared" si="10"/>
        <v>5</v>
      </c>
    </row>
    <row r="662" spans="1:14" ht="16" x14ac:dyDescent="0.2">
      <c r="A662" s="3">
        <v>44054.208842035689</v>
      </c>
      <c r="B662" s="1" t="s">
        <v>1052</v>
      </c>
      <c r="C662" t="s">
        <v>105</v>
      </c>
      <c r="D662">
        <v>6</v>
      </c>
      <c r="E662">
        <v>201</v>
      </c>
      <c r="F662">
        <v>67</v>
      </c>
      <c r="G662">
        <v>1206</v>
      </c>
      <c r="H662" s="4">
        <v>402</v>
      </c>
      <c r="I662" s="4">
        <v>804</v>
      </c>
      <c r="J662" t="s">
        <v>709</v>
      </c>
      <c r="K662" t="s">
        <v>86</v>
      </c>
      <c r="L662" s="4">
        <v>12.658317415198635</v>
      </c>
      <c r="M662" s="1" t="s">
        <v>38</v>
      </c>
      <c r="N662" s="11">
        <f t="shared" si="10"/>
        <v>5</v>
      </c>
    </row>
    <row r="663" spans="1:14" ht="16" x14ac:dyDescent="0.2">
      <c r="A663" s="3">
        <v>44098.757294352275</v>
      </c>
      <c r="B663" s="1" t="s">
        <v>1053</v>
      </c>
      <c r="C663" t="s">
        <v>592</v>
      </c>
      <c r="D663">
        <v>4</v>
      </c>
      <c r="E663">
        <v>312</v>
      </c>
      <c r="F663">
        <v>78</v>
      </c>
      <c r="G663">
        <v>1248</v>
      </c>
      <c r="H663" s="4">
        <v>312</v>
      </c>
      <c r="I663" s="4">
        <v>936</v>
      </c>
      <c r="J663" t="s">
        <v>315</v>
      </c>
      <c r="K663" t="s">
        <v>42</v>
      </c>
      <c r="L663" s="4">
        <v>10.966283117837653</v>
      </c>
      <c r="M663" s="1" t="s">
        <v>38</v>
      </c>
      <c r="N663" s="11">
        <f t="shared" si="10"/>
        <v>5</v>
      </c>
    </row>
    <row r="664" spans="1:14" ht="16" x14ac:dyDescent="0.2">
      <c r="A664" s="3">
        <v>43728.84419945065</v>
      </c>
      <c r="B664" s="1" t="s">
        <v>1054</v>
      </c>
      <c r="C664" t="s">
        <v>583</v>
      </c>
      <c r="D664">
        <v>20</v>
      </c>
      <c r="E664">
        <v>57</v>
      </c>
      <c r="F664">
        <v>19</v>
      </c>
      <c r="G664">
        <v>1140</v>
      </c>
      <c r="H664" s="4">
        <v>380</v>
      </c>
      <c r="I664" s="4">
        <v>760</v>
      </c>
      <c r="J664" t="s">
        <v>401</v>
      </c>
      <c r="K664" t="s">
        <v>58</v>
      </c>
      <c r="L664" s="4">
        <v>11.394777319422785</v>
      </c>
      <c r="M664" s="1" t="s">
        <v>38</v>
      </c>
      <c r="N664" s="11">
        <f t="shared" si="10"/>
        <v>5</v>
      </c>
    </row>
    <row r="665" spans="1:14" ht="16" x14ac:dyDescent="0.2">
      <c r="A665" s="3">
        <v>43460.601470115798</v>
      </c>
      <c r="B665" s="1" t="s">
        <v>1055</v>
      </c>
      <c r="C665" t="s">
        <v>420</v>
      </c>
      <c r="D665">
        <v>19</v>
      </c>
      <c r="E665">
        <v>162</v>
      </c>
      <c r="F665">
        <v>54</v>
      </c>
      <c r="G665">
        <v>3078</v>
      </c>
      <c r="H665" s="4">
        <v>1026</v>
      </c>
      <c r="I665" s="4">
        <v>2052</v>
      </c>
      <c r="J665" t="s">
        <v>106</v>
      </c>
      <c r="K665" t="s">
        <v>42</v>
      </c>
      <c r="L665" s="4">
        <v>13.717776078041958</v>
      </c>
      <c r="M665" s="1" t="s">
        <v>38</v>
      </c>
      <c r="N665" s="11">
        <f t="shared" si="10"/>
        <v>5</v>
      </c>
    </row>
    <row r="666" spans="1:14" ht="16" x14ac:dyDescent="0.2">
      <c r="A666" s="3">
        <v>43828.404570517101</v>
      </c>
      <c r="B666" s="1" t="s">
        <v>1056</v>
      </c>
      <c r="C666" t="s">
        <v>538</v>
      </c>
      <c r="D666">
        <v>14</v>
      </c>
      <c r="E666">
        <v>261</v>
      </c>
      <c r="F666">
        <v>87</v>
      </c>
      <c r="G666">
        <v>3654</v>
      </c>
      <c r="H666" s="4">
        <v>1218</v>
      </c>
      <c r="I666" s="4">
        <v>2436</v>
      </c>
      <c r="J666" t="s">
        <v>128</v>
      </c>
      <c r="K666" t="s">
        <v>42</v>
      </c>
      <c r="L666" s="4">
        <v>15.487214309603928</v>
      </c>
      <c r="M666" s="1" t="s">
        <v>38</v>
      </c>
      <c r="N666" s="11">
        <f t="shared" si="10"/>
        <v>5</v>
      </c>
    </row>
    <row r="667" spans="1:14" ht="16" x14ac:dyDescent="0.2">
      <c r="A667" s="3">
        <v>43107.034840551765</v>
      </c>
      <c r="B667" s="1" t="s">
        <v>1057</v>
      </c>
      <c r="C667" t="s">
        <v>178</v>
      </c>
      <c r="D667">
        <v>2</v>
      </c>
      <c r="E667">
        <v>189</v>
      </c>
      <c r="F667">
        <v>63</v>
      </c>
      <c r="G667">
        <v>378</v>
      </c>
      <c r="H667" s="4">
        <v>126</v>
      </c>
      <c r="I667" s="4">
        <v>252</v>
      </c>
      <c r="J667" t="s">
        <v>665</v>
      </c>
      <c r="K667" t="s">
        <v>33</v>
      </c>
      <c r="L667" s="4">
        <v>6.9183250411917196</v>
      </c>
      <c r="M667" s="1" t="s">
        <v>54</v>
      </c>
      <c r="N667" s="11">
        <f t="shared" si="10"/>
        <v>10</v>
      </c>
    </row>
    <row r="668" spans="1:14" ht="16" x14ac:dyDescent="0.2">
      <c r="A668" s="3">
        <v>43778.934069431241</v>
      </c>
      <c r="B668" s="1" t="s">
        <v>1058</v>
      </c>
      <c r="C668" t="s">
        <v>365</v>
      </c>
      <c r="D668">
        <v>16</v>
      </c>
      <c r="E668">
        <v>255</v>
      </c>
      <c r="F668">
        <v>85</v>
      </c>
      <c r="G668">
        <v>4080</v>
      </c>
      <c r="H668" s="4">
        <v>1360</v>
      </c>
      <c r="I668" s="4">
        <v>2720</v>
      </c>
      <c r="J668" t="s">
        <v>448</v>
      </c>
      <c r="K668" t="s">
        <v>58</v>
      </c>
      <c r="L668" s="4">
        <v>15.770846827234339</v>
      </c>
      <c r="M668" s="1" t="s">
        <v>54</v>
      </c>
      <c r="N668" s="11">
        <f t="shared" si="10"/>
        <v>10</v>
      </c>
    </row>
    <row r="669" spans="1:14" ht="16" x14ac:dyDescent="0.2">
      <c r="A669" s="3">
        <v>44518.310499865191</v>
      </c>
      <c r="B669" s="1" t="s">
        <v>1059</v>
      </c>
      <c r="C669" t="s">
        <v>193</v>
      </c>
      <c r="D669">
        <v>10</v>
      </c>
      <c r="E669">
        <v>348</v>
      </c>
      <c r="F669">
        <v>87</v>
      </c>
      <c r="G669">
        <v>3480</v>
      </c>
      <c r="H669" s="4">
        <v>870</v>
      </c>
      <c r="I669" s="4">
        <v>2610</v>
      </c>
      <c r="J669" t="s">
        <v>335</v>
      </c>
      <c r="K669" t="s">
        <v>53</v>
      </c>
      <c r="L669" s="4">
        <v>12.148236977735172</v>
      </c>
      <c r="M669" s="1" t="s">
        <v>38</v>
      </c>
      <c r="N669" s="11">
        <f t="shared" si="10"/>
        <v>5</v>
      </c>
    </row>
    <row r="670" spans="1:14" ht="16" x14ac:dyDescent="0.2">
      <c r="A670" s="3">
        <v>44752.858445586164</v>
      </c>
      <c r="B670" s="1" t="s">
        <v>1060</v>
      </c>
      <c r="C670" t="s">
        <v>120</v>
      </c>
      <c r="D670">
        <v>12</v>
      </c>
      <c r="E670">
        <v>252</v>
      </c>
      <c r="F670">
        <v>63</v>
      </c>
      <c r="G670">
        <v>3024</v>
      </c>
      <c r="H670" s="4">
        <v>756</v>
      </c>
      <c r="I670" s="4">
        <v>2268</v>
      </c>
      <c r="J670" t="s">
        <v>238</v>
      </c>
      <c r="K670" t="s">
        <v>86</v>
      </c>
      <c r="L670" s="4">
        <v>14.593670394271927</v>
      </c>
      <c r="M670" s="1" t="s">
        <v>54</v>
      </c>
      <c r="N670" s="11">
        <f t="shared" si="10"/>
        <v>10</v>
      </c>
    </row>
    <row r="671" spans="1:14" ht="16" x14ac:dyDescent="0.2">
      <c r="A671" s="3">
        <v>43651.916485848626</v>
      </c>
      <c r="B671" s="1" t="s">
        <v>1061</v>
      </c>
      <c r="C671" t="s">
        <v>69</v>
      </c>
      <c r="D671">
        <v>4</v>
      </c>
      <c r="E671">
        <v>184</v>
      </c>
      <c r="F671">
        <v>92</v>
      </c>
      <c r="G671">
        <v>736</v>
      </c>
      <c r="H671" s="4">
        <v>368</v>
      </c>
      <c r="I671" s="4">
        <v>368</v>
      </c>
      <c r="J671" t="s">
        <v>638</v>
      </c>
      <c r="K671" t="s">
        <v>33</v>
      </c>
      <c r="L671" s="4">
        <v>12.131375018945562</v>
      </c>
      <c r="M671" s="1" t="s">
        <v>38</v>
      </c>
      <c r="N671" s="11">
        <f t="shared" si="10"/>
        <v>5</v>
      </c>
    </row>
    <row r="672" spans="1:14" ht="16" x14ac:dyDescent="0.2">
      <c r="A672" s="3">
        <v>44074.417082180909</v>
      </c>
      <c r="B672" s="1" t="s">
        <v>1062</v>
      </c>
      <c r="C672" t="s">
        <v>503</v>
      </c>
      <c r="D672">
        <v>14</v>
      </c>
      <c r="E672">
        <v>50</v>
      </c>
      <c r="F672">
        <v>25</v>
      </c>
      <c r="G672">
        <v>700</v>
      </c>
      <c r="H672" s="4">
        <v>350</v>
      </c>
      <c r="I672" s="4">
        <v>350</v>
      </c>
      <c r="J672" t="s">
        <v>548</v>
      </c>
      <c r="K672" t="s">
        <v>53</v>
      </c>
      <c r="L672" s="4">
        <v>16.695690968264284</v>
      </c>
      <c r="M672" s="1" t="s">
        <v>38</v>
      </c>
      <c r="N672" s="11">
        <f t="shared" si="10"/>
        <v>5</v>
      </c>
    </row>
    <row r="673" spans="1:14" ht="16" x14ac:dyDescent="0.2">
      <c r="A673" s="3">
        <v>43791.23977576496</v>
      </c>
      <c r="B673" s="1" t="s">
        <v>1063</v>
      </c>
      <c r="C673" t="s">
        <v>130</v>
      </c>
      <c r="D673">
        <v>8</v>
      </c>
      <c r="E673">
        <v>144</v>
      </c>
      <c r="F673">
        <v>48</v>
      </c>
      <c r="G673">
        <v>1152</v>
      </c>
      <c r="H673" s="4">
        <v>384</v>
      </c>
      <c r="I673" s="4">
        <v>768</v>
      </c>
      <c r="J673" t="s">
        <v>236</v>
      </c>
      <c r="K673" t="s">
        <v>53</v>
      </c>
      <c r="L673" s="4">
        <v>9.3014286057233697</v>
      </c>
      <c r="M673" s="1" t="s">
        <v>38</v>
      </c>
      <c r="N673" s="11">
        <f t="shared" si="10"/>
        <v>5</v>
      </c>
    </row>
    <row r="674" spans="1:14" ht="16" x14ac:dyDescent="0.2">
      <c r="A674" s="3">
        <v>44136.015310858274</v>
      </c>
      <c r="B674" s="1" t="s">
        <v>1064</v>
      </c>
      <c r="C674" t="s">
        <v>133</v>
      </c>
      <c r="D674">
        <v>14</v>
      </c>
      <c r="E674">
        <v>189</v>
      </c>
      <c r="F674">
        <v>63</v>
      </c>
      <c r="G674">
        <v>2646</v>
      </c>
      <c r="H674" s="4">
        <v>882</v>
      </c>
      <c r="I674" s="4">
        <v>1764</v>
      </c>
      <c r="J674" t="s">
        <v>1065</v>
      </c>
      <c r="K674" t="s">
        <v>53</v>
      </c>
      <c r="L674" s="4">
        <v>13.00553764131261</v>
      </c>
      <c r="M674" s="1" t="s">
        <v>34</v>
      </c>
      <c r="N674" s="11">
        <f t="shared" si="10"/>
        <v>1</v>
      </c>
    </row>
    <row r="675" spans="1:14" ht="16" x14ac:dyDescent="0.2">
      <c r="A675" s="3">
        <v>43545.308918600662</v>
      </c>
      <c r="B675" s="1" t="s">
        <v>656</v>
      </c>
      <c r="C675" t="s">
        <v>196</v>
      </c>
      <c r="D675">
        <v>13</v>
      </c>
      <c r="E675">
        <v>192</v>
      </c>
      <c r="F675">
        <v>96</v>
      </c>
      <c r="G675">
        <v>2496</v>
      </c>
      <c r="H675" s="4">
        <v>1248</v>
      </c>
      <c r="I675" s="4">
        <v>1248</v>
      </c>
      <c r="J675" t="s">
        <v>986</v>
      </c>
      <c r="K675" t="s">
        <v>86</v>
      </c>
      <c r="L675" s="4">
        <v>12.392787515215366</v>
      </c>
      <c r="M675" s="1" t="s">
        <v>38</v>
      </c>
      <c r="N675" s="11">
        <f t="shared" si="10"/>
        <v>5</v>
      </c>
    </row>
    <row r="676" spans="1:14" ht="16" x14ac:dyDescent="0.2">
      <c r="A676" s="3">
        <v>43603.925023110693</v>
      </c>
      <c r="B676" s="1" t="s">
        <v>1066</v>
      </c>
      <c r="C676" t="s">
        <v>212</v>
      </c>
      <c r="D676">
        <v>12</v>
      </c>
      <c r="E676">
        <v>300</v>
      </c>
      <c r="F676">
        <v>75</v>
      </c>
      <c r="G676">
        <v>3600</v>
      </c>
      <c r="H676" s="4">
        <v>900</v>
      </c>
      <c r="I676" s="4">
        <v>2700</v>
      </c>
      <c r="J676" t="s">
        <v>521</v>
      </c>
      <c r="K676" t="s">
        <v>58</v>
      </c>
      <c r="L676" s="4">
        <v>8.8514729234790472</v>
      </c>
      <c r="M676" s="1" t="s">
        <v>38</v>
      </c>
      <c r="N676" s="11">
        <f t="shared" si="10"/>
        <v>5</v>
      </c>
    </row>
    <row r="677" spans="1:14" ht="16" x14ac:dyDescent="0.2">
      <c r="A677" s="3">
        <v>43966.773546965313</v>
      </c>
      <c r="B677" s="1" t="s">
        <v>1067</v>
      </c>
      <c r="C677" t="s">
        <v>47</v>
      </c>
      <c r="D677">
        <v>3</v>
      </c>
      <c r="E677">
        <v>231</v>
      </c>
      <c r="F677">
        <v>77</v>
      </c>
      <c r="G677">
        <v>693</v>
      </c>
      <c r="H677" s="4">
        <v>231</v>
      </c>
      <c r="I677" s="4">
        <v>462</v>
      </c>
      <c r="J677" t="s">
        <v>1068</v>
      </c>
      <c r="K677" t="s">
        <v>42</v>
      </c>
      <c r="L677" s="4">
        <v>8.1352386075080023</v>
      </c>
      <c r="M677" s="1" t="s">
        <v>34</v>
      </c>
      <c r="N677" s="11">
        <f t="shared" si="10"/>
        <v>1</v>
      </c>
    </row>
    <row r="678" spans="1:14" ht="16" x14ac:dyDescent="0.2">
      <c r="A678" s="3">
        <v>43295.121712489898</v>
      </c>
      <c r="B678" s="1" t="s">
        <v>1069</v>
      </c>
      <c r="C678" t="s">
        <v>328</v>
      </c>
      <c r="D678">
        <v>4</v>
      </c>
      <c r="E678">
        <v>124</v>
      </c>
      <c r="F678">
        <v>62</v>
      </c>
      <c r="G678">
        <v>496</v>
      </c>
      <c r="H678" s="4">
        <v>248</v>
      </c>
      <c r="I678" s="4">
        <v>248</v>
      </c>
      <c r="J678" t="s">
        <v>531</v>
      </c>
      <c r="K678" t="s">
        <v>58</v>
      </c>
      <c r="L678" s="4">
        <v>14.064516999204997</v>
      </c>
      <c r="M678" s="1" t="s">
        <v>38</v>
      </c>
      <c r="N678" s="11">
        <f t="shared" si="10"/>
        <v>5</v>
      </c>
    </row>
    <row r="679" spans="1:14" ht="16" x14ac:dyDescent="0.2">
      <c r="A679" s="3">
        <v>43623.421984955159</v>
      </c>
      <c r="B679" s="1" t="s">
        <v>1070</v>
      </c>
      <c r="C679" t="s">
        <v>44</v>
      </c>
      <c r="D679">
        <v>19</v>
      </c>
      <c r="E679">
        <v>114</v>
      </c>
      <c r="F679">
        <v>57</v>
      </c>
      <c r="G679">
        <v>2166</v>
      </c>
      <c r="H679" s="4">
        <v>1083</v>
      </c>
      <c r="I679" s="4">
        <v>1083</v>
      </c>
      <c r="J679" t="s">
        <v>754</v>
      </c>
      <c r="K679" t="s">
        <v>42</v>
      </c>
      <c r="L679" s="4">
        <v>14.376986923104601</v>
      </c>
      <c r="M679" s="1" t="s">
        <v>34</v>
      </c>
      <c r="N679" s="11">
        <f t="shared" si="10"/>
        <v>1</v>
      </c>
    </row>
    <row r="680" spans="1:14" ht="16" x14ac:dyDescent="0.2">
      <c r="A680" s="3">
        <v>44190.87028620379</v>
      </c>
      <c r="B680" s="1" t="s">
        <v>1071</v>
      </c>
      <c r="C680" t="s">
        <v>81</v>
      </c>
      <c r="D680">
        <v>2</v>
      </c>
      <c r="E680">
        <v>166</v>
      </c>
      <c r="F680">
        <v>83</v>
      </c>
      <c r="G680">
        <v>332</v>
      </c>
      <c r="H680" s="4">
        <v>166</v>
      </c>
      <c r="I680" s="4">
        <v>166</v>
      </c>
      <c r="J680" t="s">
        <v>660</v>
      </c>
      <c r="K680" t="s">
        <v>86</v>
      </c>
      <c r="L680" s="4">
        <v>10.163794912095831</v>
      </c>
      <c r="M680" s="1" t="s">
        <v>38</v>
      </c>
      <c r="N680" s="11">
        <f t="shared" si="10"/>
        <v>5</v>
      </c>
    </row>
    <row r="681" spans="1:14" ht="16" x14ac:dyDescent="0.2">
      <c r="A681" s="3">
        <v>45009.681467498704</v>
      </c>
      <c r="B681" s="1" t="s">
        <v>1072</v>
      </c>
      <c r="C681" t="s">
        <v>301</v>
      </c>
      <c r="D681">
        <v>19</v>
      </c>
      <c r="E681">
        <v>188</v>
      </c>
      <c r="F681">
        <v>94</v>
      </c>
      <c r="G681">
        <v>3572</v>
      </c>
      <c r="H681" s="4">
        <v>1786</v>
      </c>
      <c r="I681" s="4">
        <v>1786</v>
      </c>
      <c r="J681" t="s">
        <v>1051</v>
      </c>
      <c r="K681" t="s">
        <v>64</v>
      </c>
      <c r="L681" s="4">
        <v>12.852414455158604</v>
      </c>
      <c r="M681" s="1" t="s">
        <v>38</v>
      </c>
      <c r="N681" s="11">
        <f t="shared" si="10"/>
        <v>5</v>
      </c>
    </row>
    <row r="682" spans="1:14" ht="16" x14ac:dyDescent="0.2">
      <c r="A682" s="3">
        <v>43418.405240148029</v>
      </c>
      <c r="B682" s="1" t="s">
        <v>1073</v>
      </c>
      <c r="C682" t="s">
        <v>561</v>
      </c>
      <c r="D682">
        <v>16</v>
      </c>
      <c r="E682">
        <v>384</v>
      </c>
      <c r="F682">
        <v>96</v>
      </c>
      <c r="G682">
        <v>6144</v>
      </c>
      <c r="H682" s="4">
        <v>1536</v>
      </c>
      <c r="I682" s="4">
        <v>4608</v>
      </c>
      <c r="J682" t="s">
        <v>914</v>
      </c>
      <c r="K682" t="s">
        <v>42</v>
      </c>
      <c r="L682" s="4">
        <v>13.853438793083487</v>
      </c>
      <c r="M682" s="1" t="s">
        <v>54</v>
      </c>
      <c r="N682" s="11">
        <f t="shared" si="10"/>
        <v>10</v>
      </c>
    </row>
    <row r="683" spans="1:14" ht="16" x14ac:dyDescent="0.2">
      <c r="A683" s="3">
        <v>43517.277807314356</v>
      </c>
      <c r="B683" s="1" t="s">
        <v>1074</v>
      </c>
      <c r="C683" t="s">
        <v>78</v>
      </c>
      <c r="D683">
        <v>15</v>
      </c>
      <c r="E683">
        <v>94</v>
      </c>
      <c r="F683">
        <v>47</v>
      </c>
      <c r="G683">
        <v>1410</v>
      </c>
      <c r="H683" s="4">
        <v>705</v>
      </c>
      <c r="I683" s="4">
        <v>705</v>
      </c>
      <c r="J683" t="s">
        <v>219</v>
      </c>
      <c r="K683" t="s">
        <v>49</v>
      </c>
      <c r="L683" s="4">
        <v>13.697485557052493</v>
      </c>
      <c r="M683" s="1" t="s">
        <v>38</v>
      </c>
      <c r="N683" s="11">
        <f t="shared" si="10"/>
        <v>5</v>
      </c>
    </row>
    <row r="684" spans="1:14" ht="16" x14ac:dyDescent="0.2">
      <c r="A684" s="3">
        <v>43864.456410154344</v>
      </c>
      <c r="B684" s="1" t="s">
        <v>1075</v>
      </c>
      <c r="C684" t="s">
        <v>51</v>
      </c>
      <c r="D684">
        <v>7</v>
      </c>
      <c r="E684">
        <v>160</v>
      </c>
      <c r="F684">
        <v>80</v>
      </c>
      <c r="G684">
        <v>1120</v>
      </c>
      <c r="H684" s="4">
        <v>560</v>
      </c>
      <c r="I684" s="4">
        <v>560</v>
      </c>
      <c r="J684" t="s">
        <v>442</v>
      </c>
      <c r="K684" t="s">
        <v>58</v>
      </c>
      <c r="L684" s="4">
        <v>16.429355109701351</v>
      </c>
      <c r="M684" s="1" t="s">
        <v>54</v>
      </c>
      <c r="N684" s="11">
        <f t="shared" si="10"/>
        <v>10</v>
      </c>
    </row>
    <row r="685" spans="1:14" ht="16" x14ac:dyDescent="0.2">
      <c r="A685" s="3">
        <v>44135.822426787287</v>
      </c>
      <c r="B685" s="1" t="s">
        <v>1076</v>
      </c>
      <c r="C685" t="s">
        <v>248</v>
      </c>
      <c r="D685">
        <v>4</v>
      </c>
      <c r="E685">
        <v>132</v>
      </c>
      <c r="F685">
        <v>44</v>
      </c>
      <c r="G685">
        <v>528</v>
      </c>
      <c r="H685" s="4">
        <v>176</v>
      </c>
      <c r="I685" s="4">
        <v>352</v>
      </c>
      <c r="J685" t="s">
        <v>738</v>
      </c>
      <c r="K685" t="s">
        <v>33</v>
      </c>
      <c r="L685" s="4">
        <v>12.985332015423809</v>
      </c>
      <c r="M685" s="1" t="s">
        <v>54</v>
      </c>
      <c r="N685" s="11">
        <f t="shared" si="10"/>
        <v>10</v>
      </c>
    </row>
    <row r="686" spans="1:14" ht="16" x14ac:dyDescent="0.2">
      <c r="A686" s="3">
        <v>43484.65116968131</v>
      </c>
      <c r="B686" s="1" t="s">
        <v>1077</v>
      </c>
      <c r="C686" t="s">
        <v>257</v>
      </c>
      <c r="D686">
        <v>14</v>
      </c>
      <c r="E686">
        <v>160</v>
      </c>
      <c r="F686">
        <v>80</v>
      </c>
      <c r="G686">
        <v>2240</v>
      </c>
      <c r="H686" s="4">
        <v>1120</v>
      </c>
      <c r="I686" s="4">
        <v>1120</v>
      </c>
      <c r="J686" t="s">
        <v>611</v>
      </c>
      <c r="K686" t="s">
        <v>58</v>
      </c>
      <c r="L686" s="4">
        <v>7.8974070387684714</v>
      </c>
      <c r="M686" s="1" t="s">
        <v>34</v>
      </c>
      <c r="N686" s="11">
        <f t="shared" si="10"/>
        <v>1</v>
      </c>
    </row>
    <row r="687" spans="1:14" ht="16" x14ac:dyDescent="0.2">
      <c r="A687" s="3">
        <v>44041.850000776765</v>
      </c>
      <c r="B687" s="1" t="s">
        <v>1078</v>
      </c>
      <c r="C687" t="s">
        <v>779</v>
      </c>
      <c r="D687">
        <v>7</v>
      </c>
      <c r="E687">
        <v>120</v>
      </c>
      <c r="F687">
        <v>30</v>
      </c>
      <c r="G687">
        <v>840</v>
      </c>
      <c r="H687" s="4">
        <v>210</v>
      </c>
      <c r="I687" s="4">
        <v>630</v>
      </c>
      <c r="J687" t="s">
        <v>986</v>
      </c>
      <c r="K687" t="s">
        <v>86</v>
      </c>
      <c r="L687" s="4">
        <v>12.392787515215366</v>
      </c>
      <c r="M687" s="1" t="s">
        <v>54</v>
      </c>
      <c r="N687" s="11">
        <f t="shared" si="10"/>
        <v>10</v>
      </c>
    </row>
    <row r="688" spans="1:14" ht="16" x14ac:dyDescent="0.2">
      <c r="A688" s="3">
        <v>44237.290023146816</v>
      </c>
      <c r="B688" s="1" t="s">
        <v>1079</v>
      </c>
      <c r="C688" t="s">
        <v>201</v>
      </c>
      <c r="D688">
        <v>19</v>
      </c>
      <c r="E688">
        <v>30</v>
      </c>
      <c r="F688">
        <v>15</v>
      </c>
      <c r="G688">
        <v>570</v>
      </c>
      <c r="H688" s="4">
        <v>285</v>
      </c>
      <c r="I688" s="4">
        <v>285</v>
      </c>
      <c r="J688" t="s">
        <v>903</v>
      </c>
      <c r="K688" t="s">
        <v>58</v>
      </c>
      <c r="L688" s="4">
        <v>11.952554704438674</v>
      </c>
      <c r="M688" s="1" t="s">
        <v>54</v>
      </c>
      <c r="N688" s="11">
        <f t="shared" si="10"/>
        <v>10</v>
      </c>
    </row>
    <row r="689" spans="1:14" ht="16" x14ac:dyDescent="0.2">
      <c r="A689" s="3">
        <v>45121.322153269168</v>
      </c>
      <c r="B689" s="1" t="s">
        <v>1080</v>
      </c>
      <c r="C689" t="s">
        <v>425</v>
      </c>
      <c r="D689">
        <v>2</v>
      </c>
      <c r="E689">
        <v>352</v>
      </c>
      <c r="F689">
        <v>88</v>
      </c>
      <c r="G689">
        <v>704</v>
      </c>
      <c r="H689" s="4">
        <v>176</v>
      </c>
      <c r="I689" s="4">
        <v>528</v>
      </c>
      <c r="J689" t="s">
        <v>562</v>
      </c>
      <c r="K689" t="s">
        <v>49</v>
      </c>
      <c r="L689" s="4">
        <v>11.808681852148307</v>
      </c>
      <c r="M689" s="1" t="s">
        <v>38</v>
      </c>
      <c r="N689" s="11">
        <f t="shared" si="10"/>
        <v>5</v>
      </c>
    </row>
    <row r="690" spans="1:14" ht="16" x14ac:dyDescent="0.2">
      <c r="A690" s="3">
        <v>44189.919924760259</v>
      </c>
      <c r="B690" s="1" t="s">
        <v>1081</v>
      </c>
      <c r="C690" t="s">
        <v>328</v>
      </c>
      <c r="D690">
        <v>18</v>
      </c>
      <c r="E690">
        <v>124</v>
      </c>
      <c r="F690">
        <v>62</v>
      </c>
      <c r="G690">
        <v>2232</v>
      </c>
      <c r="H690" s="4">
        <v>1116</v>
      </c>
      <c r="I690" s="4">
        <v>1116</v>
      </c>
      <c r="J690" t="s">
        <v>738</v>
      </c>
      <c r="K690" t="s">
        <v>33</v>
      </c>
      <c r="L690" s="4">
        <v>12.985332015423809</v>
      </c>
      <c r="M690" s="1" t="s">
        <v>38</v>
      </c>
      <c r="N690" s="11">
        <f t="shared" si="10"/>
        <v>5</v>
      </c>
    </row>
    <row r="691" spans="1:14" ht="16" x14ac:dyDescent="0.2">
      <c r="A691" s="3">
        <v>44958.519751979227</v>
      </c>
      <c r="B691" s="1" t="s">
        <v>1082</v>
      </c>
      <c r="C691" t="s">
        <v>91</v>
      </c>
      <c r="D691">
        <v>16</v>
      </c>
      <c r="E691">
        <v>300</v>
      </c>
      <c r="F691">
        <v>75</v>
      </c>
      <c r="G691">
        <v>4800</v>
      </c>
      <c r="H691" s="4">
        <v>1200</v>
      </c>
      <c r="I691" s="4">
        <v>3600</v>
      </c>
      <c r="J691" t="s">
        <v>205</v>
      </c>
      <c r="K691" t="s">
        <v>33</v>
      </c>
      <c r="L691" s="4">
        <v>12.007834550770397</v>
      </c>
      <c r="M691" s="1" t="s">
        <v>38</v>
      </c>
      <c r="N691" s="11">
        <f t="shared" si="10"/>
        <v>5</v>
      </c>
    </row>
    <row r="692" spans="1:14" ht="16" x14ac:dyDescent="0.2">
      <c r="A692" s="3">
        <v>43567.545762922477</v>
      </c>
      <c r="B692" s="1" t="s">
        <v>1083</v>
      </c>
      <c r="C692" t="s">
        <v>66</v>
      </c>
      <c r="D692">
        <v>15</v>
      </c>
      <c r="E692">
        <v>144</v>
      </c>
      <c r="F692">
        <v>48</v>
      </c>
      <c r="G692">
        <v>2160</v>
      </c>
      <c r="H692" s="4">
        <v>720</v>
      </c>
      <c r="I692" s="4">
        <v>1440</v>
      </c>
      <c r="J692" t="s">
        <v>96</v>
      </c>
      <c r="K692" t="s">
        <v>64</v>
      </c>
      <c r="L692" s="4">
        <v>12.072414596936037</v>
      </c>
      <c r="M692" s="1" t="s">
        <v>38</v>
      </c>
      <c r="N692" s="11">
        <f t="shared" si="10"/>
        <v>5</v>
      </c>
    </row>
    <row r="693" spans="1:14" ht="16" x14ac:dyDescent="0.2">
      <c r="A693" s="3">
        <v>43768.195375420299</v>
      </c>
      <c r="B693" s="1" t="s">
        <v>1084</v>
      </c>
      <c r="C693" t="s">
        <v>81</v>
      </c>
      <c r="D693">
        <v>12</v>
      </c>
      <c r="E693">
        <v>166</v>
      </c>
      <c r="F693">
        <v>83</v>
      </c>
      <c r="G693">
        <v>1992</v>
      </c>
      <c r="H693" s="4">
        <v>996</v>
      </c>
      <c r="I693" s="4">
        <v>996</v>
      </c>
      <c r="J693" t="s">
        <v>1085</v>
      </c>
      <c r="K693" t="s">
        <v>49</v>
      </c>
      <c r="L693" s="4">
        <v>10.818241047231139</v>
      </c>
      <c r="M693" s="1" t="s">
        <v>34</v>
      </c>
      <c r="N693" s="11">
        <f t="shared" si="10"/>
        <v>1</v>
      </c>
    </row>
    <row r="694" spans="1:14" ht="16" x14ac:dyDescent="0.2">
      <c r="A694" s="3">
        <v>43681.021697138262</v>
      </c>
      <c r="B694" s="1" t="s">
        <v>1086</v>
      </c>
      <c r="C694" t="s">
        <v>370</v>
      </c>
      <c r="D694">
        <v>6</v>
      </c>
      <c r="E694">
        <v>144</v>
      </c>
      <c r="F694">
        <v>36</v>
      </c>
      <c r="G694">
        <v>864</v>
      </c>
      <c r="H694" s="4">
        <v>216</v>
      </c>
      <c r="I694" s="4">
        <v>648</v>
      </c>
      <c r="J694" t="s">
        <v>774</v>
      </c>
      <c r="K694" t="s">
        <v>49</v>
      </c>
      <c r="L694" s="4">
        <v>13.392447352247808</v>
      </c>
      <c r="M694" s="1" t="s">
        <v>34</v>
      </c>
      <c r="N694" s="11">
        <f t="shared" si="10"/>
        <v>1</v>
      </c>
    </row>
    <row r="695" spans="1:14" ht="16" x14ac:dyDescent="0.2">
      <c r="A695" s="3">
        <v>44476.610348858674</v>
      </c>
      <c r="B695" s="1" t="s">
        <v>1087</v>
      </c>
      <c r="C695" t="s">
        <v>120</v>
      </c>
      <c r="D695">
        <v>13</v>
      </c>
      <c r="E695">
        <v>252</v>
      </c>
      <c r="F695">
        <v>63</v>
      </c>
      <c r="G695">
        <v>3276</v>
      </c>
      <c r="H695" s="4">
        <v>819</v>
      </c>
      <c r="I695" s="4">
        <v>2457</v>
      </c>
      <c r="J695" t="s">
        <v>589</v>
      </c>
      <c r="K695" t="s">
        <v>58</v>
      </c>
      <c r="L695" s="4">
        <v>12.207242573430314</v>
      </c>
      <c r="M695" s="1" t="s">
        <v>38</v>
      </c>
      <c r="N695" s="11">
        <f t="shared" si="10"/>
        <v>5</v>
      </c>
    </row>
    <row r="696" spans="1:14" ht="16" x14ac:dyDescent="0.2">
      <c r="A696" s="3">
        <v>43936.882149545236</v>
      </c>
      <c r="B696" s="1" t="s">
        <v>1088</v>
      </c>
      <c r="C696" t="s">
        <v>523</v>
      </c>
      <c r="D696">
        <v>15</v>
      </c>
      <c r="E696">
        <v>92</v>
      </c>
      <c r="F696">
        <v>46</v>
      </c>
      <c r="G696">
        <v>1380</v>
      </c>
      <c r="H696" s="4">
        <v>690</v>
      </c>
      <c r="I696" s="4">
        <v>690</v>
      </c>
      <c r="J696" t="s">
        <v>531</v>
      </c>
      <c r="K696" t="s">
        <v>58</v>
      </c>
      <c r="L696" s="4">
        <v>14.064516999204997</v>
      </c>
      <c r="M696" s="1" t="s">
        <v>38</v>
      </c>
      <c r="N696" s="11">
        <f t="shared" si="10"/>
        <v>5</v>
      </c>
    </row>
    <row r="697" spans="1:14" ht="16" x14ac:dyDescent="0.2">
      <c r="A697" s="3">
        <v>43800.871429204904</v>
      </c>
      <c r="B697" s="1" t="s">
        <v>1089</v>
      </c>
      <c r="C697" t="s">
        <v>304</v>
      </c>
      <c r="D697">
        <v>20</v>
      </c>
      <c r="E697">
        <v>116</v>
      </c>
      <c r="F697">
        <v>29</v>
      </c>
      <c r="G697">
        <v>2320</v>
      </c>
      <c r="H697" s="4">
        <v>580</v>
      </c>
      <c r="I697" s="4">
        <v>1740</v>
      </c>
      <c r="J697" t="s">
        <v>106</v>
      </c>
      <c r="K697" t="s">
        <v>42</v>
      </c>
      <c r="L697" s="4">
        <v>13.717776078041958</v>
      </c>
      <c r="M697" s="1" t="s">
        <v>38</v>
      </c>
      <c r="N697" s="11">
        <f t="shared" si="10"/>
        <v>5</v>
      </c>
    </row>
    <row r="698" spans="1:14" ht="16" x14ac:dyDescent="0.2">
      <c r="A698" s="3">
        <v>43373.246800884364</v>
      </c>
      <c r="B698" s="1" t="s">
        <v>1090</v>
      </c>
      <c r="C698" t="s">
        <v>337</v>
      </c>
      <c r="D698">
        <v>16</v>
      </c>
      <c r="E698">
        <v>135</v>
      </c>
      <c r="F698">
        <v>45</v>
      </c>
      <c r="G698">
        <v>2160</v>
      </c>
      <c r="H698" s="4">
        <v>720</v>
      </c>
      <c r="I698" s="4">
        <v>1440</v>
      </c>
      <c r="J698" t="s">
        <v>1091</v>
      </c>
      <c r="K698" t="s">
        <v>33</v>
      </c>
      <c r="L698" s="4">
        <v>12.55774399806273</v>
      </c>
      <c r="M698" s="1" t="s">
        <v>38</v>
      </c>
      <c r="N698" s="11">
        <f t="shared" si="10"/>
        <v>5</v>
      </c>
    </row>
    <row r="699" spans="1:14" ht="16" x14ac:dyDescent="0.2">
      <c r="A699" s="3">
        <v>43801.65546837508</v>
      </c>
      <c r="B699" s="1" t="s">
        <v>1092</v>
      </c>
      <c r="C699" t="s">
        <v>227</v>
      </c>
      <c r="D699">
        <v>3</v>
      </c>
      <c r="E699">
        <v>144</v>
      </c>
      <c r="F699">
        <v>48</v>
      </c>
      <c r="G699">
        <v>432</v>
      </c>
      <c r="H699" s="4">
        <v>144</v>
      </c>
      <c r="I699" s="4">
        <v>288</v>
      </c>
      <c r="J699" t="s">
        <v>795</v>
      </c>
      <c r="K699" t="s">
        <v>49</v>
      </c>
      <c r="L699" s="4">
        <v>11.661237375491201</v>
      </c>
      <c r="M699" s="1" t="s">
        <v>38</v>
      </c>
      <c r="N699" s="11">
        <f t="shared" si="10"/>
        <v>5</v>
      </c>
    </row>
    <row r="700" spans="1:14" ht="16" x14ac:dyDescent="0.2">
      <c r="A700" s="3">
        <v>43722.283498164739</v>
      </c>
      <c r="B700" s="1" t="s">
        <v>1093</v>
      </c>
      <c r="C700" t="s">
        <v>136</v>
      </c>
      <c r="D700">
        <v>2</v>
      </c>
      <c r="E700">
        <v>154</v>
      </c>
      <c r="F700">
        <v>77</v>
      </c>
      <c r="G700">
        <v>308</v>
      </c>
      <c r="H700" s="4">
        <v>154</v>
      </c>
      <c r="I700" s="4">
        <v>154</v>
      </c>
      <c r="J700" t="s">
        <v>384</v>
      </c>
      <c r="K700" t="s">
        <v>33</v>
      </c>
      <c r="L700" s="4">
        <v>11.687634894637348</v>
      </c>
      <c r="M700" s="1" t="s">
        <v>38</v>
      </c>
      <c r="N700" s="11">
        <f t="shared" si="10"/>
        <v>5</v>
      </c>
    </row>
    <row r="701" spans="1:14" ht="16" x14ac:dyDescent="0.2">
      <c r="A701" s="3">
        <v>42656.038105829102</v>
      </c>
      <c r="B701" s="1" t="s">
        <v>1094</v>
      </c>
      <c r="C701" t="s">
        <v>431</v>
      </c>
      <c r="D701">
        <v>8</v>
      </c>
      <c r="E701">
        <v>356</v>
      </c>
      <c r="F701">
        <v>89</v>
      </c>
      <c r="G701">
        <v>2848</v>
      </c>
      <c r="H701" s="4">
        <v>712</v>
      </c>
      <c r="I701" s="4">
        <v>2136</v>
      </c>
      <c r="J701" t="s">
        <v>616</v>
      </c>
      <c r="K701" t="s">
        <v>49</v>
      </c>
      <c r="L701" s="4">
        <v>13.466362789017223</v>
      </c>
      <c r="M701" s="1" t="s">
        <v>38</v>
      </c>
      <c r="N701" s="11">
        <f t="shared" si="10"/>
        <v>5</v>
      </c>
    </row>
    <row r="702" spans="1:14" ht="16" x14ac:dyDescent="0.2">
      <c r="A702" s="3">
        <v>43594.123378459481</v>
      </c>
      <c r="B702" s="1" t="s">
        <v>1095</v>
      </c>
      <c r="C702" t="s">
        <v>788</v>
      </c>
      <c r="D702">
        <v>10</v>
      </c>
      <c r="E702">
        <v>100</v>
      </c>
      <c r="F702">
        <v>25</v>
      </c>
      <c r="G702">
        <v>1000</v>
      </c>
      <c r="H702" s="4">
        <v>250</v>
      </c>
      <c r="I702" s="4">
        <v>750</v>
      </c>
      <c r="J702" t="s">
        <v>418</v>
      </c>
      <c r="K702" t="s">
        <v>42</v>
      </c>
      <c r="L702" s="4">
        <v>11.644564584314265</v>
      </c>
      <c r="M702" s="1" t="s">
        <v>38</v>
      </c>
      <c r="N702" s="11">
        <f t="shared" si="10"/>
        <v>5</v>
      </c>
    </row>
    <row r="703" spans="1:14" ht="16" x14ac:dyDescent="0.2">
      <c r="A703" s="3">
        <v>44497.323917187488</v>
      </c>
      <c r="B703" s="1" t="s">
        <v>1096</v>
      </c>
      <c r="C703" t="s">
        <v>320</v>
      </c>
      <c r="D703">
        <v>8</v>
      </c>
      <c r="E703">
        <v>280</v>
      </c>
      <c r="F703">
        <v>70</v>
      </c>
      <c r="G703">
        <v>2240</v>
      </c>
      <c r="H703" s="4">
        <v>560</v>
      </c>
      <c r="I703" s="4">
        <v>1680</v>
      </c>
      <c r="J703" t="s">
        <v>76</v>
      </c>
      <c r="K703" t="s">
        <v>58</v>
      </c>
      <c r="L703" s="4">
        <v>9.8384363471888783</v>
      </c>
      <c r="M703" s="1" t="s">
        <v>38</v>
      </c>
      <c r="N703" s="11">
        <f t="shared" si="10"/>
        <v>5</v>
      </c>
    </row>
    <row r="704" spans="1:14" ht="16" x14ac:dyDescent="0.2">
      <c r="A704" s="3">
        <v>42799.219214117576</v>
      </c>
      <c r="B704" s="1" t="s">
        <v>1097</v>
      </c>
      <c r="C704" t="s">
        <v>487</v>
      </c>
      <c r="D704">
        <v>2</v>
      </c>
      <c r="E704">
        <v>264</v>
      </c>
      <c r="F704">
        <v>88</v>
      </c>
      <c r="G704">
        <v>528</v>
      </c>
      <c r="H704" s="4">
        <v>176</v>
      </c>
      <c r="I704" s="4">
        <v>352</v>
      </c>
      <c r="J704" t="s">
        <v>528</v>
      </c>
      <c r="K704" t="s">
        <v>33</v>
      </c>
      <c r="L704" s="4">
        <v>11.003496633574638</v>
      </c>
      <c r="M704" s="1" t="s">
        <v>54</v>
      </c>
      <c r="N704" s="11">
        <f t="shared" si="10"/>
        <v>10</v>
      </c>
    </row>
    <row r="705" spans="1:14" ht="16" x14ac:dyDescent="0.2">
      <c r="A705" s="3">
        <v>44428.363375248104</v>
      </c>
      <c r="B705" s="1" t="s">
        <v>1098</v>
      </c>
      <c r="C705" t="s">
        <v>218</v>
      </c>
      <c r="D705">
        <v>16</v>
      </c>
      <c r="E705">
        <v>264</v>
      </c>
      <c r="F705">
        <v>88</v>
      </c>
      <c r="G705">
        <v>4224</v>
      </c>
      <c r="H705" s="4">
        <v>1408</v>
      </c>
      <c r="I705" s="4">
        <v>2816</v>
      </c>
      <c r="J705" t="s">
        <v>713</v>
      </c>
      <c r="K705" t="s">
        <v>42</v>
      </c>
      <c r="L705" s="4">
        <v>10.956589836772277</v>
      </c>
      <c r="M705" s="1" t="s">
        <v>38</v>
      </c>
      <c r="N705" s="11">
        <f t="shared" si="10"/>
        <v>5</v>
      </c>
    </row>
    <row r="706" spans="1:14" ht="16" x14ac:dyDescent="0.2">
      <c r="A706" s="3">
        <v>43860.488830246002</v>
      </c>
      <c r="B706" s="1" t="s">
        <v>1099</v>
      </c>
      <c r="C706" t="s">
        <v>113</v>
      </c>
      <c r="D706">
        <v>16</v>
      </c>
      <c r="E706">
        <v>66</v>
      </c>
      <c r="F706">
        <v>33</v>
      </c>
      <c r="G706">
        <v>1056</v>
      </c>
      <c r="H706" s="4">
        <v>528</v>
      </c>
      <c r="I706" s="4">
        <v>528</v>
      </c>
      <c r="J706" t="s">
        <v>825</v>
      </c>
      <c r="K706" t="s">
        <v>42</v>
      </c>
      <c r="L706" s="4">
        <v>14.060995290679429</v>
      </c>
      <c r="M706" s="1" t="s">
        <v>34</v>
      </c>
      <c r="N706" s="11">
        <f t="shared" si="10"/>
        <v>1</v>
      </c>
    </row>
    <row r="707" spans="1:14" ht="16" x14ac:dyDescent="0.2">
      <c r="A707" s="3">
        <v>44309.915598280335</v>
      </c>
      <c r="B707" s="1" t="s">
        <v>1100</v>
      </c>
      <c r="C707" t="s">
        <v>503</v>
      </c>
      <c r="D707">
        <v>1</v>
      </c>
      <c r="E707">
        <v>50</v>
      </c>
      <c r="F707">
        <v>25</v>
      </c>
      <c r="G707">
        <v>50</v>
      </c>
      <c r="H707" s="4">
        <v>25</v>
      </c>
      <c r="I707" s="4">
        <v>25</v>
      </c>
      <c r="J707" t="s">
        <v>1101</v>
      </c>
      <c r="K707" t="s">
        <v>33</v>
      </c>
      <c r="L707" s="4">
        <v>9.8776671534059073</v>
      </c>
      <c r="M707" s="1" t="s">
        <v>54</v>
      </c>
      <c r="N707" s="11">
        <f t="shared" ref="N707:N770" si="11">+IF(M707="Dissatisfied",1,IF(M707="Satisfied",10,5))</f>
        <v>10</v>
      </c>
    </row>
    <row r="708" spans="1:14" ht="16" x14ac:dyDescent="0.2">
      <c r="A708" s="3">
        <v>44494.774649767562</v>
      </c>
      <c r="B708" s="1" t="s">
        <v>1102</v>
      </c>
      <c r="C708" t="s">
        <v>120</v>
      </c>
      <c r="D708">
        <v>11</v>
      </c>
      <c r="E708">
        <v>252</v>
      </c>
      <c r="F708">
        <v>63</v>
      </c>
      <c r="G708">
        <v>2772</v>
      </c>
      <c r="H708" s="4">
        <v>693</v>
      </c>
      <c r="I708" s="4">
        <v>2079</v>
      </c>
      <c r="J708" t="s">
        <v>134</v>
      </c>
      <c r="K708" t="s">
        <v>33</v>
      </c>
      <c r="L708" s="4">
        <v>9.4200113153305907</v>
      </c>
      <c r="M708" s="1" t="s">
        <v>34</v>
      </c>
      <c r="N708" s="11">
        <f t="shared" si="11"/>
        <v>1</v>
      </c>
    </row>
    <row r="709" spans="1:14" ht="16" x14ac:dyDescent="0.2">
      <c r="A709" s="3">
        <v>45366.93289919875</v>
      </c>
      <c r="B709" s="1" t="s">
        <v>1103</v>
      </c>
      <c r="C709" t="s">
        <v>218</v>
      </c>
      <c r="D709">
        <v>8</v>
      </c>
      <c r="E709">
        <v>264</v>
      </c>
      <c r="F709">
        <v>88</v>
      </c>
      <c r="G709">
        <v>2112</v>
      </c>
      <c r="H709" s="4">
        <v>704</v>
      </c>
      <c r="I709" s="4">
        <v>1408</v>
      </c>
      <c r="J709" t="s">
        <v>704</v>
      </c>
      <c r="K709" t="s">
        <v>86</v>
      </c>
      <c r="L709" s="4">
        <v>12.699042739101285</v>
      </c>
      <c r="M709" s="1" t="s">
        <v>38</v>
      </c>
      <c r="N709" s="11">
        <f t="shared" si="11"/>
        <v>5</v>
      </c>
    </row>
    <row r="710" spans="1:14" ht="16" x14ac:dyDescent="0.2">
      <c r="A710" s="3">
        <v>43544.272386711091</v>
      </c>
      <c r="B710" s="1" t="s">
        <v>1104</v>
      </c>
      <c r="C710" t="s">
        <v>320</v>
      </c>
      <c r="D710">
        <v>20</v>
      </c>
      <c r="E710">
        <v>280</v>
      </c>
      <c r="F710">
        <v>70</v>
      </c>
      <c r="G710">
        <v>5600</v>
      </c>
      <c r="H710" s="4">
        <v>1400</v>
      </c>
      <c r="I710" s="4">
        <v>4200</v>
      </c>
      <c r="J710" t="s">
        <v>645</v>
      </c>
      <c r="K710" t="s">
        <v>86</v>
      </c>
      <c r="L710" s="4">
        <v>9.879282537628514</v>
      </c>
      <c r="M710" s="1" t="s">
        <v>38</v>
      </c>
      <c r="N710" s="11">
        <f t="shared" si="11"/>
        <v>5</v>
      </c>
    </row>
    <row r="711" spans="1:14" ht="16" x14ac:dyDescent="0.2">
      <c r="A711" s="3">
        <v>43836.672807221672</v>
      </c>
      <c r="B711" s="1" t="s">
        <v>1105</v>
      </c>
      <c r="C711" t="s">
        <v>320</v>
      </c>
      <c r="D711">
        <v>8</v>
      </c>
      <c r="E711">
        <v>280</v>
      </c>
      <c r="F711">
        <v>70</v>
      </c>
      <c r="G711">
        <v>2240</v>
      </c>
      <c r="H711" s="4">
        <v>560</v>
      </c>
      <c r="I711" s="4">
        <v>1680</v>
      </c>
      <c r="J711" t="s">
        <v>474</v>
      </c>
      <c r="K711" t="s">
        <v>33</v>
      </c>
      <c r="L711" s="4">
        <v>9.629298039722805</v>
      </c>
      <c r="M711" s="1" t="s">
        <v>38</v>
      </c>
      <c r="N711" s="11">
        <f t="shared" si="11"/>
        <v>5</v>
      </c>
    </row>
    <row r="712" spans="1:14" ht="16" x14ac:dyDescent="0.2">
      <c r="A712" s="3">
        <v>44267.599701939776</v>
      </c>
      <c r="B712" s="1" t="s">
        <v>1106</v>
      </c>
      <c r="C712" t="s">
        <v>259</v>
      </c>
      <c r="D712">
        <v>8</v>
      </c>
      <c r="E712">
        <v>270</v>
      </c>
      <c r="F712">
        <v>90</v>
      </c>
      <c r="G712">
        <v>2160</v>
      </c>
      <c r="H712" s="4">
        <v>720</v>
      </c>
      <c r="I712" s="4">
        <v>1440</v>
      </c>
      <c r="J712" t="s">
        <v>1107</v>
      </c>
      <c r="K712" t="s">
        <v>53</v>
      </c>
      <c r="L712" s="4">
        <v>10.28240320324797</v>
      </c>
      <c r="M712" s="1" t="s">
        <v>38</v>
      </c>
      <c r="N712" s="11">
        <f t="shared" si="11"/>
        <v>5</v>
      </c>
    </row>
    <row r="713" spans="1:14" ht="16" x14ac:dyDescent="0.2">
      <c r="A713" s="3">
        <v>44344.41017612951</v>
      </c>
      <c r="B713" s="1" t="s">
        <v>1108</v>
      </c>
      <c r="C713" t="s">
        <v>101</v>
      </c>
      <c r="D713">
        <v>17</v>
      </c>
      <c r="E713">
        <v>50</v>
      </c>
      <c r="F713">
        <v>25</v>
      </c>
      <c r="G713">
        <v>850</v>
      </c>
      <c r="H713" s="4">
        <v>425</v>
      </c>
      <c r="I713" s="4">
        <v>425</v>
      </c>
      <c r="J713" t="s">
        <v>611</v>
      </c>
      <c r="K713" t="s">
        <v>58</v>
      </c>
      <c r="L713" s="4">
        <v>7.8974070387684714</v>
      </c>
      <c r="M713" s="1" t="s">
        <v>38</v>
      </c>
      <c r="N713" s="11">
        <f t="shared" si="11"/>
        <v>5</v>
      </c>
    </row>
    <row r="714" spans="1:14" ht="16" x14ac:dyDescent="0.2">
      <c r="A714" s="3">
        <v>43907.837025396977</v>
      </c>
      <c r="B714" s="1" t="s">
        <v>1109</v>
      </c>
      <c r="C714" t="s">
        <v>386</v>
      </c>
      <c r="D714">
        <v>18</v>
      </c>
      <c r="E714">
        <v>110</v>
      </c>
      <c r="F714">
        <v>55</v>
      </c>
      <c r="G714">
        <v>1980</v>
      </c>
      <c r="H714" s="4">
        <v>990</v>
      </c>
      <c r="I714" s="4">
        <v>990</v>
      </c>
      <c r="J714" t="s">
        <v>767</v>
      </c>
      <c r="K714" t="s">
        <v>42</v>
      </c>
      <c r="L714" s="4">
        <v>11.289144410898391</v>
      </c>
      <c r="M714" s="1" t="s">
        <v>38</v>
      </c>
      <c r="N714" s="11">
        <f t="shared" si="11"/>
        <v>5</v>
      </c>
    </row>
    <row r="715" spans="1:14" ht="16" x14ac:dyDescent="0.2">
      <c r="A715" s="3">
        <v>44464.984899783231</v>
      </c>
      <c r="B715" s="1" t="s">
        <v>1110</v>
      </c>
      <c r="C715" t="s">
        <v>204</v>
      </c>
      <c r="D715">
        <v>1</v>
      </c>
      <c r="E715">
        <v>57</v>
      </c>
      <c r="F715">
        <v>19</v>
      </c>
      <c r="G715">
        <v>57</v>
      </c>
      <c r="H715" s="4">
        <v>19</v>
      </c>
      <c r="I715" s="4">
        <v>38</v>
      </c>
      <c r="J715" t="s">
        <v>216</v>
      </c>
      <c r="K715" t="s">
        <v>58</v>
      </c>
      <c r="L715" s="4">
        <v>15.556812309269255</v>
      </c>
      <c r="M715" s="1" t="s">
        <v>38</v>
      </c>
      <c r="N715" s="11">
        <f t="shared" si="11"/>
        <v>5</v>
      </c>
    </row>
    <row r="716" spans="1:14" ht="16" x14ac:dyDescent="0.2">
      <c r="A716" s="3">
        <v>43679.169037668493</v>
      </c>
      <c r="B716" s="1" t="s">
        <v>911</v>
      </c>
      <c r="C716" t="s">
        <v>75</v>
      </c>
      <c r="D716">
        <v>17</v>
      </c>
      <c r="E716">
        <v>76</v>
      </c>
      <c r="F716">
        <v>19</v>
      </c>
      <c r="G716">
        <v>1292</v>
      </c>
      <c r="H716" s="4">
        <v>323</v>
      </c>
      <c r="I716" s="4">
        <v>969</v>
      </c>
      <c r="J716" t="s">
        <v>310</v>
      </c>
      <c r="K716" t="s">
        <v>58</v>
      </c>
      <c r="L716" s="4">
        <v>11.03324198943719</v>
      </c>
      <c r="M716" s="1" t="s">
        <v>54</v>
      </c>
      <c r="N716" s="11">
        <f t="shared" si="11"/>
        <v>10</v>
      </c>
    </row>
    <row r="717" spans="1:14" ht="16" x14ac:dyDescent="0.2">
      <c r="A717" s="3">
        <v>44039.421432197269</v>
      </c>
      <c r="B717" s="1" t="s">
        <v>1111</v>
      </c>
      <c r="C717" t="s">
        <v>115</v>
      </c>
      <c r="D717">
        <v>12</v>
      </c>
      <c r="E717">
        <v>81</v>
      </c>
      <c r="F717">
        <v>27</v>
      </c>
      <c r="G717">
        <v>972</v>
      </c>
      <c r="H717" s="4">
        <v>324</v>
      </c>
      <c r="I717" s="4">
        <v>648</v>
      </c>
      <c r="J717" t="s">
        <v>290</v>
      </c>
      <c r="K717" t="s">
        <v>86</v>
      </c>
      <c r="L717" s="4">
        <v>12.758430621858414</v>
      </c>
      <c r="M717" s="1" t="s">
        <v>38</v>
      </c>
      <c r="N717" s="11">
        <f t="shared" si="11"/>
        <v>5</v>
      </c>
    </row>
    <row r="718" spans="1:14" ht="16" x14ac:dyDescent="0.2">
      <c r="A718" s="3">
        <v>43666.199065920853</v>
      </c>
      <c r="B718" s="1" t="s">
        <v>1112</v>
      </c>
      <c r="C718" t="s">
        <v>266</v>
      </c>
      <c r="D718">
        <v>2</v>
      </c>
      <c r="E718">
        <v>50</v>
      </c>
      <c r="F718">
        <v>25</v>
      </c>
      <c r="G718">
        <v>100</v>
      </c>
      <c r="H718" s="4">
        <v>50</v>
      </c>
      <c r="I718" s="4">
        <v>50</v>
      </c>
      <c r="J718" t="s">
        <v>851</v>
      </c>
      <c r="K718" t="s">
        <v>49</v>
      </c>
      <c r="L718" s="4">
        <v>9.5176115401380308</v>
      </c>
      <c r="M718" s="1" t="s">
        <v>38</v>
      </c>
      <c r="N718" s="11">
        <f t="shared" si="11"/>
        <v>5</v>
      </c>
    </row>
    <row r="719" spans="1:14" ht="16" x14ac:dyDescent="0.2">
      <c r="A719" s="3">
        <v>43593.779412353695</v>
      </c>
      <c r="B719" s="1" t="s">
        <v>1113</v>
      </c>
      <c r="C719" t="s">
        <v>62</v>
      </c>
      <c r="D719">
        <v>10</v>
      </c>
      <c r="E719">
        <v>80</v>
      </c>
      <c r="F719">
        <v>20</v>
      </c>
      <c r="G719">
        <v>800</v>
      </c>
      <c r="H719" s="4">
        <v>200</v>
      </c>
      <c r="I719" s="4">
        <v>600</v>
      </c>
      <c r="J719" t="s">
        <v>653</v>
      </c>
      <c r="K719" t="s">
        <v>86</v>
      </c>
      <c r="L719" s="4">
        <v>12.869841591513939</v>
      </c>
      <c r="M719" s="1" t="s">
        <v>34</v>
      </c>
      <c r="N719" s="11">
        <f t="shared" si="11"/>
        <v>1</v>
      </c>
    </row>
    <row r="720" spans="1:14" ht="16" x14ac:dyDescent="0.2">
      <c r="A720" s="3">
        <v>45064.927526548534</v>
      </c>
      <c r="B720" s="1" t="s">
        <v>1114</v>
      </c>
      <c r="C720" t="s">
        <v>779</v>
      </c>
      <c r="D720">
        <v>9</v>
      </c>
      <c r="E720">
        <v>120</v>
      </c>
      <c r="F720">
        <v>30</v>
      </c>
      <c r="G720">
        <v>1080</v>
      </c>
      <c r="H720" s="4">
        <v>270</v>
      </c>
      <c r="I720" s="4">
        <v>810</v>
      </c>
      <c r="J720" t="s">
        <v>701</v>
      </c>
      <c r="K720" t="s">
        <v>42</v>
      </c>
      <c r="L720" s="4">
        <v>10.434860153112215</v>
      </c>
      <c r="M720" s="1" t="s">
        <v>54</v>
      </c>
      <c r="N720" s="11">
        <f t="shared" si="11"/>
        <v>10</v>
      </c>
    </row>
    <row r="721" spans="1:14" ht="16" x14ac:dyDescent="0.2">
      <c r="A721" s="3">
        <v>44923.501683954833</v>
      </c>
      <c r="B721" s="1" t="s">
        <v>1115</v>
      </c>
      <c r="C721" t="s">
        <v>145</v>
      </c>
      <c r="D721">
        <v>14</v>
      </c>
      <c r="E721">
        <v>207</v>
      </c>
      <c r="F721">
        <v>69</v>
      </c>
      <c r="G721">
        <v>2898</v>
      </c>
      <c r="H721" s="4">
        <v>966</v>
      </c>
      <c r="I721" s="4">
        <v>1932</v>
      </c>
      <c r="J721" t="s">
        <v>338</v>
      </c>
      <c r="K721" t="s">
        <v>64</v>
      </c>
      <c r="L721" s="4">
        <v>10.132922049221957</v>
      </c>
      <c r="M721" s="1" t="s">
        <v>38</v>
      </c>
      <c r="N721" s="11">
        <f t="shared" si="11"/>
        <v>5</v>
      </c>
    </row>
    <row r="722" spans="1:14" ht="16" x14ac:dyDescent="0.2">
      <c r="A722" s="3">
        <v>43912.281112208577</v>
      </c>
      <c r="B722" s="1" t="s">
        <v>1116</v>
      </c>
      <c r="C722" t="s">
        <v>154</v>
      </c>
      <c r="D722">
        <v>20</v>
      </c>
      <c r="E722">
        <v>308</v>
      </c>
      <c r="F722">
        <v>77</v>
      </c>
      <c r="G722">
        <v>6160</v>
      </c>
      <c r="H722" s="4">
        <v>1540</v>
      </c>
      <c r="I722" s="4">
        <v>4620</v>
      </c>
      <c r="J722" t="s">
        <v>335</v>
      </c>
      <c r="K722" t="s">
        <v>53</v>
      </c>
      <c r="L722" s="4">
        <v>12.148236977735172</v>
      </c>
      <c r="M722" s="1" t="s">
        <v>38</v>
      </c>
      <c r="N722" s="11">
        <f t="shared" si="11"/>
        <v>5</v>
      </c>
    </row>
    <row r="723" spans="1:14" ht="16" x14ac:dyDescent="0.2">
      <c r="A723" s="3">
        <v>43331.808030382621</v>
      </c>
      <c r="B723" s="1" t="s">
        <v>1117</v>
      </c>
      <c r="C723" t="s">
        <v>136</v>
      </c>
      <c r="D723">
        <v>17</v>
      </c>
      <c r="E723">
        <v>154</v>
      </c>
      <c r="F723">
        <v>77</v>
      </c>
      <c r="G723">
        <v>2618</v>
      </c>
      <c r="H723" s="4">
        <v>1309</v>
      </c>
      <c r="I723" s="4">
        <v>1309</v>
      </c>
      <c r="J723" t="s">
        <v>423</v>
      </c>
      <c r="K723" t="s">
        <v>86</v>
      </c>
      <c r="L723" s="4">
        <v>10.813269600021069</v>
      </c>
      <c r="M723" s="1" t="s">
        <v>34</v>
      </c>
      <c r="N723" s="11">
        <f t="shared" si="11"/>
        <v>1</v>
      </c>
    </row>
    <row r="724" spans="1:14" ht="16" x14ac:dyDescent="0.2">
      <c r="A724" s="3">
        <v>44055.147897141294</v>
      </c>
      <c r="B724" s="1" t="s">
        <v>1118</v>
      </c>
      <c r="C724" t="s">
        <v>259</v>
      </c>
      <c r="D724">
        <v>1</v>
      </c>
      <c r="E724">
        <v>270</v>
      </c>
      <c r="F724">
        <v>90</v>
      </c>
      <c r="G724">
        <v>270</v>
      </c>
      <c r="H724" s="4">
        <v>90</v>
      </c>
      <c r="I724" s="4">
        <v>180</v>
      </c>
      <c r="J724" t="s">
        <v>531</v>
      </c>
      <c r="K724" t="s">
        <v>58</v>
      </c>
      <c r="L724" s="4">
        <v>14.064516999204997</v>
      </c>
      <c r="M724" s="1" t="s">
        <v>38</v>
      </c>
      <c r="N724" s="11">
        <f t="shared" si="11"/>
        <v>5</v>
      </c>
    </row>
    <row r="725" spans="1:14" ht="16" x14ac:dyDescent="0.2">
      <c r="A725" s="3">
        <v>44106.988919461088</v>
      </c>
      <c r="B725" s="1" t="s">
        <v>1119</v>
      </c>
      <c r="C725" t="s">
        <v>40</v>
      </c>
      <c r="D725">
        <v>10</v>
      </c>
      <c r="E725">
        <v>46</v>
      </c>
      <c r="F725">
        <v>23</v>
      </c>
      <c r="G725">
        <v>460</v>
      </c>
      <c r="H725" s="4">
        <v>230</v>
      </c>
      <c r="I725" s="4">
        <v>230</v>
      </c>
      <c r="J725" t="s">
        <v>169</v>
      </c>
      <c r="K725" t="s">
        <v>33</v>
      </c>
      <c r="L725" s="4">
        <v>15.121383064708469</v>
      </c>
      <c r="M725" s="1" t="s">
        <v>38</v>
      </c>
      <c r="N725" s="11">
        <f t="shared" si="11"/>
        <v>5</v>
      </c>
    </row>
    <row r="726" spans="1:14" ht="16" x14ac:dyDescent="0.2">
      <c r="A726" s="3">
        <v>44305.733670444628</v>
      </c>
      <c r="B726" s="1" t="s">
        <v>1120</v>
      </c>
      <c r="C726" t="s">
        <v>142</v>
      </c>
      <c r="D726">
        <v>17</v>
      </c>
      <c r="E726">
        <v>210</v>
      </c>
      <c r="F726">
        <v>70</v>
      </c>
      <c r="G726">
        <v>3570</v>
      </c>
      <c r="H726" s="4">
        <v>1190</v>
      </c>
      <c r="I726" s="4">
        <v>2380</v>
      </c>
      <c r="J726" t="s">
        <v>442</v>
      </c>
      <c r="K726" t="s">
        <v>58</v>
      </c>
      <c r="L726" s="4">
        <v>16.429355109701351</v>
      </c>
      <c r="M726" s="1" t="s">
        <v>54</v>
      </c>
      <c r="N726" s="11">
        <f t="shared" si="11"/>
        <v>10</v>
      </c>
    </row>
    <row r="727" spans="1:14" ht="16" x14ac:dyDescent="0.2">
      <c r="A727" s="3">
        <v>43959.550621078815</v>
      </c>
      <c r="B727" s="1" t="s">
        <v>1121</v>
      </c>
      <c r="C727" t="s">
        <v>255</v>
      </c>
      <c r="D727">
        <v>15</v>
      </c>
      <c r="E727">
        <v>140</v>
      </c>
      <c r="F727">
        <v>70</v>
      </c>
      <c r="G727">
        <v>2100</v>
      </c>
      <c r="H727" s="4">
        <v>1050</v>
      </c>
      <c r="I727" s="4">
        <v>1050</v>
      </c>
      <c r="J727" t="s">
        <v>616</v>
      </c>
      <c r="K727" t="s">
        <v>49</v>
      </c>
      <c r="L727" s="4">
        <v>13.466362789017223</v>
      </c>
      <c r="M727" s="1" t="s">
        <v>54</v>
      </c>
      <c r="N727" s="11">
        <f t="shared" si="11"/>
        <v>10</v>
      </c>
    </row>
    <row r="728" spans="1:14" ht="16" x14ac:dyDescent="0.2">
      <c r="A728" s="3">
        <v>43931.682065085588</v>
      </c>
      <c r="B728" s="1" t="s">
        <v>1122</v>
      </c>
      <c r="C728" t="s">
        <v>44</v>
      </c>
      <c r="D728">
        <v>17</v>
      </c>
      <c r="E728">
        <v>114</v>
      </c>
      <c r="F728">
        <v>57</v>
      </c>
      <c r="G728">
        <v>1938</v>
      </c>
      <c r="H728" s="4">
        <v>969</v>
      </c>
      <c r="I728" s="4">
        <v>969</v>
      </c>
      <c r="J728" t="s">
        <v>210</v>
      </c>
      <c r="K728" t="s">
        <v>58</v>
      </c>
      <c r="L728" s="4">
        <v>11.995406972581796</v>
      </c>
      <c r="M728" s="1" t="s">
        <v>38</v>
      </c>
      <c r="N728" s="11">
        <f t="shared" si="11"/>
        <v>5</v>
      </c>
    </row>
    <row r="729" spans="1:14" ht="16" x14ac:dyDescent="0.2">
      <c r="A729" s="3">
        <v>45352.518674420426</v>
      </c>
      <c r="B729" s="1" t="s">
        <v>1123</v>
      </c>
      <c r="C729" t="s">
        <v>139</v>
      </c>
      <c r="D729">
        <v>3</v>
      </c>
      <c r="E729">
        <v>320</v>
      </c>
      <c r="F729">
        <v>80</v>
      </c>
      <c r="G729">
        <v>960</v>
      </c>
      <c r="H729" s="4">
        <v>240</v>
      </c>
      <c r="I729" s="4">
        <v>720</v>
      </c>
      <c r="J729" t="s">
        <v>795</v>
      </c>
      <c r="K729" t="s">
        <v>49</v>
      </c>
      <c r="L729" s="4">
        <v>11.661237375491201</v>
      </c>
      <c r="M729" s="1" t="s">
        <v>54</v>
      </c>
      <c r="N729" s="11">
        <f t="shared" si="11"/>
        <v>10</v>
      </c>
    </row>
    <row r="730" spans="1:14" ht="16" x14ac:dyDescent="0.2">
      <c r="A730" s="3">
        <v>43974.762926119285</v>
      </c>
      <c r="B730" s="1" t="s">
        <v>1124</v>
      </c>
      <c r="C730" t="s">
        <v>145</v>
      </c>
      <c r="D730">
        <v>19</v>
      </c>
      <c r="E730">
        <v>207</v>
      </c>
      <c r="F730">
        <v>69</v>
      </c>
      <c r="G730">
        <v>3933</v>
      </c>
      <c r="H730" s="4">
        <v>1311</v>
      </c>
      <c r="I730" s="4">
        <v>2622</v>
      </c>
      <c r="J730" t="s">
        <v>277</v>
      </c>
      <c r="K730" t="s">
        <v>58</v>
      </c>
      <c r="L730" s="4">
        <v>11.883396013219548</v>
      </c>
      <c r="M730" s="1" t="s">
        <v>38</v>
      </c>
      <c r="N730" s="11">
        <f t="shared" si="11"/>
        <v>5</v>
      </c>
    </row>
    <row r="731" spans="1:14" ht="16" x14ac:dyDescent="0.2">
      <c r="A731" s="3">
        <v>43309.351924984359</v>
      </c>
      <c r="B731" s="1" t="s">
        <v>1125</v>
      </c>
      <c r="C731" t="s">
        <v>487</v>
      </c>
      <c r="D731">
        <v>8</v>
      </c>
      <c r="E731">
        <v>264</v>
      </c>
      <c r="F731">
        <v>88</v>
      </c>
      <c r="G731">
        <v>2112</v>
      </c>
      <c r="H731" s="4">
        <v>704</v>
      </c>
      <c r="I731" s="4">
        <v>1408</v>
      </c>
      <c r="J731" t="s">
        <v>1126</v>
      </c>
      <c r="K731" t="s">
        <v>64</v>
      </c>
      <c r="L731" s="4">
        <v>11.593991859287692</v>
      </c>
      <c r="M731" s="1" t="s">
        <v>38</v>
      </c>
      <c r="N731" s="11">
        <f t="shared" si="11"/>
        <v>5</v>
      </c>
    </row>
    <row r="732" spans="1:14" ht="16" x14ac:dyDescent="0.2">
      <c r="A732" s="3">
        <v>44448.322284205446</v>
      </c>
      <c r="B732" s="1" t="s">
        <v>1127</v>
      </c>
      <c r="C732" t="s">
        <v>261</v>
      </c>
      <c r="D732">
        <v>13</v>
      </c>
      <c r="E732">
        <v>92</v>
      </c>
      <c r="F732">
        <v>46</v>
      </c>
      <c r="G732">
        <v>1196</v>
      </c>
      <c r="H732" s="4">
        <v>598</v>
      </c>
      <c r="I732" s="4">
        <v>598</v>
      </c>
      <c r="J732" t="s">
        <v>270</v>
      </c>
      <c r="K732" t="s">
        <v>42</v>
      </c>
      <c r="L732" s="4">
        <v>12.661538237835474</v>
      </c>
      <c r="M732" s="1" t="s">
        <v>38</v>
      </c>
      <c r="N732" s="11">
        <f t="shared" si="11"/>
        <v>5</v>
      </c>
    </row>
    <row r="733" spans="1:14" ht="16" x14ac:dyDescent="0.2">
      <c r="A733" s="3">
        <v>43906.820164557081</v>
      </c>
      <c r="B733" s="1" t="s">
        <v>1128</v>
      </c>
      <c r="C733" t="s">
        <v>370</v>
      </c>
      <c r="D733">
        <v>8</v>
      </c>
      <c r="E733">
        <v>144</v>
      </c>
      <c r="F733">
        <v>36</v>
      </c>
      <c r="G733">
        <v>1152</v>
      </c>
      <c r="H733" s="4">
        <v>288</v>
      </c>
      <c r="I733" s="4">
        <v>864</v>
      </c>
      <c r="J733" t="s">
        <v>1129</v>
      </c>
      <c r="K733" t="s">
        <v>33</v>
      </c>
      <c r="L733" s="4">
        <v>10.585251392347548</v>
      </c>
      <c r="M733" s="1" t="s">
        <v>38</v>
      </c>
      <c r="N733" s="11">
        <f t="shared" si="11"/>
        <v>5</v>
      </c>
    </row>
    <row r="734" spans="1:14" ht="16" x14ac:dyDescent="0.2">
      <c r="A734" s="3">
        <v>43341.571211969895</v>
      </c>
      <c r="B734" s="1" t="s">
        <v>1130</v>
      </c>
      <c r="C734" t="s">
        <v>266</v>
      </c>
      <c r="D734">
        <v>8</v>
      </c>
      <c r="E734">
        <v>50</v>
      </c>
      <c r="F734">
        <v>25</v>
      </c>
      <c r="G734">
        <v>400</v>
      </c>
      <c r="H734" s="4">
        <v>200</v>
      </c>
      <c r="I734" s="4">
        <v>200</v>
      </c>
      <c r="J734" t="s">
        <v>767</v>
      </c>
      <c r="K734" t="s">
        <v>42</v>
      </c>
      <c r="L734" s="4">
        <v>11.289144410898391</v>
      </c>
      <c r="M734" s="1" t="s">
        <v>38</v>
      </c>
      <c r="N734" s="11">
        <f t="shared" si="11"/>
        <v>5</v>
      </c>
    </row>
    <row r="735" spans="1:14" ht="16" x14ac:dyDescent="0.2">
      <c r="A735" s="3">
        <v>43811.143297104965</v>
      </c>
      <c r="B735" s="1" t="s">
        <v>1131</v>
      </c>
      <c r="C735" t="s">
        <v>136</v>
      </c>
      <c r="D735">
        <v>15</v>
      </c>
      <c r="E735">
        <v>154</v>
      </c>
      <c r="F735">
        <v>77</v>
      </c>
      <c r="G735">
        <v>2310</v>
      </c>
      <c r="H735" s="4">
        <v>1155</v>
      </c>
      <c r="I735" s="4">
        <v>1155</v>
      </c>
      <c r="J735" t="s">
        <v>569</v>
      </c>
      <c r="K735" t="s">
        <v>33</v>
      </c>
      <c r="L735" s="4">
        <v>12.921682080641304</v>
      </c>
      <c r="M735" s="1" t="s">
        <v>38</v>
      </c>
      <c r="N735" s="11">
        <f t="shared" si="11"/>
        <v>5</v>
      </c>
    </row>
    <row r="736" spans="1:14" ht="16" x14ac:dyDescent="0.2">
      <c r="A736" s="3">
        <v>44515.872722913678</v>
      </c>
      <c r="B736" s="1" t="s">
        <v>1132</v>
      </c>
      <c r="C736" t="s">
        <v>110</v>
      </c>
      <c r="D736">
        <v>5</v>
      </c>
      <c r="E736">
        <v>144</v>
      </c>
      <c r="F736">
        <v>36</v>
      </c>
      <c r="G736">
        <v>720</v>
      </c>
      <c r="H736" s="4">
        <v>180</v>
      </c>
      <c r="I736" s="4">
        <v>540</v>
      </c>
      <c r="J736" t="s">
        <v>686</v>
      </c>
      <c r="K736" t="s">
        <v>86</v>
      </c>
      <c r="L736" s="4">
        <v>8.1595626482464514</v>
      </c>
      <c r="M736" s="1" t="s">
        <v>34</v>
      </c>
      <c r="N736" s="11">
        <f t="shared" si="11"/>
        <v>1</v>
      </c>
    </row>
    <row r="737" spans="1:14" ht="16" x14ac:dyDescent="0.2">
      <c r="A737" s="3">
        <v>43954.702196325918</v>
      </c>
      <c r="B737" s="1" t="s">
        <v>1133</v>
      </c>
      <c r="C737" t="s">
        <v>98</v>
      </c>
      <c r="D737">
        <v>5</v>
      </c>
      <c r="E737">
        <v>156</v>
      </c>
      <c r="F737">
        <v>78</v>
      </c>
      <c r="G737">
        <v>780</v>
      </c>
      <c r="H737" s="4">
        <v>390</v>
      </c>
      <c r="I737" s="4">
        <v>390</v>
      </c>
      <c r="J737" t="s">
        <v>477</v>
      </c>
      <c r="K737" t="s">
        <v>53</v>
      </c>
      <c r="L737" s="4">
        <v>14.845213075061906</v>
      </c>
      <c r="M737" s="1" t="s">
        <v>54</v>
      </c>
      <c r="N737" s="11">
        <f t="shared" si="11"/>
        <v>10</v>
      </c>
    </row>
    <row r="738" spans="1:14" ht="16" x14ac:dyDescent="0.2">
      <c r="A738" s="3">
        <v>43716.925136894555</v>
      </c>
      <c r="B738" s="1" t="s">
        <v>1134</v>
      </c>
      <c r="C738" t="s">
        <v>36</v>
      </c>
      <c r="D738">
        <v>14</v>
      </c>
      <c r="E738">
        <v>102</v>
      </c>
      <c r="F738">
        <v>51</v>
      </c>
      <c r="G738">
        <v>1428</v>
      </c>
      <c r="H738" s="4">
        <v>714</v>
      </c>
      <c r="I738" s="4">
        <v>714</v>
      </c>
      <c r="J738" t="s">
        <v>958</v>
      </c>
      <c r="K738" t="s">
        <v>58</v>
      </c>
      <c r="L738" s="4">
        <v>9.1591412531773226</v>
      </c>
      <c r="M738" s="1" t="s">
        <v>38</v>
      </c>
      <c r="N738" s="11">
        <f t="shared" si="11"/>
        <v>5</v>
      </c>
    </row>
    <row r="739" spans="1:14" ht="16" x14ac:dyDescent="0.2">
      <c r="A739" s="3">
        <v>44735.073664884381</v>
      </c>
      <c r="B739" s="1" t="s">
        <v>1135</v>
      </c>
      <c r="C739" t="s">
        <v>113</v>
      </c>
      <c r="D739">
        <v>20</v>
      </c>
      <c r="E739">
        <v>66</v>
      </c>
      <c r="F739">
        <v>33</v>
      </c>
      <c r="G739">
        <v>1320</v>
      </c>
      <c r="H739" s="4">
        <v>660</v>
      </c>
      <c r="I739" s="4">
        <v>660</v>
      </c>
      <c r="J739" t="s">
        <v>1136</v>
      </c>
      <c r="K739" t="s">
        <v>49</v>
      </c>
      <c r="L739" s="4">
        <v>14.129095302641241</v>
      </c>
      <c r="M739" s="1" t="s">
        <v>34</v>
      </c>
      <c r="N739" s="11">
        <f t="shared" si="11"/>
        <v>1</v>
      </c>
    </row>
    <row r="740" spans="1:14" ht="16" x14ac:dyDescent="0.2">
      <c r="A740" s="3">
        <v>43830.102570736904</v>
      </c>
      <c r="B740" s="1" t="s">
        <v>1137</v>
      </c>
      <c r="C740" t="s">
        <v>288</v>
      </c>
      <c r="D740">
        <v>5</v>
      </c>
      <c r="E740">
        <v>48</v>
      </c>
      <c r="F740">
        <v>24</v>
      </c>
      <c r="G740">
        <v>240</v>
      </c>
      <c r="H740" s="4">
        <v>120</v>
      </c>
      <c r="I740" s="4">
        <v>120</v>
      </c>
      <c r="J740" t="s">
        <v>1138</v>
      </c>
      <c r="K740" t="s">
        <v>64</v>
      </c>
      <c r="L740" s="4">
        <v>13.601235361661526</v>
      </c>
      <c r="M740" s="1" t="s">
        <v>38</v>
      </c>
      <c r="N740" s="11">
        <f t="shared" si="11"/>
        <v>5</v>
      </c>
    </row>
    <row r="741" spans="1:14" ht="16" x14ac:dyDescent="0.2">
      <c r="A741" s="3">
        <v>43088.828264292082</v>
      </c>
      <c r="B741" s="1" t="s">
        <v>1139</v>
      </c>
      <c r="C741" t="s">
        <v>130</v>
      </c>
      <c r="D741">
        <v>6</v>
      </c>
      <c r="E741">
        <v>144</v>
      </c>
      <c r="F741">
        <v>48</v>
      </c>
      <c r="G741">
        <v>864</v>
      </c>
      <c r="H741" s="4">
        <v>288</v>
      </c>
      <c r="I741" s="4">
        <v>576</v>
      </c>
      <c r="J741" t="s">
        <v>123</v>
      </c>
      <c r="K741" t="s">
        <v>53</v>
      </c>
      <c r="L741" s="4">
        <v>10.42743035829395</v>
      </c>
      <c r="M741" s="1" t="s">
        <v>38</v>
      </c>
      <c r="N741" s="11">
        <f t="shared" si="11"/>
        <v>5</v>
      </c>
    </row>
    <row r="742" spans="1:14" ht="16" x14ac:dyDescent="0.2">
      <c r="A742" s="3">
        <v>43809.63368077085</v>
      </c>
      <c r="B742" s="1" t="s">
        <v>1140</v>
      </c>
      <c r="C742" t="s">
        <v>84</v>
      </c>
      <c r="D742">
        <v>13</v>
      </c>
      <c r="E742">
        <v>126</v>
      </c>
      <c r="F742">
        <v>42</v>
      </c>
      <c r="G742">
        <v>1638</v>
      </c>
      <c r="H742" s="4">
        <v>546</v>
      </c>
      <c r="I742" s="4">
        <v>1092</v>
      </c>
      <c r="J742" t="s">
        <v>401</v>
      </c>
      <c r="K742" t="s">
        <v>58</v>
      </c>
      <c r="L742" s="4">
        <v>11.394777319422785</v>
      </c>
      <c r="M742" s="1" t="s">
        <v>38</v>
      </c>
      <c r="N742" s="11">
        <f t="shared" si="11"/>
        <v>5</v>
      </c>
    </row>
    <row r="743" spans="1:14" ht="16" x14ac:dyDescent="0.2">
      <c r="A743" s="3">
        <v>44701.264846204445</v>
      </c>
      <c r="B743" s="1" t="s">
        <v>1141</v>
      </c>
      <c r="C743" t="s">
        <v>151</v>
      </c>
      <c r="D743">
        <v>20</v>
      </c>
      <c r="E743">
        <v>153</v>
      </c>
      <c r="F743">
        <v>51</v>
      </c>
      <c r="G743">
        <v>3060</v>
      </c>
      <c r="H743" s="4">
        <v>1020</v>
      </c>
      <c r="I743" s="4">
        <v>2040</v>
      </c>
      <c r="J743" t="s">
        <v>616</v>
      </c>
      <c r="K743" t="s">
        <v>49</v>
      </c>
      <c r="L743" s="4">
        <v>13.466362789017223</v>
      </c>
      <c r="M743" s="1" t="s">
        <v>38</v>
      </c>
      <c r="N743" s="11">
        <f t="shared" si="11"/>
        <v>5</v>
      </c>
    </row>
    <row r="744" spans="1:14" ht="16" x14ac:dyDescent="0.2">
      <c r="A744" s="3">
        <v>44408.79535448231</v>
      </c>
      <c r="B744" s="1" t="s">
        <v>1142</v>
      </c>
      <c r="C744" t="s">
        <v>227</v>
      </c>
      <c r="D744">
        <v>2</v>
      </c>
      <c r="E744">
        <v>144</v>
      </c>
      <c r="F744">
        <v>48</v>
      </c>
      <c r="G744">
        <v>288</v>
      </c>
      <c r="H744" s="4">
        <v>96</v>
      </c>
      <c r="I744" s="4">
        <v>192</v>
      </c>
      <c r="J744" t="s">
        <v>854</v>
      </c>
      <c r="K744" t="s">
        <v>58</v>
      </c>
      <c r="L744" s="4">
        <v>12.990345718839325</v>
      </c>
      <c r="M744" s="1" t="s">
        <v>38</v>
      </c>
      <c r="N744" s="11">
        <f t="shared" si="11"/>
        <v>5</v>
      </c>
    </row>
    <row r="745" spans="1:14" ht="16" x14ac:dyDescent="0.2">
      <c r="A745" s="3">
        <v>44454.96555250138</v>
      </c>
      <c r="B745" s="1" t="s">
        <v>1143</v>
      </c>
      <c r="C745" t="s">
        <v>105</v>
      </c>
      <c r="D745">
        <v>16</v>
      </c>
      <c r="E745">
        <v>201</v>
      </c>
      <c r="F745">
        <v>67</v>
      </c>
      <c r="G745">
        <v>3216</v>
      </c>
      <c r="H745" s="4">
        <v>1072</v>
      </c>
      <c r="I745" s="4">
        <v>2144</v>
      </c>
      <c r="J745" t="s">
        <v>557</v>
      </c>
      <c r="K745" t="s">
        <v>64</v>
      </c>
      <c r="L745" s="4">
        <v>10.037135914792184</v>
      </c>
      <c r="M745" s="1" t="s">
        <v>38</v>
      </c>
      <c r="N745" s="11">
        <f t="shared" si="11"/>
        <v>5</v>
      </c>
    </row>
    <row r="746" spans="1:14" ht="16" x14ac:dyDescent="0.2">
      <c r="A746" s="3">
        <v>44498.271906606315</v>
      </c>
      <c r="B746" s="1" t="s">
        <v>1144</v>
      </c>
      <c r="C746" t="s">
        <v>304</v>
      </c>
      <c r="D746">
        <v>10</v>
      </c>
      <c r="E746">
        <v>116</v>
      </c>
      <c r="F746">
        <v>29</v>
      </c>
      <c r="G746">
        <v>1160</v>
      </c>
      <c r="H746" s="4">
        <v>290</v>
      </c>
      <c r="I746" s="4">
        <v>870</v>
      </c>
      <c r="J746" t="s">
        <v>492</v>
      </c>
      <c r="K746" t="s">
        <v>33</v>
      </c>
      <c r="L746" s="4">
        <v>11.799431383856128</v>
      </c>
      <c r="M746" s="1" t="s">
        <v>54</v>
      </c>
      <c r="N746" s="11">
        <f t="shared" si="11"/>
        <v>10</v>
      </c>
    </row>
    <row r="747" spans="1:14" ht="16" x14ac:dyDescent="0.2">
      <c r="A747" s="3">
        <v>43718.768292573332</v>
      </c>
      <c r="B747" s="1" t="s">
        <v>1145</v>
      </c>
      <c r="C747" t="s">
        <v>148</v>
      </c>
      <c r="D747">
        <v>15</v>
      </c>
      <c r="E747">
        <v>144</v>
      </c>
      <c r="F747">
        <v>36</v>
      </c>
      <c r="G747">
        <v>2160</v>
      </c>
      <c r="H747" s="4">
        <v>540</v>
      </c>
      <c r="I747" s="4">
        <v>1620</v>
      </c>
      <c r="J747" t="s">
        <v>52</v>
      </c>
      <c r="K747" t="s">
        <v>53</v>
      </c>
      <c r="L747" s="4">
        <v>12.169266722245851</v>
      </c>
      <c r="M747" s="1" t="s">
        <v>54</v>
      </c>
      <c r="N747" s="11">
        <f t="shared" si="11"/>
        <v>10</v>
      </c>
    </row>
    <row r="748" spans="1:14" ht="16" x14ac:dyDescent="0.2">
      <c r="A748" s="3">
        <v>43238.782759359347</v>
      </c>
      <c r="B748" s="1" t="s">
        <v>1146</v>
      </c>
      <c r="C748" t="s">
        <v>420</v>
      </c>
      <c r="D748">
        <v>13</v>
      </c>
      <c r="E748">
        <v>162</v>
      </c>
      <c r="F748">
        <v>54</v>
      </c>
      <c r="G748">
        <v>2106</v>
      </c>
      <c r="H748" s="4">
        <v>702</v>
      </c>
      <c r="I748" s="4">
        <v>1404</v>
      </c>
      <c r="J748" t="s">
        <v>230</v>
      </c>
      <c r="K748" t="s">
        <v>42</v>
      </c>
      <c r="L748" s="4">
        <v>12.172922939334034</v>
      </c>
      <c r="M748" s="1" t="s">
        <v>38</v>
      </c>
      <c r="N748" s="11">
        <f t="shared" si="11"/>
        <v>5</v>
      </c>
    </row>
    <row r="749" spans="1:14" ht="16" x14ac:dyDescent="0.2">
      <c r="A749" s="3">
        <v>43594.389376057406</v>
      </c>
      <c r="B749" s="1" t="s">
        <v>1147</v>
      </c>
      <c r="C749" t="s">
        <v>151</v>
      </c>
      <c r="D749">
        <v>17</v>
      </c>
      <c r="E749">
        <v>153</v>
      </c>
      <c r="F749">
        <v>51</v>
      </c>
      <c r="G749">
        <v>2601</v>
      </c>
      <c r="H749" s="4">
        <v>867</v>
      </c>
      <c r="I749" s="4">
        <v>1734</v>
      </c>
      <c r="J749" t="s">
        <v>411</v>
      </c>
      <c r="K749" t="s">
        <v>64</v>
      </c>
      <c r="L749" s="4">
        <v>13.115597690631557</v>
      </c>
      <c r="M749" s="1" t="s">
        <v>34</v>
      </c>
      <c r="N749" s="11">
        <f t="shared" si="11"/>
        <v>1</v>
      </c>
    </row>
    <row r="750" spans="1:14" ht="16" x14ac:dyDescent="0.2">
      <c r="A750" s="3">
        <v>42978.800346625751</v>
      </c>
      <c r="B750" s="1" t="s">
        <v>1148</v>
      </c>
      <c r="C750" t="s">
        <v>583</v>
      </c>
      <c r="D750">
        <v>17</v>
      </c>
      <c r="E750">
        <v>57</v>
      </c>
      <c r="F750">
        <v>19</v>
      </c>
      <c r="G750">
        <v>969</v>
      </c>
      <c r="H750" s="4">
        <v>323</v>
      </c>
      <c r="I750" s="4">
        <v>646</v>
      </c>
      <c r="J750" t="s">
        <v>709</v>
      </c>
      <c r="K750" t="s">
        <v>86</v>
      </c>
      <c r="L750" s="4">
        <v>12.658317415198635</v>
      </c>
      <c r="M750" s="1" t="s">
        <v>38</v>
      </c>
      <c r="N750" s="11">
        <f t="shared" si="11"/>
        <v>5</v>
      </c>
    </row>
    <row r="751" spans="1:14" ht="16" x14ac:dyDescent="0.2">
      <c r="A751" s="3">
        <v>43733.760011231367</v>
      </c>
      <c r="B751" s="1" t="s">
        <v>1149</v>
      </c>
      <c r="C751" t="s">
        <v>66</v>
      </c>
      <c r="D751">
        <v>20</v>
      </c>
      <c r="E751">
        <v>144</v>
      </c>
      <c r="F751">
        <v>48</v>
      </c>
      <c r="G751">
        <v>2880</v>
      </c>
      <c r="H751" s="4">
        <v>960</v>
      </c>
      <c r="I751" s="4">
        <v>1920</v>
      </c>
      <c r="J751" t="s">
        <v>471</v>
      </c>
      <c r="K751" t="s">
        <v>58</v>
      </c>
      <c r="L751" s="4">
        <v>10.764293826791503</v>
      </c>
      <c r="M751" s="1" t="s">
        <v>34</v>
      </c>
      <c r="N751" s="11">
        <f t="shared" si="11"/>
        <v>1</v>
      </c>
    </row>
    <row r="752" spans="1:14" ht="16" x14ac:dyDescent="0.2">
      <c r="A752" s="3">
        <v>43508.99948517813</v>
      </c>
      <c r="B752" s="1" t="s">
        <v>1150</v>
      </c>
      <c r="C752" t="s">
        <v>40</v>
      </c>
      <c r="D752">
        <v>6</v>
      </c>
      <c r="E752">
        <v>46</v>
      </c>
      <c r="F752">
        <v>23</v>
      </c>
      <c r="G752">
        <v>276</v>
      </c>
      <c r="H752" s="4">
        <v>138</v>
      </c>
      <c r="I752" s="4">
        <v>138</v>
      </c>
      <c r="J752" t="s">
        <v>450</v>
      </c>
      <c r="K752" t="s">
        <v>49</v>
      </c>
      <c r="L752" s="4">
        <v>13.332534707865639</v>
      </c>
      <c r="M752" s="1" t="s">
        <v>38</v>
      </c>
      <c r="N752" s="11">
        <f t="shared" si="11"/>
        <v>5</v>
      </c>
    </row>
    <row r="753" spans="1:14" ht="16" x14ac:dyDescent="0.2">
      <c r="A753" s="3">
        <v>44273.919275997214</v>
      </c>
      <c r="B753" s="1" t="s">
        <v>1151</v>
      </c>
      <c r="C753" t="s">
        <v>425</v>
      </c>
      <c r="D753">
        <v>1</v>
      </c>
      <c r="E753">
        <v>352</v>
      </c>
      <c r="F753">
        <v>88</v>
      </c>
      <c r="G753">
        <v>352</v>
      </c>
      <c r="H753" s="4">
        <v>88</v>
      </c>
      <c r="I753" s="4">
        <v>264</v>
      </c>
      <c r="J753" t="s">
        <v>262</v>
      </c>
      <c r="K753" t="s">
        <v>86</v>
      </c>
      <c r="L753" s="4">
        <v>12.796588406005421</v>
      </c>
      <c r="M753" s="1" t="s">
        <v>38</v>
      </c>
      <c r="N753" s="11">
        <f t="shared" si="11"/>
        <v>5</v>
      </c>
    </row>
    <row r="754" spans="1:14" ht="16" x14ac:dyDescent="0.2">
      <c r="A754" s="3">
        <v>44213.50546558878</v>
      </c>
      <c r="B754" s="1" t="s">
        <v>1152</v>
      </c>
      <c r="C754" t="s">
        <v>142</v>
      </c>
      <c r="D754">
        <v>10</v>
      </c>
      <c r="E754">
        <v>210</v>
      </c>
      <c r="F754">
        <v>70</v>
      </c>
      <c r="G754">
        <v>2100</v>
      </c>
      <c r="H754" s="4">
        <v>700</v>
      </c>
      <c r="I754" s="4">
        <v>1400</v>
      </c>
      <c r="J754" t="s">
        <v>45</v>
      </c>
      <c r="K754" t="s">
        <v>42</v>
      </c>
      <c r="L754" s="4">
        <v>10.06992029407844</v>
      </c>
      <c r="M754" s="1" t="s">
        <v>34</v>
      </c>
      <c r="N754" s="11">
        <f t="shared" si="11"/>
        <v>1</v>
      </c>
    </row>
    <row r="755" spans="1:14" ht="16" x14ac:dyDescent="0.2">
      <c r="A755" s="3">
        <v>44055.131035098078</v>
      </c>
      <c r="B755" s="1" t="s">
        <v>1153</v>
      </c>
      <c r="C755" t="s">
        <v>75</v>
      </c>
      <c r="D755">
        <v>20</v>
      </c>
      <c r="E755">
        <v>76</v>
      </c>
      <c r="F755">
        <v>19</v>
      </c>
      <c r="G755">
        <v>1520</v>
      </c>
      <c r="H755" s="4">
        <v>380</v>
      </c>
      <c r="I755" s="4">
        <v>1140</v>
      </c>
      <c r="J755" t="s">
        <v>802</v>
      </c>
      <c r="K755" t="s">
        <v>58</v>
      </c>
      <c r="L755" s="4">
        <v>11.943192562152261</v>
      </c>
      <c r="M755" s="1" t="s">
        <v>54</v>
      </c>
      <c r="N755" s="11">
        <f t="shared" si="11"/>
        <v>10</v>
      </c>
    </row>
    <row r="756" spans="1:14" ht="16" x14ac:dyDescent="0.2">
      <c r="A756" s="3">
        <v>44360.291016989984</v>
      </c>
      <c r="B756" s="1" t="s">
        <v>1154</v>
      </c>
      <c r="C756" t="s">
        <v>75</v>
      </c>
      <c r="D756">
        <v>2</v>
      </c>
      <c r="E756">
        <v>76</v>
      </c>
      <c r="F756">
        <v>19</v>
      </c>
      <c r="G756">
        <v>152</v>
      </c>
      <c r="H756" s="4">
        <v>38</v>
      </c>
      <c r="I756" s="4">
        <v>114</v>
      </c>
      <c r="J756" t="s">
        <v>589</v>
      </c>
      <c r="K756" t="s">
        <v>58</v>
      </c>
      <c r="L756" s="4">
        <v>12.207242573430314</v>
      </c>
      <c r="M756" s="1" t="s">
        <v>34</v>
      </c>
      <c r="N756" s="11">
        <f t="shared" si="11"/>
        <v>1</v>
      </c>
    </row>
    <row r="757" spans="1:14" ht="16" x14ac:dyDescent="0.2">
      <c r="A757" s="3">
        <v>43505.012568988401</v>
      </c>
      <c r="B757" s="1" t="s">
        <v>1155</v>
      </c>
      <c r="C757" t="s">
        <v>583</v>
      </c>
      <c r="D757">
        <v>15</v>
      </c>
      <c r="E757">
        <v>57</v>
      </c>
      <c r="F757">
        <v>19</v>
      </c>
      <c r="G757">
        <v>855</v>
      </c>
      <c r="H757" s="4">
        <v>285</v>
      </c>
      <c r="I757" s="4">
        <v>570</v>
      </c>
      <c r="J757" t="s">
        <v>611</v>
      </c>
      <c r="K757" t="s">
        <v>58</v>
      </c>
      <c r="L757" s="4">
        <v>7.8974070387684714</v>
      </c>
      <c r="M757" s="1" t="s">
        <v>54</v>
      </c>
      <c r="N757" s="11">
        <f t="shared" si="11"/>
        <v>10</v>
      </c>
    </row>
    <row r="758" spans="1:14" ht="16" x14ac:dyDescent="0.2">
      <c r="A758" s="3">
        <v>44466.14005418236</v>
      </c>
      <c r="B758" s="1" t="s">
        <v>1156</v>
      </c>
      <c r="C758" t="s">
        <v>544</v>
      </c>
      <c r="D758">
        <v>4</v>
      </c>
      <c r="E758">
        <v>267</v>
      </c>
      <c r="F758">
        <v>89</v>
      </c>
      <c r="G758">
        <v>1068</v>
      </c>
      <c r="H758" s="4">
        <v>356</v>
      </c>
      <c r="I758" s="4">
        <v>712</v>
      </c>
      <c r="J758" t="s">
        <v>1157</v>
      </c>
      <c r="K758" t="s">
        <v>42</v>
      </c>
      <c r="L758" s="4">
        <v>10.517826055804084</v>
      </c>
      <c r="M758" s="1" t="s">
        <v>38</v>
      </c>
      <c r="N758" s="11">
        <f t="shared" si="11"/>
        <v>5</v>
      </c>
    </row>
    <row r="759" spans="1:14" ht="16" x14ac:dyDescent="0.2">
      <c r="A759" s="3">
        <v>44341.710540185646</v>
      </c>
      <c r="B759" s="1" t="s">
        <v>1158</v>
      </c>
      <c r="C759" t="s">
        <v>252</v>
      </c>
      <c r="D759">
        <v>1</v>
      </c>
      <c r="E759">
        <v>252</v>
      </c>
      <c r="F759">
        <v>63</v>
      </c>
      <c r="G759">
        <v>252</v>
      </c>
      <c r="H759" s="4">
        <v>63</v>
      </c>
      <c r="I759" s="4">
        <v>189</v>
      </c>
      <c r="J759" t="s">
        <v>210</v>
      </c>
      <c r="K759" t="s">
        <v>58</v>
      </c>
      <c r="L759" s="4">
        <v>11.995406972581796</v>
      </c>
      <c r="M759" s="1" t="s">
        <v>54</v>
      </c>
      <c r="N759" s="11">
        <f t="shared" si="11"/>
        <v>10</v>
      </c>
    </row>
    <row r="760" spans="1:14" ht="16" x14ac:dyDescent="0.2">
      <c r="A760" s="3">
        <v>44545.040958154881</v>
      </c>
      <c r="B760" s="1" t="s">
        <v>1159</v>
      </c>
      <c r="C760" t="s">
        <v>40</v>
      </c>
      <c r="D760">
        <v>8</v>
      </c>
      <c r="E760">
        <v>46</v>
      </c>
      <c r="F760">
        <v>23</v>
      </c>
      <c r="G760">
        <v>368</v>
      </c>
      <c r="H760" s="4">
        <v>184</v>
      </c>
      <c r="I760" s="4">
        <v>184</v>
      </c>
      <c r="J760" t="s">
        <v>1042</v>
      </c>
      <c r="K760" t="s">
        <v>58</v>
      </c>
      <c r="L760" s="4">
        <v>10.588336269016523</v>
      </c>
      <c r="M760" s="1" t="s">
        <v>38</v>
      </c>
      <c r="N760" s="11">
        <f t="shared" si="11"/>
        <v>5</v>
      </c>
    </row>
    <row r="761" spans="1:14" ht="16" x14ac:dyDescent="0.2">
      <c r="A761" s="3">
        <v>44174.15107886136</v>
      </c>
      <c r="B761" s="1" t="s">
        <v>1160</v>
      </c>
      <c r="C761" t="s">
        <v>204</v>
      </c>
      <c r="D761">
        <v>6</v>
      </c>
      <c r="E761">
        <v>57</v>
      </c>
      <c r="F761">
        <v>19</v>
      </c>
      <c r="G761">
        <v>342</v>
      </c>
      <c r="H761" s="4">
        <v>114</v>
      </c>
      <c r="I761" s="4">
        <v>228</v>
      </c>
      <c r="J761" t="s">
        <v>57</v>
      </c>
      <c r="K761" t="s">
        <v>58</v>
      </c>
      <c r="L761" s="4">
        <v>11.749993886708426</v>
      </c>
      <c r="M761" s="1" t="s">
        <v>38</v>
      </c>
      <c r="N761" s="11">
        <f t="shared" si="11"/>
        <v>5</v>
      </c>
    </row>
    <row r="762" spans="1:14" ht="16" x14ac:dyDescent="0.2">
      <c r="A762" s="3">
        <v>44494.584111313074</v>
      </c>
      <c r="B762" s="1" t="s">
        <v>1161</v>
      </c>
      <c r="C762" t="s">
        <v>276</v>
      </c>
      <c r="D762">
        <v>16</v>
      </c>
      <c r="E762">
        <v>57</v>
      </c>
      <c r="F762">
        <v>19</v>
      </c>
      <c r="G762">
        <v>912</v>
      </c>
      <c r="H762" s="4">
        <v>304</v>
      </c>
      <c r="I762" s="4">
        <v>608</v>
      </c>
      <c r="J762" t="s">
        <v>216</v>
      </c>
      <c r="K762" t="s">
        <v>58</v>
      </c>
      <c r="L762" s="4">
        <v>15.556812309269255</v>
      </c>
      <c r="M762" s="1" t="s">
        <v>38</v>
      </c>
      <c r="N762" s="11">
        <f t="shared" si="11"/>
        <v>5</v>
      </c>
    </row>
    <row r="763" spans="1:14" ht="16" x14ac:dyDescent="0.2">
      <c r="A763" s="3">
        <v>43632.85314022829</v>
      </c>
      <c r="B763" s="1" t="s">
        <v>1162</v>
      </c>
      <c r="C763" t="s">
        <v>410</v>
      </c>
      <c r="D763">
        <v>5</v>
      </c>
      <c r="E763">
        <v>84</v>
      </c>
      <c r="F763">
        <v>21</v>
      </c>
      <c r="G763">
        <v>420</v>
      </c>
      <c r="H763" s="4">
        <v>105</v>
      </c>
      <c r="I763" s="4">
        <v>315</v>
      </c>
      <c r="J763" t="s">
        <v>264</v>
      </c>
      <c r="K763" t="s">
        <v>42</v>
      </c>
      <c r="L763" s="4">
        <v>12.514998090845811</v>
      </c>
      <c r="M763" s="1" t="s">
        <v>38</v>
      </c>
      <c r="N763" s="11">
        <f t="shared" si="11"/>
        <v>5</v>
      </c>
    </row>
    <row r="764" spans="1:14" ht="16" x14ac:dyDescent="0.2">
      <c r="A764" s="3">
        <v>44142.866858923611</v>
      </c>
      <c r="B764" s="1" t="s">
        <v>1163</v>
      </c>
      <c r="C764" t="s">
        <v>115</v>
      </c>
      <c r="D764">
        <v>2</v>
      </c>
      <c r="E764">
        <v>81</v>
      </c>
      <c r="F764">
        <v>27</v>
      </c>
      <c r="G764">
        <v>162</v>
      </c>
      <c r="H764" s="4">
        <v>54</v>
      </c>
      <c r="I764" s="4">
        <v>108</v>
      </c>
      <c r="J764" t="s">
        <v>186</v>
      </c>
      <c r="K764" t="s">
        <v>58</v>
      </c>
      <c r="L764" s="4">
        <v>11.31221475547909</v>
      </c>
      <c r="M764" s="1" t="s">
        <v>34</v>
      </c>
      <c r="N764" s="11">
        <f t="shared" si="11"/>
        <v>1</v>
      </c>
    </row>
    <row r="765" spans="1:14" ht="16" x14ac:dyDescent="0.2">
      <c r="A765" s="3">
        <v>43938.963686222574</v>
      </c>
      <c r="B765" s="1" t="s">
        <v>1164</v>
      </c>
      <c r="C765" t="s">
        <v>473</v>
      </c>
      <c r="D765">
        <v>13</v>
      </c>
      <c r="E765">
        <v>72</v>
      </c>
      <c r="F765">
        <v>36</v>
      </c>
      <c r="G765">
        <v>936</v>
      </c>
      <c r="H765" s="4">
        <v>468</v>
      </c>
      <c r="I765" s="4">
        <v>468</v>
      </c>
      <c r="J765" t="s">
        <v>345</v>
      </c>
      <c r="K765" t="s">
        <v>49</v>
      </c>
      <c r="L765" s="4">
        <v>14.687857652112591</v>
      </c>
      <c r="M765" s="1" t="s">
        <v>38</v>
      </c>
      <c r="N765" s="11">
        <f t="shared" si="11"/>
        <v>5</v>
      </c>
    </row>
    <row r="766" spans="1:14" ht="16" x14ac:dyDescent="0.2">
      <c r="A766" s="3">
        <v>44059.614930249656</v>
      </c>
      <c r="B766" s="1" t="s">
        <v>1165</v>
      </c>
      <c r="C766" t="s">
        <v>188</v>
      </c>
      <c r="D766">
        <v>19</v>
      </c>
      <c r="E766">
        <v>368</v>
      </c>
      <c r="F766">
        <v>92</v>
      </c>
      <c r="G766">
        <v>6992</v>
      </c>
      <c r="H766" s="4">
        <v>1748</v>
      </c>
      <c r="I766" s="4">
        <v>5244</v>
      </c>
      <c r="J766" t="s">
        <v>440</v>
      </c>
      <c r="K766" t="s">
        <v>33</v>
      </c>
      <c r="L766" s="4">
        <v>10.408704992688252</v>
      </c>
      <c r="M766" s="1" t="s">
        <v>38</v>
      </c>
      <c r="N766" s="11">
        <f t="shared" si="11"/>
        <v>5</v>
      </c>
    </row>
    <row r="767" spans="1:14" ht="16" x14ac:dyDescent="0.2">
      <c r="A767" s="3">
        <v>43898.800071566351</v>
      </c>
      <c r="B767" s="1" t="s">
        <v>1166</v>
      </c>
      <c r="C767" t="s">
        <v>171</v>
      </c>
      <c r="D767">
        <v>7</v>
      </c>
      <c r="E767">
        <v>225</v>
      </c>
      <c r="F767">
        <v>75</v>
      </c>
      <c r="G767">
        <v>1575</v>
      </c>
      <c r="H767" s="4">
        <v>525</v>
      </c>
      <c r="I767" s="4">
        <v>1050</v>
      </c>
      <c r="J767" t="s">
        <v>338</v>
      </c>
      <c r="K767" t="s">
        <v>64</v>
      </c>
      <c r="L767" s="4">
        <v>10.132922049221957</v>
      </c>
      <c r="M767" s="1" t="s">
        <v>38</v>
      </c>
      <c r="N767" s="11">
        <f t="shared" si="11"/>
        <v>5</v>
      </c>
    </row>
    <row r="768" spans="1:14" ht="16" x14ac:dyDescent="0.2">
      <c r="A768" s="3">
        <v>44696.503415278421</v>
      </c>
      <c r="B768" s="1" t="s">
        <v>1167</v>
      </c>
      <c r="C768" t="s">
        <v>399</v>
      </c>
      <c r="D768">
        <v>19</v>
      </c>
      <c r="E768">
        <v>160</v>
      </c>
      <c r="F768">
        <v>80</v>
      </c>
      <c r="G768">
        <v>3040</v>
      </c>
      <c r="H768" s="4">
        <v>1520</v>
      </c>
      <c r="I768" s="4">
        <v>1520</v>
      </c>
      <c r="J768" t="s">
        <v>968</v>
      </c>
      <c r="K768" t="s">
        <v>42</v>
      </c>
      <c r="L768" s="4">
        <v>11.961761925704458</v>
      </c>
      <c r="M768" s="1" t="s">
        <v>38</v>
      </c>
      <c r="N768" s="11">
        <f t="shared" si="11"/>
        <v>5</v>
      </c>
    </row>
    <row r="769" spans="1:14" ht="16" x14ac:dyDescent="0.2">
      <c r="A769" s="3">
        <v>43796.78457758914</v>
      </c>
      <c r="B769" s="1" t="s">
        <v>1168</v>
      </c>
      <c r="C769" t="s">
        <v>592</v>
      </c>
      <c r="D769">
        <v>5</v>
      </c>
      <c r="E769">
        <v>312</v>
      </c>
      <c r="F769">
        <v>78</v>
      </c>
      <c r="G769">
        <v>1560</v>
      </c>
      <c r="H769" s="4">
        <v>390</v>
      </c>
      <c r="I769" s="4">
        <v>1170</v>
      </c>
      <c r="J769" t="s">
        <v>613</v>
      </c>
      <c r="K769" t="s">
        <v>86</v>
      </c>
      <c r="L769" s="4">
        <v>8.8169309002713945</v>
      </c>
      <c r="M769" s="1" t="s">
        <v>38</v>
      </c>
      <c r="N769" s="11">
        <f t="shared" si="11"/>
        <v>5</v>
      </c>
    </row>
    <row r="770" spans="1:14" ht="16" x14ac:dyDescent="0.2">
      <c r="A770" s="3">
        <v>44023.393911340507</v>
      </c>
      <c r="B770" s="1" t="s">
        <v>1169</v>
      </c>
      <c r="C770" t="s">
        <v>115</v>
      </c>
      <c r="D770">
        <v>3</v>
      </c>
      <c r="E770">
        <v>81</v>
      </c>
      <c r="F770">
        <v>27</v>
      </c>
      <c r="G770">
        <v>243</v>
      </c>
      <c r="H770" s="4">
        <v>81</v>
      </c>
      <c r="I770" s="4">
        <v>162</v>
      </c>
      <c r="J770" t="s">
        <v>678</v>
      </c>
      <c r="K770" t="s">
        <v>86</v>
      </c>
      <c r="L770" s="4">
        <v>12.460490918487697</v>
      </c>
      <c r="M770" s="1" t="s">
        <v>38</v>
      </c>
      <c r="N770" s="11">
        <f t="shared" si="11"/>
        <v>5</v>
      </c>
    </row>
    <row r="771" spans="1:14" ht="16" x14ac:dyDescent="0.2">
      <c r="A771" s="3">
        <v>43963.494218754648</v>
      </c>
      <c r="B771" s="1" t="s">
        <v>1170</v>
      </c>
      <c r="C771" t="s">
        <v>40</v>
      </c>
      <c r="D771">
        <v>13</v>
      </c>
      <c r="E771">
        <v>46</v>
      </c>
      <c r="F771">
        <v>23</v>
      </c>
      <c r="G771">
        <v>598</v>
      </c>
      <c r="H771" s="4">
        <v>299</v>
      </c>
      <c r="I771" s="4">
        <v>299</v>
      </c>
      <c r="J771" t="s">
        <v>191</v>
      </c>
      <c r="K771" t="s">
        <v>42</v>
      </c>
      <c r="L771" s="4">
        <v>10.523527521613014</v>
      </c>
      <c r="M771" s="1" t="s">
        <v>38</v>
      </c>
      <c r="N771" s="11">
        <f t="shared" ref="N771:N834" si="12">+IF(M771="Dissatisfied",1,IF(M771="Satisfied",10,5))</f>
        <v>5</v>
      </c>
    </row>
    <row r="772" spans="1:14" ht="16" x14ac:dyDescent="0.2">
      <c r="A772" s="3">
        <v>43775.191358297197</v>
      </c>
      <c r="B772" s="1" t="s">
        <v>1171</v>
      </c>
      <c r="C772" t="s">
        <v>286</v>
      </c>
      <c r="D772">
        <v>8</v>
      </c>
      <c r="E772">
        <v>34</v>
      </c>
      <c r="F772">
        <v>17</v>
      </c>
      <c r="G772">
        <v>272</v>
      </c>
      <c r="H772" s="4">
        <v>136</v>
      </c>
      <c r="I772" s="4">
        <v>136</v>
      </c>
      <c r="J772" t="s">
        <v>806</v>
      </c>
      <c r="K772" t="s">
        <v>86</v>
      </c>
      <c r="L772" s="4">
        <v>11.927799225928501</v>
      </c>
      <c r="M772" s="1" t="s">
        <v>34</v>
      </c>
      <c r="N772" s="11">
        <f t="shared" si="12"/>
        <v>1</v>
      </c>
    </row>
    <row r="773" spans="1:14" ht="16" x14ac:dyDescent="0.2">
      <c r="A773" s="3">
        <v>43629.797752894636</v>
      </c>
      <c r="B773" s="1" t="s">
        <v>1172</v>
      </c>
      <c r="C773" t="s">
        <v>243</v>
      </c>
      <c r="D773">
        <v>19</v>
      </c>
      <c r="E773">
        <v>90</v>
      </c>
      <c r="F773">
        <v>45</v>
      </c>
      <c r="G773">
        <v>1710</v>
      </c>
      <c r="H773" s="4">
        <v>855</v>
      </c>
      <c r="I773" s="4">
        <v>855</v>
      </c>
      <c r="J773" t="s">
        <v>416</v>
      </c>
      <c r="K773" t="s">
        <v>58</v>
      </c>
      <c r="L773" s="4">
        <v>12.399050786131125</v>
      </c>
      <c r="M773" s="1" t="s">
        <v>54</v>
      </c>
      <c r="N773" s="11">
        <f t="shared" si="12"/>
        <v>10</v>
      </c>
    </row>
    <row r="774" spans="1:14" ht="16" x14ac:dyDescent="0.2">
      <c r="A774" s="3">
        <v>43501.14648188401</v>
      </c>
      <c r="B774" s="1" t="s">
        <v>1173</v>
      </c>
      <c r="C774" t="s">
        <v>98</v>
      </c>
      <c r="D774">
        <v>17</v>
      </c>
      <c r="E774">
        <v>156</v>
      </c>
      <c r="F774">
        <v>78</v>
      </c>
      <c r="G774">
        <v>2652</v>
      </c>
      <c r="H774" s="4">
        <v>1326</v>
      </c>
      <c r="I774" s="4">
        <v>1326</v>
      </c>
      <c r="J774" t="s">
        <v>492</v>
      </c>
      <c r="K774" t="s">
        <v>33</v>
      </c>
      <c r="L774" s="4">
        <v>11.799431383856128</v>
      </c>
      <c r="M774" s="1" t="s">
        <v>54</v>
      </c>
      <c r="N774" s="11">
        <f t="shared" si="12"/>
        <v>10</v>
      </c>
    </row>
    <row r="775" spans="1:14" ht="16" x14ac:dyDescent="0.2">
      <c r="A775" s="3">
        <v>44107.494845769666</v>
      </c>
      <c r="B775" s="1" t="s">
        <v>97</v>
      </c>
      <c r="C775" t="s">
        <v>47</v>
      </c>
      <c r="D775">
        <v>11</v>
      </c>
      <c r="E775">
        <v>231</v>
      </c>
      <c r="F775">
        <v>77</v>
      </c>
      <c r="G775">
        <v>2541</v>
      </c>
      <c r="H775" s="4">
        <v>847</v>
      </c>
      <c r="I775" s="4">
        <v>1694</v>
      </c>
      <c r="J775" t="s">
        <v>567</v>
      </c>
      <c r="K775" t="s">
        <v>49</v>
      </c>
      <c r="L775" s="4">
        <v>12.147202500273634</v>
      </c>
      <c r="M775" s="1" t="s">
        <v>38</v>
      </c>
      <c r="N775" s="11">
        <f t="shared" si="12"/>
        <v>5</v>
      </c>
    </row>
    <row r="776" spans="1:14" ht="16" x14ac:dyDescent="0.2">
      <c r="A776" s="3">
        <v>44414.443032352792</v>
      </c>
      <c r="B776" s="1" t="s">
        <v>1174</v>
      </c>
      <c r="C776" t="s">
        <v>473</v>
      </c>
      <c r="D776">
        <v>13</v>
      </c>
      <c r="E776">
        <v>72</v>
      </c>
      <c r="F776">
        <v>36</v>
      </c>
      <c r="G776">
        <v>936</v>
      </c>
      <c r="H776" s="4">
        <v>468</v>
      </c>
      <c r="I776" s="4">
        <v>468</v>
      </c>
      <c r="J776" t="s">
        <v>230</v>
      </c>
      <c r="K776" t="s">
        <v>42</v>
      </c>
      <c r="L776" s="4">
        <v>12.172922939334034</v>
      </c>
      <c r="M776" s="1" t="s">
        <v>54</v>
      </c>
      <c r="N776" s="11">
        <f t="shared" si="12"/>
        <v>10</v>
      </c>
    </row>
    <row r="777" spans="1:14" ht="16" x14ac:dyDescent="0.2">
      <c r="A777" s="3">
        <v>43824.681521203791</v>
      </c>
      <c r="B777" s="1" t="s">
        <v>1175</v>
      </c>
      <c r="C777" t="s">
        <v>283</v>
      </c>
      <c r="D777">
        <v>4</v>
      </c>
      <c r="E777">
        <v>144</v>
      </c>
      <c r="F777">
        <v>36</v>
      </c>
      <c r="G777">
        <v>576</v>
      </c>
      <c r="H777" s="4">
        <v>144</v>
      </c>
      <c r="I777" s="4">
        <v>432</v>
      </c>
      <c r="J777" t="s">
        <v>495</v>
      </c>
      <c r="K777" t="s">
        <v>64</v>
      </c>
      <c r="L777" s="4">
        <v>8.8878868765808274</v>
      </c>
      <c r="M777" s="1" t="s">
        <v>34</v>
      </c>
      <c r="N777" s="11">
        <f t="shared" si="12"/>
        <v>1</v>
      </c>
    </row>
    <row r="778" spans="1:14" ht="16" x14ac:dyDescent="0.2">
      <c r="A778" s="3">
        <v>43747.346671303414</v>
      </c>
      <c r="B778" s="1" t="s">
        <v>1176</v>
      </c>
      <c r="C778" t="s">
        <v>240</v>
      </c>
      <c r="D778">
        <v>7</v>
      </c>
      <c r="E778">
        <v>108</v>
      </c>
      <c r="F778">
        <v>54</v>
      </c>
      <c r="G778">
        <v>756</v>
      </c>
      <c r="H778" s="4">
        <v>378</v>
      </c>
      <c r="I778" s="4">
        <v>378</v>
      </c>
      <c r="J778" t="s">
        <v>48</v>
      </c>
      <c r="K778" t="s">
        <v>49</v>
      </c>
      <c r="L778" s="4">
        <v>15.24190997853951</v>
      </c>
      <c r="M778" s="1" t="s">
        <v>54</v>
      </c>
      <c r="N778" s="11">
        <f t="shared" si="12"/>
        <v>10</v>
      </c>
    </row>
    <row r="779" spans="1:14" ht="16" x14ac:dyDescent="0.2">
      <c r="A779" s="3">
        <v>44550.47162519065</v>
      </c>
      <c r="B779" s="1" t="s">
        <v>1177</v>
      </c>
      <c r="C779" t="s">
        <v>375</v>
      </c>
      <c r="D779">
        <v>17</v>
      </c>
      <c r="E779">
        <v>360</v>
      </c>
      <c r="F779">
        <v>90</v>
      </c>
      <c r="G779">
        <v>6120</v>
      </c>
      <c r="H779" s="4">
        <v>1530</v>
      </c>
      <c r="I779" s="4">
        <v>4590</v>
      </c>
      <c r="J779" t="s">
        <v>701</v>
      </c>
      <c r="K779" t="s">
        <v>42</v>
      </c>
      <c r="L779" s="4">
        <v>10.434860153112215</v>
      </c>
      <c r="M779" s="1" t="s">
        <v>38</v>
      </c>
      <c r="N779" s="11">
        <f t="shared" si="12"/>
        <v>5</v>
      </c>
    </row>
    <row r="780" spans="1:14" ht="16" x14ac:dyDescent="0.2">
      <c r="A780" s="3">
        <v>43880.694472479619</v>
      </c>
      <c r="B780" s="1" t="s">
        <v>1178</v>
      </c>
      <c r="C780" t="s">
        <v>607</v>
      </c>
      <c r="D780">
        <v>16</v>
      </c>
      <c r="E780">
        <v>225</v>
      </c>
      <c r="F780">
        <v>75</v>
      </c>
      <c r="G780">
        <v>3600</v>
      </c>
      <c r="H780" s="4">
        <v>1200</v>
      </c>
      <c r="I780" s="4">
        <v>2400</v>
      </c>
      <c r="J780" t="s">
        <v>76</v>
      </c>
      <c r="K780" t="s">
        <v>58</v>
      </c>
      <c r="L780" s="4">
        <v>9.8384363471888783</v>
      </c>
      <c r="M780" s="1" t="s">
        <v>38</v>
      </c>
      <c r="N780" s="11">
        <f t="shared" si="12"/>
        <v>5</v>
      </c>
    </row>
    <row r="781" spans="1:14" ht="16" x14ac:dyDescent="0.2">
      <c r="A781" s="3">
        <v>43821.665829463876</v>
      </c>
      <c r="B781" s="1" t="s">
        <v>1179</v>
      </c>
      <c r="C781" t="s">
        <v>56</v>
      </c>
      <c r="D781">
        <v>6</v>
      </c>
      <c r="E781">
        <v>38</v>
      </c>
      <c r="F781">
        <v>19</v>
      </c>
      <c r="G781">
        <v>228</v>
      </c>
      <c r="H781" s="4">
        <v>114</v>
      </c>
      <c r="I781" s="4">
        <v>114</v>
      </c>
      <c r="J781" t="s">
        <v>315</v>
      </c>
      <c r="K781" t="s">
        <v>42</v>
      </c>
      <c r="L781" s="4">
        <v>10.966283117837653</v>
      </c>
      <c r="M781" s="1" t="s">
        <v>38</v>
      </c>
      <c r="N781" s="11">
        <f t="shared" si="12"/>
        <v>5</v>
      </c>
    </row>
    <row r="782" spans="1:14" ht="16" x14ac:dyDescent="0.2">
      <c r="A782" s="3">
        <v>43690.024946816018</v>
      </c>
      <c r="B782" s="1" t="s">
        <v>1180</v>
      </c>
      <c r="C782" t="s">
        <v>261</v>
      </c>
      <c r="D782">
        <v>4</v>
      </c>
      <c r="E782">
        <v>92</v>
      </c>
      <c r="F782">
        <v>46</v>
      </c>
      <c r="G782">
        <v>368</v>
      </c>
      <c r="H782" s="4">
        <v>184</v>
      </c>
      <c r="I782" s="4">
        <v>184</v>
      </c>
      <c r="J782" t="s">
        <v>199</v>
      </c>
      <c r="K782" t="s">
        <v>86</v>
      </c>
      <c r="L782" s="4">
        <v>13.890275354050972</v>
      </c>
      <c r="M782" s="1" t="s">
        <v>38</v>
      </c>
      <c r="N782" s="11">
        <f t="shared" si="12"/>
        <v>5</v>
      </c>
    </row>
    <row r="783" spans="1:14" ht="16" x14ac:dyDescent="0.2">
      <c r="A783" s="3">
        <v>44213.878079712144</v>
      </c>
      <c r="B783" s="1" t="s">
        <v>1181</v>
      </c>
      <c r="C783" t="s">
        <v>93</v>
      </c>
      <c r="D783">
        <v>20</v>
      </c>
      <c r="E783">
        <v>204</v>
      </c>
      <c r="F783">
        <v>51</v>
      </c>
      <c r="G783">
        <v>4080</v>
      </c>
      <c r="H783" s="4">
        <v>1020</v>
      </c>
      <c r="I783" s="4">
        <v>3060</v>
      </c>
      <c r="J783" t="s">
        <v>729</v>
      </c>
      <c r="K783" t="s">
        <v>64</v>
      </c>
      <c r="L783" s="4">
        <v>11.443503623244197</v>
      </c>
      <c r="M783" s="1" t="s">
        <v>38</v>
      </c>
      <c r="N783" s="11">
        <f t="shared" si="12"/>
        <v>5</v>
      </c>
    </row>
    <row r="784" spans="1:14" ht="16" x14ac:dyDescent="0.2">
      <c r="A784" s="3">
        <v>44064.686991493516</v>
      </c>
      <c r="B784" s="1" t="s">
        <v>1182</v>
      </c>
      <c r="C784" t="s">
        <v>259</v>
      </c>
      <c r="D784">
        <v>13</v>
      </c>
      <c r="E784">
        <v>270</v>
      </c>
      <c r="F784">
        <v>90</v>
      </c>
      <c r="G784">
        <v>3510</v>
      </c>
      <c r="H784" s="4">
        <v>1170</v>
      </c>
      <c r="I784" s="4">
        <v>2340</v>
      </c>
      <c r="J784" t="s">
        <v>82</v>
      </c>
      <c r="K784" t="s">
        <v>58</v>
      </c>
      <c r="L784" s="4">
        <v>13.45980057156361</v>
      </c>
      <c r="M784" s="1" t="s">
        <v>38</v>
      </c>
      <c r="N784" s="11">
        <f t="shared" si="12"/>
        <v>5</v>
      </c>
    </row>
    <row r="785" spans="1:14" ht="16" x14ac:dyDescent="0.2">
      <c r="A785" s="3">
        <v>43969.322480072558</v>
      </c>
      <c r="B785" s="1" t="s">
        <v>1183</v>
      </c>
      <c r="C785" t="s">
        <v>375</v>
      </c>
      <c r="D785">
        <v>16</v>
      </c>
      <c r="E785">
        <v>360</v>
      </c>
      <c r="F785">
        <v>90</v>
      </c>
      <c r="G785">
        <v>5760</v>
      </c>
      <c r="H785" s="4">
        <v>1440</v>
      </c>
      <c r="I785" s="4">
        <v>4320</v>
      </c>
      <c r="J785" t="s">
        <v>488</v>
      </c>
      <c r="K785" t="s">
        <v>64</v>
      </c>
      <c r="L785" s="4">
        <v>9.458617986208397</v>
      </c>
      <c r="M785" s="1" t="s">
        <v>38</v>
      </c>
      <c r="N785" s="11">
        <f t="shared" si="12"/>
        <v>5</v>
      </c>
    </row>
    <row r="786" spans="1:14" ht="16" x14ac:dyDescent="0.2">
      <c r="A786" s="3">
        <v>45399.492149534366</v>
      </c>
      <c r="B786" s="1" t="s">
        <v>1184</v>
      </c>
      <c r="C786" t="s">
        <v>592</v>
      </c>
      <c r="D786">
        <v>5</v>
      </c>
      <c r="E786">
        <v>312</v>
      </c>
      <c r="F786">
        <v>78</v>
      </c>
      <c r="G786">
        <v>1560</v>
      </c>
      <c r="H786" s="4">
        <v>390</v>
      </c>
      <c r="I786" s="4">
        <v>1170</v>
      </c>
      <c r="J786" t="s">
        <v>933</v>
      </c>
      <c r="K786" t="s">
        <v>58</v>
      </c>
      <c r="L786" s="4">
        <v>11.130819205617987</v>
      </c>
      <c r="M786" s="1" t="s">
        <v>38</v>
      </c>
      <c r="N786" s="11">
        <f t="shared" si="12"/>
        <v>5</v>
      </c>
    </row>
    <row r="787" spans="1:14" ht="16" x14ac:dyDescent="0.2">
      <c r="A787" s="3">
        <v>44438.707200012337</v>
      </c>
      <c r="B787" s="1" t="s">
        <v>751</v>
      </c>
      <c r="C787" t="s">
        <v>62</v>
      </c>
      <c r="D787">
        <v>10</v>
      </c>
      <c r="E787">
        <v>80</v>
      </c>
      <c r="F787">
        <v>20</v>
      </c>
      <c r="G787">
        <v>800</v>
      </c>
      <c r="H787" s="4">
        <v>200</v>
      </c>
      <c r="I787" s="4">
        <v>600</v>
      </c>
      <c r="J787" t="s">
        <v>230</v>
      </c>
      <c r="K787" t="s">
        <v>42</v>
      </c>
      <c r="L787" s="4">
        <v>12.172922939334034</v>
      </c>
      <c r="M787" s="1" t="s">
        <v>38</v>
      </c>
      <c r="N787" s="11">
        <f t="shared" si="12"/>
        <v>5</v>
      </c>
    </row>
    <row r="788" spans="1:14" ht="16" x14ac:dyDescent="0.2">
      <c r="A788" s="3">
        <v>44806.9742170686</v>
      </c>
      <c r="B788" s="1" t="s">
        <v>1185</v>
      </c>
      <c r="C788" t="s">
        <v>40</v>
      </c>
      <c r="D788">
        <v>6</v>
      </c>
      <c r="E788">
        <v>46</v>
      </c>
      <c r="F788">
        <v>23</v>
      </c>
      <c r="G788">
        <v>276</v>
      </c>
      <c r="H788" s="4">
        <v>138</v>
      </c>
      <c r="I788" s="4">
        <v>138</v>
      </c>
      <c r="J788" t="s">
        <v>448</v>
      </c>
      <c r="K788" t="s">
        <v>58</v>
      </c>
      <c r="L788" s="4">
        <v>15.770846827234339</v>
      </c>
      <c r="M788" s="1" t="s">
        <v>38</v>
      </c>
      <c r="N788" s="11">
        <f t="shared" si="12"/>
        <v>5</v>
      </c>
    </row>
    <row r="789" spans="1:14" ht="16" x14ac:dyDescent="0.2">
      <c r="A789" s="3">
        <v>44105.962854432262</v>
      </c>
      <c r="B789" s="1" t="s">
        <v>1186</v>
      </c>
      <c r="C789" t="s">
        <v>375</v>
      </c>
      <c r="D789">
        <v>15</v>
      </c>
      <c r="E789">
        <v>360</v>
      </c>
      <c r="F789">
        <v>90</v>
      </c>
      <c r="G789">
        <v>5400</v>
      </c>
      <c r="H789" s="4">
        <v>1350</v>
      </c>
      <c r="I789" s="4">
        <v>4050</v>
      </c>
      <c r="J789" t="s">
        <v>338</v>
      </c>
      <c r="K789" t="s">
        <v>64</v>
      </c>
      <c r="L789" s="4">
        <v>10.132922049221957</v>
      </c>
      <c r="M789" s="1" t="s">
        <v>54</v>
      </c>
      <c r="N789" s="11">
        <f t="shared" si="12"/>
        <v>10</v>
      </c>
    </row>
    <row r="790" spans="1:14" ht="16" x14ac:dyDescent="0.2">
      <c r="A790" s="3">
        <v>43732.723184857932</v>
      </c>
      <c r="B790" s="1" t="s">
        <v>1187</v>
      </c>
      <c r="C790" t="s">
        <v>255</v>
      </c>
      <c r="D790">
        <v>10</v>
      </c>
      <c r="E790">
        <v>140</v>
      </c>
      <c r="F790">
        <v>70</v>
      </c>
      <c r="G790">
        <v>1400</v>
      </c>
      <c r="H790" s="4">
        <v>700</v>
      </c>
      <c r="I790" s="4">
        <v>700</v>
      </c>
      <c r="J790" t="s">
        <v>164</v>
      </c>
      <c r="K790" t="s">
        <v>86</v>
      </c>
      <c r="L790" s="4">
        <v>12.452986387489583</v>
      </c>
      <c r="M790" s="1" t="s">
        <v>34</v>
      </c>
      <c r="N790" s="11">
        <f t="shared" si="12"/>
        <v>1</v>
      </c>
    </row>
    <row r="791" spans="1:14" ht="16" x14ac:dyDescent="0.2">
      <c r="A791" s="3">
        <v>44694.753841243451</v>
      </c>
      <c r="B791" s="1" t="s">
        <v>1188</v>
      </c>
      <c r="C791" t="s">
        <v>120</v>
      </c>
      <c r="D791">
        <v>16</v>
      </c>
      <c r="E791">
        <v>252</v>
      </c>
      <c r="F791">
        <v>63</v>
      </c>
      <c r="G791">
        <v>4032</v>
      </c>
      <c r="H791" s="4">
        <v>1008</v>
      </c>
      <c r="I791" s="4">
        <v>3024</v>
      </c>
      <c r="J791" t="s">
        <v>704</v>
      </c>
      <c r="K791" t="s">
        <v>86</v>
      </c>
      <c r="L791" s="4">
        <v>12.699042739101285</v>
      </c>
      <c r="M791" s="1" t="s">
        <v>38</v>
      </c>
      <c r="N791" s="11">
        <f t="shared" si="12"/>
        <v>5</v>
      </c>
    </row>
    <row r="792" spans="1:14" ht="16" x14ac:dyDescent="0.2">
      <c r="A792" s="3">
        <v>44802.662038158778</v>
      </c>
      <c r="B792" s="1" t="s">
        <v>1189</v>
      </c>
      <c r="C792" t="s">
        <v>110</v>
      </c>
      <c r="D792">
        <v>6</v>
      </c>
      <c r="E792">
        <v>144</v>
      </c>
      <c r="F792">
        <v>36</v>
      </c>
      <c r="G792">
        <v>864</v>
      </c>
      <c r="H792" s="4">
        <v>216</v>
      </c>
      <c r="I792" s="4">
        <v>648</v>
      </c>
      <c r="J792" t="s">
        <v>366</v>
      </c>
      <c r="K792" t="s">
        <v>64</v>
      </c>
      <c r="L792" s="4">
        <v>12.342715162719054</v>
      </c>
      <c r="M792" s="1" t="s">
        <v>54</v>
      </c>
      <c r="N792" s="11">
        <f t="shared" si="12"/>
        <v>10</v>
      </c>
    </row>
    <row r="793" spans="1:14" ht="16" x14ac:dyDescent="0.2">
      <c r="A793" s="3">
        <v>43797.745767217129</v>
      </c>
      <c r="B793" s="1" t="s">
        <v>1190</v>
      </c>
      <c r="C793" t="s">
        <v>365</v>
      </c>
      <c r="D793">
        <v>7</v>
      </c>
      <c r="E793">
        <v>255</v>
      </c>
      <c r="F793">
        <v>85</v>
      </c>
      <c r="G793">
        <v>1785</v>
      </c>
      <c r="H793" s="4">
        <v>595</v>
      </c>
      <c r="I793" s="4">
        <v>1190</v>
      </c>
      <c r="J793" t="s">
        <v>228</v>
      </c>
      <c r="K793" t="s">
        <v>53</v>
      </c>
      <c r="L793" s="4">
        <v>14.377134310720955</v>
      </c>
      <c r="M793" s="1" t="s">
        <v>54</v>
      </c>
      <c r="N793" s="11">
        <f t="shared" si="12"/>
        <v>10</v>
      </c>
    </row>
    <row r="794" spans="1:14" ht="16" x14ac:dyDescent="0.2">
      <c r="A794" s="3">
        <v>44216.948032232329</v>
      </c>
      <c r="B794" s="1" t="s">
        <v>1191</v>
      </c>
      <c r="C794" t="s">
        <v>283</v>
      </c>
      <c r="D794">
        <v>4</v>
      </c>
      <c r="E794">
        <v>144</v>
      </c>
      <c r="F794">
        <v>36</v>
      </c>
      <c r="G794">
        <v>576</v>
      </c>
      <c r="H794" s="4">
        <v>144</v>
      </c>
      <c r="I794" s="4">
        <v>432</v>
      </c>
      <c r="J794" t="s">
        <v>562</v>
      </c>
      <c r="K794" t="s">
        <v>49</v>
      </c>
      <c r="L794" s="4">
        <v>11.808681852148307</v>
      </c>
      <c r="M794" s="1" t="s">
        <v>34</v>
      </c>
      <c r="N794" s="11">
        <f t="shared" si="12"/>
        <v>1</v>
      </c>
    </row>
    <row r="795" spans="1:14" ht="16" x14ac:dyDescent="0.2">
      <c r="A795" s="3">
        <v>44377.749458726008</v>
      </c>
      <c r="B795" s="1" t="s">
        <v>1192</v>
      </c>
      <c r="C795" t="s">
        <v>304</v>
      </c>
      <c r="D795">
        <v>20</v>
      </c>
      <c r="E795">
        <v>116</v>
      </c>
      <c r="F795">
        <v>29</v>
      </c>
      <c r="G795">
        <v>2320</v>
      </c>
      <c r="H795" s="4">
        <v>580</v>
      </c>
      <c r="I795" s="4">
        <v>1740</v>
      </c>
      <c r="J795" t="s">
        <v>673</v>
      </c>
      <c r="K795" t="s">
        <v>53</v>
      </c>
      <c r="L795" s="4">
        <v>14.460020532456038</v>
      </c>
      <c r="M795" s="1" t="s">
        <v>38</v>
      </c>
      <c r="N795" s="11">
        <f t="shared" si="12"/>
        <v>5</v>
      </c>
    </row>
    <row r="796" spans="1:14" ht="16" x14ac:dyDescent="0.2">
      <c r="A796" s="3">
        <v>44275.110474056142</v>
      </c>
      <c r="B796" s="1" t="s">
        <v>1193</v>
      </c>
      <c r="C796" t="s">
        <v>487</v>
      </c>
      <c r="D796">
        <v>8</v>
      </c>
      <c r="E796">
        <v>264</v>
      </c>
      <c r="F796">
        <v>88</v>
      </c>
      <c r="G796">
        <v>2112</v>
      </c>
      <c r="H796" s="4">
        <v>704</v>
      </c>
      <c r="I796" s="4">
        <v>1408</v>
      </c>
      <c r="J796" t="s">
        <v>446</v>
      </c>
      <c r="K796" t="s">
        <v>53</v>
      </c>
      <c r="L796" s="4">
        <v>12.85215703546821</v>
      </c>
      <c r="M796" s="1" t="s">
        <v>38</v>
      </c>
      <c r="N796" s="11">
        <f t="shared" si="12"/>
        <v>5</v>
      </c>
    </row>
    <row r="797" spans="1:14" ht="16" x14ac:dyDescent="0.2">
      <c r="A797" s="3">
        <v>44166.681144793249</v>
      </c>
      <c r="B797" s="1" t="s">
        <v>1194</v>
      </c>
      <c r="C797" t="s">
        <v>320</v>
      </c>
      <c r="D797">
        <v>6</v>
      </c>
      <c r="E797">
        <v>280</v>
      </c>
      <c r="F797">
        <v>70</v>
      </c>
      <c r="G797">
        <v>1680</v>
      </c>
      <c r="H797" s="4">
        <v>420</v>
      </c>
      <c r="I797" s="4">
        <v>1260</v>
      </c>
      <c r="J797" t="s">
        <v>1195</v>
      </c>
      <c r="K797" t="s">
        <v>33</v>
      </c>
      <c r="L797" s="4">
        <v>11.971065679104063</v>
      </c>
      <c r="M797" s="1" t="s">
        <v>38</v>
      </c>
      <c r="N797" s="11">
        <f t="shared" si="12"/>
        <v>5</v>
      </c>
    </row>
    <row r="798" spans="1:14" ht="16" x14ac:dyDescent="0.2">
      <c r="A798" s="3">
        <v>44255.218584162409</v>
      </c>
      <c r="B798" s="1" t="s">
        <v>1196</v>
      </c>
      <c r="C798" t="s">
        <v>101</v>
      </c>
      <c r="D798">
        <v>9</v>
      </c>
      <c r="E798">
        <v>50</v>
      </c>
      <c r="F798">
        <v>25</v>
      </c>
      <c r="G798">
        <v>450</v>
      </c>
      <c r="H798" s="4">
        <v>225</v>
      </c>
      <c r="I798" s="4">
        <v>225</v>
      </c>
      <c r="J798" t="s">
        <v>567</v>
      </c>
      <c r="K798" t="s">
        <v>49</v>
      </c>
      <c r="L798" s="4">
        <v>12.147202500273634</v>
      </c>
      <c r="M798" s="1" t="s">
        <v>54</v>
      </c>
      <c r="N798" s="11">
        <f t="shared" si="12"/>
        <v>10</v>
      </c>
    </row>
    <row r="799" spans="1:14" ht="16" x14ac:dyDescent="0.2">
      <c r="A799" s="3">
        <v>44138.328007609111</v>
      </c>
      <c r="B799" s="1" t="s">
        <v>1197</v>
      </c>
      <c r="C799" t="s">
        <v>286</v>
      </c>
      <c r="D799">
        <v>4</v>
      </c>
      <c r="E799">
        <v>34</v>
      </c>
      <c r="F799">
        <v>17</v>
      </c>
      <c r="G799">
        <v>136</v>
      </c>
      <c r="H799" s="4">
        <v>68</v>
      </c>
      <c r="I799" s="4">
        <v>68</v>
      </c>
      <c r="J799" t="s">
        <v>277</v>
      </c>
      <c r="K799" t="s">
        <v>58</v>
      </c>
      <c r="L799" s="4">
        <v>11.883396013219548</v>
      </c>
      <c r="M799" s="1" t="s">
        <v>34</v>
      </c>
      <c r="N799" s="11">
        <f t="shared" si="12"/>
        <v>1</v>
      </c>
    </row>
    <row r="800" spans="1:14" ht="16" x14ac:dyDescent="0.2">
      <c r="A800" s="3">
        <v>43894.973227153147</v>
      </c>
      <c r="B800" s="1" t="s">
        <v>1198</v>
      </c>
      <c r="C800" t="s">
        <v>328</v>
      </c>
      <c r="D800">
        <v>14</v>
      </c>
      <c r="E800">
        <v>124</v>
      </c>
      <c r="F800">
        <v>62</v>
      </c>
      <c r="G800">
        <v>1736</v>
      </c>
      <c r="H800" s="4">
        <v>868</v>
      </c>
      <c r="I800" s="4">
        <v>868</v>
      </c>
      <c r="J800" t="s">
        <v>892</v>
      </c>
      <c r="K800" t="s">
        <v>33</v>
      </c>
      <c r="L800" s="4">
        <v>13.062292798511226</v>
      </c>
      <c r="M800" s="1" t="s">
        <v>54</v>
      </c>
      <c r="N800" s="11">
        <f t="shared" si="12"/>
        <v>10</v>
      </c>
    </row>
    <row r="801" spans="1:14" ht="16" x14ac:dyDescent="0.2">
      <c r="A801" s="3">
        <v>43028.201714645496</v>
      </c>
      <c r="B801" s="1" t="s">
        <v>1199</v>
      </c>
      <c r="C801" t="s">
        <v>276</v>
      </c>
      <c r="D801">
        <v>1</v>
      </c>
      <c r="E801">
        <v>57</v>
      </c>
      <c r="F801">
        <v>19</v>
      </c>
      <c r="G801">
        <v>57</v>
      </c>
      <c r="H801" s="4">
        <v>19</v>
      </c>
      <c r="I801" s="4">
        <v>38</v>
      </c>
      <c r="J801" t="s">
        <v>236</v>
      </c>
      <c r="K801" t="s">
        <v>53</v>
      </c>
      <c r="L801" s="4">
        <v>9.3014286057233697</v>
      </c>
      <c r="M801" s="1" t="s">
        <v>54</v>
      </c>
      <c r="N801" s="11">
        <f t="shared" si="12"/>
        <v>10</v>
      </c>
    </row>
    <row r="802" spans="1:14" ht="16" x14ac:dyDescent="0.2">
      <c r="A802" s="3">
        <v>43004.069934904714</v>
      </c>
      <c r="B802" s="1" t="s">
        <v>1200</v>
      </c>
      <c r="C802" t="s">
        <v>209</v>
      </c>
      <c r="D802">
        <v>11</v>
      </c>
      <c r="E802">
        <v>150</v>
      </c>
      <c r="F802">
        <v>75</v>
      </c>
      <c r="G802">
        <v>1650</v>
      </c>
      <c r="H802" s="4">
        <v>825</v>
      </c>
      <c r="I802" s="4">
        <v>825</v>
      </c>
      <c r="J802" t="s">
        <v>531</v>
      </c>
      <c r="K802" t="s">
        <v>58</v>
      </c>
      <c r="L802" s="4">
        <v>14.064516999204997</v>
      </c>
      <c r="M802" s="1" t="s">
        <v>54</v>
      </c>
      <c r="N802" s="11">
        <f t="shared" si="12"/>
        <v>10</v>
      </c>
    </row>
    <row r="803" spans="1:14" ht="16" x14ac:dyDescent="0.2">
      <c r="A803" s="3">
        <v>43690.80947565876</v>
      </c>
      <c r="B803" s="1" t="s">
        <v>1201</v>
      </c>
      <c r="C803" t="s">
        <v>113</v>
      </c>
      <c r="D803">
        <v>11</v>
      </c>
      <c r="E803">
        <v>66</v>
      </c>
      <c r="F803">
        <v>33</v>
      </c>
      <c r="G803">
        <v>726</v>
      </c>
      <c r="H803" s="4">
        <v>363</v>
      </c>
      <c r="I803" s="4">
        <v>363</v>
      </c>
      <c r="J803" t="s">
        <v>1202</v>
      </c>
      <c r="K803" t="s">
        <v>58</v>
      </c>
      <c r="L803" s="4">
        <v>10.524491192521829</v>
      </c>
      <c r="M803" s="1" t="s">
        <v>54</v>
      </c>
      <c r="N803" s="11">
        <f t="shared" si="12"/>
        <v>10</v>
      </c>
    </row>
    <row r="804" spans="1:14" ht="16" x14ac:dyDescent="0.2">
      <c r="A804" s="3">
        <v>43059.831831966439</v>
      </c>
      <c r="B804" s="1" t="s">
        <v>1203</v>
      </c>
      <c r="C804" t="s">
        <v>40</v>
      </c>
      <c r="D804">
        <v>19</v>
      </c>
      <c r="E804">
        <v>46</v>
      </c>
      <c r="F804">
        <v>23</v>
      </c>
      <c r="G804">
        <v>874</v>
      </c>
      <c r="H804" s="4">
        <v>437</v>
      </c>
      <c r="I804" s="4">
        <v>437</v>
      </c>
      <c r="J804" t="s">
        <v>882</v>
      </c>
      <c r="K804" t="s">
        <v>64</v>
      </c>
      <c r="L804" s="4">
        <v>12.701325659159139</v>
      </c>
      <c r="M804" s="1" t="s">
        <v>34</v>
      </c>
      <c r="N804" s="11">
        <f t="shared" si="12"/>
        <v>1</v>
      </c>
    </row>
    <row r="805" spans="1:14" ht="16" x14ac:dyDescent="0.2">
      <c r="A805" s="3">
        <v>44722.405141027615</v>
      </c>
      <c r="B805" s="1" t="s">
        <v>1204</v>
      </c>
      <c r="C805" t="s">
        <v>788</v>
      </c>
      <c r="D805">
        <v>7</v>
      </c>
      <c r="E805">
        <v>100</v>
      </c>
      <c r="F805">
        <v>25</v>
      </c>
      <c r="G805">
        <v>700</v>
      </c>
      <c r="H805" s="4">
        <v>175</v>
      </c>
      <c r="I805" s="4">
        <v>525</v>
      </c>
      <c r="J805" t="s">
        <v>704</v>
      </c>
      <c r="K805" t="s">
        <v>86</v>
      </c>
      <c r="L805" s="4">
        <v>12.699042739101285</v>
      </c>
      <c r="M805" s="1" t="s">
        <v>38</v>
      </c>
      <c r="N805" s="11">
        <f t="shared" si="12"/>
        <v>5</v>
      </c>
    </row>
    <row r="806" spans="1:14" ht="16" x14ac:dyDescent="0.2">
      <c r="A806" s="3">
        <v>44085.72635302494</v>
      </c>
      <c r="B806" s="1" t="s">
        <v>1205</v>
      </c>
      <c r="C806" t="s">
        <v>72</v>
      </c>
      <c r="D806">
        <v>5</v>
      </c>
      <c r="E806">
        <v>352</v>
      </c>
      <c r="F806">
        <v>88</v>
      </c>
      <c r="G806">
        <v>1760</v>
      </c>
      <c r="H806" s="4">
        <v>440</v>
      </c>
      <c r="I806" s="4">
        <v>1320</v>
      </c>
      <c r="J806" t="s">
        <v>938</v>
      </c>
      <c r="K806" t="s">
        <v>33</v>
      </c>
      <c r="L806" s="4">
        <v>13.397308081757757</v>
      </c>
      <c r="M806" s="1" t="s">
        <v>34</v>
      </c>
      <c r="N806" s="11">
        <f t="shared" si="12"/>
        <v>1</v>
      </c>
    </row>
    <row r="807" spans="1:14" ht="16" x14ac:dyDescent="0.2">
      <c r="A807" s="3">
        <v>44481.572859409571</v>
      </c>
      <c r="B807" s="1" t="s">
        <v>1206</v>
      </c>
      <c r="C807" t="s">
        <v>142</v>
      </c>
      <c r="D807">
        <v>16</v>
      </c>
      <c r="E807">
        <v>210</v>
      </c>
      <c r="F807">
        <v>70</v>
      </c>
      <c r="G807">
        <v>3360</v>
      </c>
      <c r="H807" s="4">
        <v>1120</v>
      </c>
      <c r="I807" s="4">
        <v>2240</v>
      </c>
      <c r="J807" t="s">
        <v>155</v>
      </c>
      <c r="K807" t="s">
        <v>42</v>
      </c>
      <c r="L807" s="4">
        <v>13.378080355059918</v>
      </c>
      <c r="M807" s="1" t="s">
        <v>38</v>
      </c>
      <c r="N807" s="11">
        <f t="shared" si="12"/>
        <v>5</v>
      </c>
    </row>
    <row r="808" spans="1:14" ht="16" x14ac:dyDescent="0.2">
      <c r="A808" s="3">
        <v>43800.312500780376</v>
      </c>
      <c r="B808" s="1" t="s">
        <v>572</v>
      </c>
      <c r="C808" t="s">
        <v>40</v>
      </c>
      <c r="D808">
        <v>9</v>
      </c>
      <c r="E808">
        <v>46</v>
      </c>
      <c r="F808">
        <v>23</v>
      </c>
      <c r="G808">
        <v>414</v>
      </c>
      <c r="H808" s="4">
        <v>207</v>
      </c>
      <c r="I808" s="4">
        <v>207</v>
      </c>
      <c r="J808" t="s">
        <v>111</v>
      </c>
      <c r="K808" t="s">
        <v>53</v>
      </c>
      <c r="L808" s="4">
        <v>13.407340878370247</v>
      </c>
      <c r="M808" s="1" t="s">
        <v>54</v>
      </c>
      <c r="N808" s="11">
        <f t="shared" si="12"/>
        <v>10</v>
      </c>
    </row>
    <row r="809" spans="1:14" ht="16" x14ac:dyDescent="0.2">
      <c r="A809" s="3">
        <v>44054.512120036292</v>
      </c>
      <c r="B809" s="1" t="s">
        <v>1207</v>
      </c>
      <c r="C809" t="s">
        <v>386</v>
      </c>
      <c r="D809">
        <v>5</v>
      </c>
      <c r="E809">
        <v>110</v>
      </c>
      <c r="F809">
        <v>55</v>
      </c>
      <c r="G809">
        <v>550</v>
      </c>
      <c r="H809" s="4">
        <v>275</v>
      </c>
      <c r="I809" s="4">
        <v>275</v>
      </c>
      <c r="J809" t="s">
        <v>238</v>
      </c>
      <c r="K809" t="s">
        <v>86</v>
      </c>
      <c r="L809" s="4">
        <v>14.593670394271927</v>
      </c>
      <c r="M809" s="1" t="s">
        <v>38</v>
      </c>
      <c r="N809" s="11">
        <f t="shared" si="12"/>
        <v>5</v>
      </c>
    </row>
    <row r="810" spans="1:14" ht="16" x14ac:dyDescent="0.2">
      <c r="A810" s="3">
        <v>43104.272975526685</v>
      </c>
      <c r="B810" s="1" t="s">
        <v>1208</v>
      </c>
      <c r="C810" t="s">
        <v>592</v>
      </c>
      <c r="D810">
        <v>18</v>
      </c>
      <c r="E810">
        <v>312</v>
      </c>
      <c r="F810">
        <v>78</v>
      </c>
      <c r="G810">
        <v>5616</v>
      </c>
      <c r="H810" s="4">
        <v>1404</v>
      </c>
      <c r="I810" s="4">
        <v>4212</v>
      </c>
      <c r="J810" t="s">
        <v>638</v>
      </c>
      <c r="K810" t="s">
        <v>33</v>
      </c>
      <c r="L810" s="4">
        <v>12.131375018945562</v>
      </c>
      <c r="M810" s="1" t="s">
        <v>38</v>
      </c>
      <c r="N810" s="11">
        <f t="shared" si="12"/>
        <v>5</v>
      </c>
    </row>
    <row r="811" spans="1:14" ht="16" x14ac:dyDescent="0.2">
      <c r="A811" s="3">
        <v>43179.206803696943</v>
      </c>
      <c r="B811" s="1" t="s">
        <v>1209</v>
      </c>
      <c r="C811" t="s">
        <v>145</v>
      </c>
      <c r="D811">
        <v>7</v>
      </c>
      <c r="E811">
        <v>207</v>
      </c>
      <c r="F811">
        <v>69</v>
      </c>
      <c r="G811">
        <v>1449</v>
      </c>
      <c r="H811" s="4">
        <v>483</v>
      </c>
      <c r="I811" s="4">
        <v>966</v>
      </c>
      <c r="J811" t="s">
        <v>940</v>
      </c>
      <c r="K811" t="s">
        <v>86</v>
      </c>
      <c r="L811" s="4">
        <v>9.2053706474810433</v>
      </c>
      <c r="M811" s="1" t="s">
        <v>54</v>
      </c>
      <c r="N811" s="11">
        <f t="shared" si="12"/>
        <v>10</v>
      </c>
    </row>
    <row r="812" spans="1:14" ht="16" x14ac:dyDescent="0.2">
      <c r="A812" s="3">
        <v>43566.728807328327</v>
      </c>
      <c r="B812" s="1" t="s">
        <v>1210</v>
      </c>
      <c r="C812" t="s">
        <v>337</v>
      </c>
      <c r="D812">
        <v>1</v>
      </c>
      <c r="E812">
        <v>135</v>
      </c>
      <c r="F812">
        <v>45</v>
      </c>
      <c r="G812">
        <v>135</v>
      </c>
      <c r="H812" s="4">
        <v>45</v>
      </c>
      <c r="I812" s="4">
        <v>90</v>
      </c>
      <c r="J812" t="s">
        <v>116</v>
      </c>
      <c r="K812" t="s">
        <v>64</v>
      </c>
      <c r="L812" s="4">
        <v>14.697745043716761</v>
      </c>
      <c r="M812" s="1" t="s">
        <v>38</v>
      </c>
      <c r="N812" s="11">
        <f t="shared" si="12"/>
        <v>5</v>
      </c>
    </row>
    <row r="813" spans="1:14" ht="16" x14ac:dyDescent="0.2">
      <c r="A813" s="3">
        <v>44633.054144911446</v>
      </c>
      <c r="B813" s="1" t="s">
        <v>1211</v>
      </c>
      <c r="C813" t="s">
        <v>503</v>
      </c>
      <c r="D813">
        <v>19</v>
      </c>
      <c r="E813">
        <v>50</v>
      </c>
      <c r="F813">
        <v>25</v>
      </c>
      <c r="G813">
        <v>950</v>
      </c>
      <c r="H813" s="4">
        <v>475</v>
      </c>
      <c r="I813" s="4">
        <v>475</v>
      </c>
      <c r="J813" t="s">
        <v>310</v>
      </c>
      <c r="K813" t="s">
        <v>58</v>
      </c>
      <c r="L813" s="4">
        <v>11.03324198943719</v>
      </c>
      <c r="M813" s="1" t="s">
        <v>54</v>
      </c>
      <c r="N813" s="11">
        <f t="shared" si="12"/>
        <v>10</v>
      </c>
    </row>
    <row r="814" spans="1:14" ht="16" x14ac:dyDescent="0.2">
      <c r="A814" s="3">
        <v>43522.938444723884</v>
      </c>
      <c r="B814" s="1" t="s">
        <v>1212</v>
      </c>
      <c r="C814" t="s">
        <v>283</v>
      </c>
      <c r="D814">
        <v>15</v>
      </c>
      <c r="E814">
        <v>144</v>
      </c>
      <c r="F814">
        <v>36</v>
      </c>
      <c r="G814">
        <v>2160</v>
      </c>
      <c r="H814" s="4">
        <v>540</v>
      </c>
      <c r="I814" s="4">
        <v>1620</v>
      </c>
      <c r="J814" t="s">
        <v>225</v>
      </c>
      <c r="K814" t="s">
        <v>33</v>
      </c>
      <c r="L814" s="4">
        <v>11.083482342133532</v>
      </c>
      <c r="M814" s="1" t="s">
        <v>38</v>
      </c>
      <c r="N814" s="11">
        <f t="shared" si="12"/>
        <v>5</v>
      </c>
    </row>
    <row r="815" spans="1:14" ht="16" x14ac:dyDescent="0.2">
      <c r="A815" s="3">
        <v>44176.414679976791</v>
      </c>
      <c r="B815" s="1" t="s">
        <v>1213</v>
      </c>
      <c r="C815" t="s">
        <v>91</v>
      </c>
      <c r="D815">
        <v>17</v>
      </c>
      <c r="E815">
        <v>300</v>
      </c>
      <c r="F815">
        <v>75</v>
      </c>
      <c r="G815">
        <v>5100</v>
      </c>
      <c r="H815" s="4">
        <v>1275</v>
      </c>
      <c r="I815" s="4">
        <v>3825</v>
      </c>
      <c r="J815" t="s">
        <v>485</v>
      </c>
      <c r="K815" t="s">
        <v>49</v>
      </c>
      <c r="L815" s="4">
        <v>12.889576147248359</v>
      </c>
      <c r="M815" s="1" t="s">
        <v>54</v>
      </c>
      <c r="N815" s="11">
        <f t="shared" si="12"/>
        <v>10</v>
      </c>
    </row>
    <row r="816" spans="1:14" ht="16" x14ac:dyDescent="0.2">
      <c r="A816" s="3">
        <v>44447.212508270131</v>
      </c>
      <c r="B816" s="1" t="s">
        <v>1214</v>
      </c>
      <c r="C816" t="s">
        <v>81</v>
      </c>
      <c r="D816">
        <v>4</v>
      </c>
      <c r="E816">
        <v>166</v>
      </c>
      <c r="F816">
        <v>83</v>
      </c>
      <c r="G816">
        <v>664</v>
      </c>
      <c r="H816" s="4">
        <v>332</v>
      </c>
      <c r="I816" s="4">
        <v>332</v>
      </c>
      <c r="J816" t="s">
        <v>673</v>
      </c>
      <c r="K816" t="s">
        <v>53</v>
      </c>
      <c r="L816" s="4">
        <v>14.460020532456038</v>
      </c>
      <c r="M816" s="1" t="s">
        <v>54</v>
      </c>
      <c r="N816" s="11">
        <f t="shared" si="12"/>
        <v>10</v>
      </c>
    </row>
    <row r="817" spans="1:14" ht="16" x14ac:dyDescent="0.2">
      <c r="A817" s="3">
        <v>43345.946503630228</v>
      </c>
      <c r="B817" s="1" t="s">
        <v>1215</v>
      </c>
      <c r="C817" t="s">
        <v>91</v>
      </c>
      <c r="D817">
        <v>8</v>
      </c>
      <c r="E817">
        <v>300</v>
      </c>
      <c r="F817">
        <v>75</v>
      </c>
      <c r="G817">
        <v>2400</v>
      </c>
      <c r="H817" s="4">
        <v>600</v>
      </c>
      <c r="I817" s="4">
        <v>1800</v>
      </c>
      <c r="J817" t="s">
        <v>1008</v>
      </c>
      <c r="K817" t="s">
        <v>58</v>
      </c>
      <c r="L817" s="4">
        <v>9.9471686551317795</v>
      </c>
      <c r="M817" s="1" t="s">
        <v>54</v>
      </c>
      <c r="N817" s="11">
        <f t="shared" si="12"/>
        <v>10</v>
      </c>
    </row>
    <row r="818" spans="1:14" ht="16" x14ac:dyDescent="0.2">
      <c r="A818" s="3">
        <v>43704.313798547206</v>
      </c>
      <c r="B818" s="1" t="s">
        <v>1216</v>
      </c>
      <c r="C818" t="s">
        <v>328</v>
      </c>
      <c r="D818">
        <v>19</v>
      </c>
      <c r="E818">
        <v>124</v>
      </c>
      <c r="F818">
        <v>62</v>
      </c>
      <c r="G818">
        <v>2356</v>
      </c>
      <c r="H818" s="4">
        <v>1178</v>
      </c>
      <c r="I818" s="4">
        <v>1178</v>
      </c>
      <c r="J818" t="s">
        <v>274</v>
      </c>
      <c r="K818" t="s">
        <v>86</v>
      </c>
      <c r="L818" s="4">
        <v>9.821882845934784</v>
      </c>
      <c r="M818" s="1" t="s">
        <v>38</v>
      </c>
      <c r="N818" s="11">
        <f t="shared" si="12"/>
        <v>5</v>
      </c>
    </row>
    <row r="819" spans="1:14" ht="16" x14ac:dyDescent="0.2">
      <c r="A819" s="3">
        <v>44183.191256681734</v>
      </c>
      <c r="B819" s="1" t="s">
        <v>1217</v>
      </c>
      <c r="C819" t="s">
        <v>31</v>
      </c>
      <c r="D819">
        <v>5</v>
      </c>
      <c r="E819">
        <v>280</v>
      </c>
      <c r="F819">
        <v>70</v>
      </c>
      <c r="G819">
        <v>1400</v>
      </c>
      <c r="H819" s="4">
        <v>350</v>
      </c>
      <c r="I819" s="4">
        <v>1050</v>
      </c>
      <c r="J819" t="s">
        <v>741</v>
      </c>
      <c r="K819" t="s">
        <v>42</v>
      </c>
      <c r="L819" s="4">
        <v>14.817898176328208</v>
      </c>
      <c r="M819" s="1" t="s">
        <v>38</v>
      </c>
      <c r="N819" s="11">
        <f t="shared" si="12"/>
        <v>5</v>
      </c>
    </row>
    <row r="820" spans="1:14" ht="16" x14ac:dyDescent="0.2">
      <c r="A820" s="3">
        <v>44059.464487351652</v>
      </c>
      <c r="B820" s="1" t="s">
        <v>1218</v>
      </c>
      <c r="C820" t="s">
        <v>788</v>
      </c>
      <c r="D820">
        <v>5</v>
      </c>
      <c r="E820">
        <v>100</v>
      </c>
      <c r="F820">
        <v>25</v>
      </c>
      <c r="G820">
        <v>500</v>
      </c>
      <c r="H820" s="4">
        <v>125</v>
      </c>
      <c r="I820" s="4">
        <v>375</v>
      </c>
      <c r="J820" t="s">
        <v>253</v>
      </c>
      <c r="K820" t="s">
        <v>53</v>
      </c>
      <c r="L820" s="4">
        <v>13.918153610259502</v>
      </c>
      <c r="M820" s="1" t="s">
        <v>54</v>
      </c>
      <c r="N820" s="11">
        <f t="shared" si="12"/>
        <v>10</v>
      </c>
    </row>
    <row r="821" spans="1:14" ht="16" x14ac:dyDescent="0.2">
      <c r="A821" s="3">
        <v>43529.416315169932</v>
      </c>
      <c r="B821" s="1" t="s">
        <v>1219</v>
      </c>
      <c r="C821" t="s">
        <v>386</v>
      </c>
      <c r="D821">
        <v>10</v>
      </c>
      <c r="E821">
        <v>110</v>
      </c>
      <c r="F821">
        <v>55</v>
      </c>
      <c r="G821">
        <v>1100</v>
      </c>
      <c r="H821" s="4">
        <v>550</v>
      </c>
      <c r="I821" s="4">
        <v>550</v>
      </c>
      <c r="J821" t="s">
        <v>366</v>
      </c>
      <c r="K821" t="s">
        <v>64</v>
      </c>
      <c r="L821" s="4">
        <v>12.342715162719054</v>
      </c>
      <c r="M821" s="1" t="s">
        <v>54</v>
      </c>
      <c r="N821" s="11">
        <f t="shared" si="12"/>
        <v>10</v>
      </c>
    </row>
    <row r="822" spans="1:14" ht="16" x14ac:dyDescent="0.2">
      <c r="A822" s="3">
        <v>43875.167110970469</v>
      </c>
      <c r="B822" s="1" t="s">
        <v>1220</v>
      </c>
      <c r="C822" t="s">
        <v>139</v>
      </c>
      <c r="D822">
        <v>19</v>
      </c>
      <c r="E822">
        <v>320</v>
      </c>
      <c r="F822">
        <v>80</v>
      </c>
      <c r="G822">
        <v>6080</v>
      </c>
      <c r="H822" s="4">
        <v>1520</v>
      </c>
      <c r="I822" s="4">
        <v>4560</v>
      </c>
      <c r="J822" t="s">
        <v>354</v>
      </c>
      <c r="K822" t="s">
        <v>42</v>
      </c>
      <c r="L822" s="4">
        <v>13.518413464873573</v>
      </c>
      <c r="M822" s="1" t="s">
        <v>54</v>
      </c>
      <c r="N822" s="11">
        <f t="shared" si="12"/>
        <v>10</v>
      </c>
    </row>
    <row r="823" spans="1:14" ht="16" x14ac:dyDescent="0.2">
      <c r="A823" s="3">
        <v>43796.592982451068</v>
      </c>
      <c r="B823" s="1" t="s">
        <v>1221</v>
      </c>
      <c r="C823" t="s">
        <v>204</v>
      </c>
      <c r="D823">
        <v>12</v>
      </c>
      <c r="E823">
        <v>57</v>
      </c>
      <c r="F823">
        <v>19</v>
      </c>
      <c r="G823">
        <v>684</v>
      </c>
      <c r="H823" s="4">
        <v>228</v>
      </c>
      <c r="I823" s="4">
        <v>456</v>
      </c>
      <c r="J823" t="s">
        <v>318</v>
      </c>
      <c r="K823" t="s">
        <v>33</v>
      </c>
      <c r="L823" s="4">
        <v>9.0350666811770921</v>
      </c>
      <c r="M823" s="1" t="s">
        <v>38</v>
      </c>
      <c r="N823" s="11">
        <f t="shared" si="12"/>
        <v>5</v>
      </c>
    </row>
    <row r="824" spans="1:14" ht="16" x14ac:dyDescent="0.2">
      <c r="A824" s="3">
        <v>44219.544724142703</v>
      </c>
      <c r="B824" s="1" t="s">
        <v>1222</v>
      </c>
      <c r="C824" t="s">
        <v>544</v>
      </c>
      <c r="D824">
        <v>19</v>
      </c>
      <c r="E824">
        <v>267</v>
      </c>
      <c r="F824">
        <v>89</v>
      </c>
      <c r="G824">
        <v>5073</v>
      </c>
      <c r="H824" s="4">
        <v>1691</v>
      </c>
      <c r="I824" s="4">
        <v>3382</v>
      </c>
      <c r="J824" t="s">
        <v>1223</v>
      </c>
      <c r="K824" t="s">
        <v>53</v>
      </c>
      <c r="L824" s="4">
        <v>10.428287009858728</v>
      </c>
      <c r="M824" s="1" t="s">
        <v>54</v>
      </c>
      <c r="N824" s="11">
        <f t="shared" si="12"/>
        <v>10</v>
      </c>
    </row>
    <row r="825" spans="1:14" ht="16" x14ac:dyDescent="0.2">
      <c r="A825" s="3">
        <v>43722.801348878573</v>
      </c>
      <c r="B825" s="1" t="s">
        <v>1224</v>
      </c>
      <c r="C825" t="s">
        <v>78</v>
      </c>
      <c r="D825">
        <v>4</v>
      </c>
      <c r="E825">
        <v>94</v>
      </c>
      <c r="F825">
        <v>47</v>
      </c>
      <c r="G825">
        <v>376</v>
      </c>
      <c r="H825" s="4">
        <v>188</v>
      </c>
      <c r="I825" s="4">
        <v>188</v>
      </c>
      <c r="J825" t="s">
        <v>673</v>
      </c>
      <c r="K825" t="s">
        <v>53</v>
      </c>
      <c r="L825" s="4">
        <v>14.460020532456038</v>
      </c>
      <c r="M825" s="1" t="s">
        <v>34</v>
      </c>
      <c r="N825" s="11">
        <f t="shared" si="12"/>
        <v>1</v>
      </c>
    </row>
    <row r="826" spans="1:14" ht="16" x14ac:dyDescent="0.2">
      <c r="A826" s="3">
        <v>44202.128901148833</v>
      </c>
      <c r="B826" s="1" t="s">
        <v>1225</v>
      </c>
      <c r="C826" t="s">
        <v>56</v>
      </c>
      <c r="D826">
        <v>11</v>
      </c>
      <c r="E826">
        <v>38</v>
      </c>
      <c r="F826">
        <v>19</v>
      </c>
      <c r="G826">
        <v>418</v>
      </c>
      <c r="H826" s="4">
        <v>209</v>
      </c>
      <c r="I826" s="4">
        <v>209</v>
      </c>
      <c r="J826" t="s">
        <v>879</v>
      </c>
      <c r="K826" t="s">
        <v>42</v>
      </c>
      <c r="L826" s="4">
        <v>12.37474961859551</v>
      </c>
      <c r="M826" s="1" t="s">
        <v>38</v>
      </c>
      <c r="N826" s="11">
        <f t="shared" si="12"/>
        <v>5</v>
      </c>
    </row>
    <row r="827" spans="1:14" ht="16" x14ac:dyDescent="0.2">
      <c r="A827" s="3">
        <v>43638.587725333484</v>
      </c>
      <c r="B827" s="1" t="s">
        <v>1226</v>
      </c>
      <c r="C827" t="s">
        <v>240</v>
      </c>
      <c r="D827">
        <v>5</v>
      </c>
      <c r="E827">
        <v>108</v>
      </c>
      <c r="F827">
        <v>54</v>
      </c>
      <c r="G827">
        <v>540</v>
      </c>
      <c r="H827" s="4">
        <v>270</v>
      </c>
      <c r="I827" s="4">
        <v>270</v>
      </c>
      <c r="J827" t="s">
        <v>673</v>
      </c>
      <c r="K827" t="s">
        <v>53</v>
      </c>
      <c r="L827" s="4">
        <v>14.460020532456038</v>
      </c>
      <c r="M827" s="1" t="s">
        <v>38</v>
      </c>
      <c r="N827" s="11">
        <f t="shared" si="12"/>
        <v>5</v>
      </c>
    </row>
    <row r="828" spans="1:14" ht="16" x14ac:dyDescent="0.2">
      <c r="A828" s="3">
        <v>43807.379580356413</v>
      </c>
      <c r="B828" s="1" t="s">
        <v>1227</v>
      </c>
      <c r="C828" t="s">
        <v>75</v>
      </c>
      <c r="D828">
        <v>2</v>
      </c>
      <c r="E828">
        <v>76</v>
      </c>
      <c r="F828">
        <v>19</v>
      </c>
      <c r="G828">
        <v>152</v>
      </c>
      <c r="H828" s="4">
        <v>38</v>
      </c>
      <c r="I828" s="4">
        <v>114</v>
      </c>
      <c r="J828" t="s">
        <v>126</v>
      </c>
      <c r="K828" t="s">
        <v>64</v>
      </c>
      <c r="L828" s="4">
        <v>11.006397834696006</v>
      </c>
      <c r="M828" s="1" t="s">
        <v>54</v>
      </c>
      <c r="N828" s="11">
        <f t="shared" si="12"/>
        <v>10</v>
      </c>
    </row>
    <row r="829" spans="1:14" ht="16" x14ac:dyDescent="0.2">
      <c r="A829" s="3">
        <v>44349.447156681425</v>
      </c>
      <c r="B829" s="1" t="s">
        <v>1228</v>
      </c>
      <c r="C829" t="s">
        <v>31</v>
      </c>
      <c r="D829">
        <v>19</v>
      </c>
      <c r="E829">
        <v>280</v>
      </c>
      <c r="F829">
        <v>70</v>
      </c>
      <c r="G829">
        <v>5320</v>
      </c>
      <c r="H829" s="4">
        <v>1330</v>
      </c>
      <c r="I829" s="4">
        <v>3990</v>
      </c>
      <c r="J829" t="s">
        <v>167</v>
      </c>
      <c r="K829" t="s">
        <v>86</v>
      </c>
      <c r="L829" s="4">
        <v>10.216282609482219</v>
      </c>
      <c r="M829" s="1" t="s">
        <v>38</v>
      </c>
      <c r="N829" s="11">
        <f t="shared" si="12"/>
        <v>5</v>
      </c>
    </row>
    <row r="830" spans="1:14" ht="16" x14ac:dyDescent="0.2">
      <c r="A830" s="3">
        <v>43441.891737103739</v>
      </c>
      <c r="B830" s="1" t="s">
        <v>1229</v>
      </c>
      <c r="C830" t="s">
        <v>431</v>
      </c>
      <c r="D830">
        <v>7</v>
      </c>
      <c r="E830">
        <v>356</v>
      </c>
      <c r="F830">
        <v>89</v>
      </c>
      <c r="G830">
        <v>2492</v>
      </c>
      <c r="H830" s="4">
        <v>623</v>
      </c>
      <c r="I830" s="4">
        <v>1869</v>
      </c>
      <c r="J830" t="s">
        <v>140</v>
      </c>
      <c r="K830" t="s">
        <v>53</v>
      </c>
      <c r="L830" s="4">
        <v>7.1104128275166252</v>
      </c>
      <c r="M830" s="1" t="s">
        <v>38</v>
      </c>
      <c r="N830" s="11">
        <f t="shared" si="12"/>
        <v>5</v>
      </c>
    </row>
    <row r="831" spans="1:14" ht="16" x14ac:dyDescent="0.2">
      <c r="A831" s="3">
        <v>43569.661668356712</v>
      </c>
      <c r="B831" s="1" t="s">
        <v>1230</v>
      </c>
      <c r="C831" t="s">
        <v>788</v>
      </c>
      <c r="D831">
        <v>9</v>
      </c>
      <c r="E831">
        <v>100</v>
      </c>
      <c r="F831">
        <v>25</v>
      </c>
      <c r="G831">
        <v>900</v>
      </c>
      <c r="H831" s="4">
        <v>225</v>
      </c>
      <c r="I831" s="4">
        <v>675</v>
      </c>
      <c r="J831" t="s">
        <v>446</v>
      </c>
      <c r="K831" t="s">
        <v>53</v>
      </c>
      <c r="L831" s="4">
        <v>12.85215703546821</v>
      </c>
      <c r="M831" s="1" t="s">
        <v>54</v>
      </c>
      <c r="N831" s="11">
        <f t="shared" si="12"/>
        <v>10</v>
      </c>
    </row>
    <row r="832" spans="1:14" ht="16" x14ac:dyDescent="0.2">
      <c r="A832" s="3">
        <v>43801.577291493501</v>
      </c>
      <c r="B832" s="1" t="s">
        <v>1231</v>
      </c>
      <c r="C832" t="s">
        <v>547</v>
      </c>
      <c r="D832">
        <v>9</v>
      </c>
      <c r="E832">
        <v>300</v>
      </c>
      <c r="F832">
        <v>75</v>
      </c>
      <c r="G832">
        <v>2700</v>
      </c>
      <c r="H832" s="4">
        <v>675</v>
      </c>
      <c r="I832" s="4">
        <v>2025</v>
      </c>
      <c r="J832" t="s">
        <v>933</v>
      </c>
      <c r="K832" t="s">
        <v>58</v>
      </c>
      <c r="L832" s="4">
        <v>11.130819205617987</v>
      </c>
      <c r="M832" s="1" t="s">
        <v>54</v>
      </c>
      <c r="N832" s="11">
        <f t="shared" si="12"/>
        <v>10</v>
      </c>
    </row>
    <row r="833" spans="1:14" ht="16" x14ac:dyDescent="0.2">
      <c r="A833" s="3">
        <v>44251.839416451709</v>
      </c>
      <c r="B833" s="1" t="s">
        <v>651</v>
      </c>
      <c r="C833" t="s">
        <v>607</v>
      </c>
      <c r="D833">
        <v>8</v>
      </c>
      <c r="E833">
        <v>225</v>
      </c>
      <c r="F833">
        <v>75</v>
      </c>
      <c r="G833">
        <v>1800</v>
      </c>
      <c r="H833" s="4">
        <v>600</v>
      </c>
      <c r="I833" s="4">
        <v>1200</v>
      </c>
      <c r="J833" t="s">
        <v>1136</v>
      </c>
      <c r="K833" t="s">
        <v>49</v>
      </c>
      <c r="L833" s="4">
        <v>14.129095302641241</v>
      </c>
      <c r="M833" s="1" t="s">
        <v>34</v>
      </c>
      <c r="N833" s="11">
        <f t="shared" si="12"/>
        <v>1</v>
      </c>
    </row>
    <row r="834" spans="1:14" ht="16" x14ac:dyDescent="0.2">
      <c r="A834" s="3">
        <v>44047.091446357743</v>
      </c>
      <c r="B834" s="1" t="s">
        <v>1232</v>
      </c>
      <c r="C834" t="s">
        <v>120</v>
      </c>
      <c r="D834">
        <v>15</v>
      </c>
      <c r="E834">
        <v>252</v>
      </c>
      <c r="F834">
        <v>63</v>
      </c>
      <c r="G834">
        <v>3780</v>
      </c>
      <c r="H834" s="4">
        <v>945</v>
      </c>
      <c r="I834" s="4">
        <v>2835</v>
      </c>
      <c r="J834" t="s">
        <v>856</v>
      </c>
      <c r="K834" t="s">
        <v>42</v>
      </c>
      <c r="L834" s="4">
        <v>11.226611755437654</v>
      </c>
      <c r="M834" s="1" t="s">
        <v>38</v>
      </c>
      <c r="N834" s="11">
        <f t="shared" si="12"/>
        <v>5</v>
      </c>
    </row>
    <row r="835" spans="1:14" ht="16" x14ac:dyDescent="0.2">
      <c r="A835" s="3">
        <v>45232.34936580107</v>
      </c>
      <c r="B835" s="1" t="s">
        <v>1233</v>
      </c>
      <c r="C835" t="s">
        <v>93</v>
      </c>
      <c r="D835">
        <v>7</v>
      </c>
      <c r="E835">
        <v>204</v>
      </c>
      <c r="F835">
        <v>51</v>
      </c>
      <c r="G835">
        <v>1428</v>
      </c>
      <c r="H835" s="4">
        <v>357</v>
      </c>
      <c r="I835" s="4">
        <v>1071</v>
      </c>
      <c r="J835" t="s">
        <v>329</v>
      </c>
      <c r="K835" t="s">
        <v>33</v>
      </c>
      <c r="L835" s="4">
        <v>12.545140403858928</v>
      </c>
      <c r="M835" s="1" t="s">
        <v>54</v>
      </c>
      <c r="N835" s="11">
        <f t="shared" ref="N835:N898" si="13">+IF(M835="Dissatisfied",1,IF(M835="Satisfied",10,5))</f>
        <v>10</v>
      </c>
    </row>
    <row r="836" spans="1:14" ht="16" x14ac:dyDescent="0.2">
      <c r="A836" s="3">
        <v>44663.841674405579</v>
      </c>
      <c r="B836" s="1" t="s">
        <v>1234</v>
      </c>
      <c r="C836" t="s">
        <v>215</v>
      </c>
      <c r="D836">
        <v>14</v>
      </c>
      <c r="E836">
        <v>176</v>
      </c>
      <c r="F836">
        <v>88</v>
      </c>
      <c r="G836">
        <v>2464</v>
      </c>
      <c r="H836" s="4">
        <v>1232</v>
      </c>
      <c r="I836" s="4">
        <v>1232</v>
      </c>
      <c r="J836" t="s">
        <v>862</v>
      </c>
      <c r="K836" t="s">
        <v>58</v>
      </c>
      <c r="L836" s="4">
        <v>13.827196127590291</v>
      </c>
      <c r="M836" s="1" t="s">
        <v>34</v>
      </c>
      <c r="N836" s="11">
        <f t="shared" si="13"/>
        <v>1</v>
      </c>
    </row>
    <row r="837" spans="1:14" ht="16" x14ac:dyDescent="0.2">
      <c r="A837" s="3">
        <v>44058.18731160045</v>
      </c>
      <c r="B837" s="1" t="s">
        <v>1235</v>
      </c>
      <c r="C837" t="s">
        <v>399</v>
      </c>
      <c r="D837">
        <v>9</v>
      </c>
      <c r="E837">
        <v>160</v>
      </c>
      <c r="F837">
        <v>80</v>
      </c>
      <c r="G837">
        <v>1440</v>
      </c>
      <c r="H837" s="4">
        <v>720</v>
      </c>
      <c r="I837" s="4">
        <v>720</v>
      </c>
      <c r="J837" t="s">
        <v>691</v>
      </c>
      <c r="K837" t="s">
        <v>33</v>
      </c>
      <c r="L837" s="4">
        <v>10.248947386022252</v>
      </c>
      <c r="M837" s="1" t="s">
        <v>34</v>
      </c>
      <c r="N837" s="11">
        <f t="shared" si="13"/>
        <v>1</v>
      </c>
    </row>
    <row r="838" spans="1:14" ht="16" x14ac:dyDescent="0.2">
      <c r="A838" s="3">
        <v>44156.104808353717</v>
      </c>
      <c r="B838" s="1" t="s">
        <v>1236</v>
      </c>
      <c r="C838" t="s">
        <v>561</v>
      </c>
      <c r="D838">
        <v>13</v>
      </c>
      <c r="E838">
        <v>384</v>
      </c>
      <c r="F838">
        <v>96</v>
      </c>
      <c r="G838">
        <v>4992</v>
      </c>
      <c r="H838" s="4">
        <v>1248</v>
      </c>
      <c r="I838" s="4">
        <v>3744</v>
      </c>
      <c r="J838" t="s">
        <v>716</v>
      </c>
      <c r="K838" t="s">
        <v>33</v>
      </c>
      <c r="L838" s="4">
        <v>10.411813357023924</v>
      </c>
      <c r="M838" s="1" t="s">
        <v>34</v>
      </c>
      <c r="N838" s="11">
        <f t="shared" si="13"/>
        <v>1</v>
      </c>
    </row>
    <row r="839" spans="1:14" ht="16" x14ac:dyDescent="0.2">
      <c r="A839" s="3">
        <v>44388.604465521035</v>
      </c>
      <c r="B839" s="1" t="s">
        <v>1237</v>
      </c>
      <c r="C839" t="s">
        <v>160</v>
      </c>
      <c r="D839">
        <v>5</v>
      </c>
      <c r="E839">
        <v>132</v>
      </c>
      <c r="F839">
        <v>33</v>
      </c>
      <c r="G839">
        <v>660</v>
      </c>
      <c r="H839" s="4">
        <v>165</v>
      </c>
      <c r="I839" s="4">
        <v>495</v>
      </c>
      <c r="J839" t="s">
        <v>143</v>
      </c>
      <c r="K839" t="s">
        <v>64</v>
      </c>
      <c r="L839" s="4">
        <v>11.406233913305266</v>
      </c>
      <c r="M839" s="1" t="s">
        <v>54</v>
      </c>
      <c r="N839" s="11">
        <f t="shared" si="13"/>
        <v>10</v>
      </c>
    </row>
    <row r="840" spans="1:14" ht="16" x14ac:dyDescent="0.2">
      <c r="A840" s="3">
        <v>44423.734104126401</v>
      </c>
      <c r="B840" s="1" t="s">
        <v>1238</v>
      </c>
      <c r="C840" t="s">
        <v>51</v>
      </c>
      <c r="D840">
        <v>9</v>
      </c>
      <c r="E840">
        <v>160</v>
      </c>
      <c r="F840">
        <v>80</v>
      </c>
      <c r="G840">
        <v>1440</v>
      </c>
      <c r="H840" s="4">
        <v>720</v>
      </c>
      <c r="I840" s="4">
        <v>720</v>
      </c>
      <c r="J840" t="s">
        <v>207</v>
      </c>
      <c r="K840" t="s">
        <v>42</v>
      </c>
      <c r="L840" s="4">
        <v>12.177709716438097</v>
      </c>
      <c r="M840" s="1" t="s">
        <v>34</v>
      </c>
      <c r="N840" s="11">
        <f t="shared" si="13"/>
        <v>1</v>
      </c>
    </row>
    <row r="841" spans="1:14" ht="16" x14ac:dyDescent="0.2">
      <c r="A841" s="3">
        <v>43485.098538647711</v>
      </c>
      <c r="B841" s="1" t="s">
        <v>1239</v>
      </c>
      <c r="C841" t="s">
        <v>365</v>
      </c>
      <c r="D841">
        <v>7</v>
      </c>
      <c r="E841">
        <v>255</v>
      </c>
      <c r="F841">
        <v>85</v>
      </c>
      <c r="G841">
        <v>1785</v>
      </c>
      <c r="H841" s="4">
        <v>595</v>
      </c>
      <c r="I841" s="4">
        <v>1190</v>
      </c>
      <c r="J841" t="s">
        <v>815</v>
      </c>
      <c r="K841" t="s">
        <v>33</v>
      </c>
      <c r="L841" s="4">
        <v>16.254955391951082</v>
      </c>
      <c r="M841" s="1" t="s">
        <v>38</v>
      </c>
      <c r="N841" s="11">
        <f t="shared" si="13"/>
        <v>5</v>
      </c>
    </row>
    <row r="842" spans="1:14" ht="16" x14ac:dyDescent="0.2">
      <c r="A842" s="3">
        <v>44569.081891578084</v>
      </c>
      <c r="B842" s="1" t="s">
        <v>1240</v>
      </c>
      <c r="C842" t="s">
        <v>365</v>
      </c>
      <c r="D842">
        <v>17</v>
      </c>
      <c r="E842">
        <v>255</v>
      </c>
      <c r="F842">
        <v>85</v>
      </c>
      <c r="G842">
        <v>4335</v>
      </c>
      <c r="H842" s="4">
        <v>1445</v>
      </c>
      <c r="I842" s="4">
        <v>2890</v>
      </c>
      <c r="J842" t="s">
        <v>270</v>
      </c>
      <c r="K842" t="s">
        <v>42</v>
      </c>
      <c r="L842" s="4">
        <v>12.661538237835474</v>
      </c>
      <c r="M842" s="1" t="s">
        <v>54</v>
      </c>
      <c r="N842" s="11">
        <f t="shared" si="13"/>
        <v>10</v>
      </c>
    </row>
    <row r="843" spans="1:14" ht="16" x14ac:dyDescent="0.2">
      <c r="A843" s="3">
        <v>43957.893519275116</v>
      </c>
      <c r="B843" s="1" t="s">
        <v>1241</v>
      </c>
      <c r="C843" t="s">
        <v>312</v>
      </c>
      <c r="D843">
        <v>12</v>
      </c>
      <c r="E843">
        <v>240</v>
      </c>
      <c r="F843">
        <v>80</v>
      </c>
      <c r="G843">
        <v>2880</v>
      </c>
      <c r="H843" s="4">
        <v>960</v>
      </c>
      <c r="I843" s="4">
        <v>1920</v>
      </c>
      <c r="J843" t="s">
        <v>552</v>
      </c>
      <c r="K843" t="s">
        <v>53</v>
      </c>
      <c r="L843" s="4">
        <v>9.74650548941427</v>
      </c>
      <c r="M843" s="1" t="s">
        <v>38</v>
      </c>
      <c r="N843" s="11">
        <f t="shared" si="13"/>
        <v>5</v>
      </c>
    </row>
    <row r="844" spans="1:14" ht="16" x14ac:dyDescent="0.2">
      <c r="A844" s="3">
        <v>44607.14093267615</v>
      </c>
      <c r="B844" s="1" t="s">
        <v>1242</v>
      </c>
      <c r="C844" t="s">
        <v>299</v>
      </c>
      <c r="D844">
        <v>4</v>
      </c>
      <c r="E844">
        <v>225</v>
      </c>
      <c r="F844">
        <v>75</v>
      </c>
      <c r="G844">
        <v>900</v>
      </c>
      <c r="H844" s="4">
        <v>300</v>
      </c>
      <c r="I844" s="4">
        <v>600</v>
      </c>
      <c r="J844" t="s">
        <v>562</v>
      </c>
      <c r="K844" t="s">
        <v>49</v>
      </c>
      <c r="L844" s="4">
        <v>11.808681852148307</v>
      </c>
      <c r="M844" s="1" t="s">
        <v>38</v>
      </c>
      <c r="N844" s="11">
        <f t="shared" si="13"/>
        <v>5</v>
      </c>
    </row>
    <row r="845" spans="1:14" ht="16" x14ac:dyDescent="0.2">
      <c r="A845" s="3">
        <v>43999.461408453288</v>
      </c>
      <c r="B845" s="1" t="s">
        <v>1133</v>
      </c>
      <c r="C845" t="s">
        <v>88</v>
      </c>
      <c r="D845">
        <v>20</v>
      </c>
      <c r="E845">
        <v>210</v>
      </c>
      <c r="F845">
        <v>70</v>
      </c>
      <c r="G845">
        <v>4200</v>
      </c>
      <c r="H845" s="4">
        <v>1400</v>
      </c>
      <c r="I845" s="4">
        <v>2800</v>
      </c>
      <c r="J845" t="s">
        <v>440</v>
      </c>
      <c r="K845" t="s">
        <v>33</v>
      </c>
      <c r="L845" s="4">
        <v>10.408704992688252</v>
      </c>
      <c r="M845" s="1" t="s">
        <v>54</v>
      </c>
      <c r="N845" s="11">
        <f t="shared" si="13"/>
        <v>10</v>
      </c>
    </row>
    <row r="846" spans="1:14" ht="16" x14ac:dyDescent="0.2">
      <c r="A846" s="3">
        <v>44446.007276897246</v>
      </c>
      <c r="B846" s="1" t="s">
        <v>791</v>
      </c>
      <c r="C846" t="s">
        <v>125</v>
      </c>
      <c r="D846">
        <v>11</v>
      </c>
      <c r="E846">
        <v>176</v>
      </c>
      <c r="F846">
        <v>88</v>
      </c>
      <c r="G846">
        <v>1936</v>
      </c>
      <c r="H846" s="4">
        <v>968</v>
      </c>
      <c r="I846" s="4">
        <v>968</v>
      </c>
      <c r="J846" t="s">
        <v>811</v>
      </c>
      <c r="K846" t="s">
        <v>58</v>
      </c>
      <c r="L846" s="4">
        <v>14.308257477047373</v>
      </c>
      <c r="M846" s="1" t="s">
        <v>54</v>
      </c>
      <c r="N846" s="11">
        <f t="shared" si="13"/>
        <v>10</v>
      </c>
    </row>
    <row r="847" spans="1:14" ht="16" x14ac:dyDescent="0.2">
      <c r="A847" s="3">
        <v>44664.609404436458</v>
      </c>
      <c r="B847" s="1" t="s">
        <v>1243</v>
      </c>
      <c r="C847" t="s">
        <v>779</v>
      </c>
      <c r="D847">
        <v>2</v>
      </c>
      <c r="E847">
        <v>120</v>
      </c>
      <c r="F847">
        <v>30</v>
      </c>
      <c r="G847">
        <v>240</v>
      </c>
      <c r="H847" s="4">
        <v>60</v>
      </c>
      <c r="I847" s="4">
        <v>180</v>
      </c>
      <c r="J847" t="s">
        <v>626</v>
      </c>
      <c r="K847" t="s">
        <v>58</v>
      </c>
      <c r="L847" s="4">
        <v>13.259563298324382</v>
      </c>
      <c r="M847" s="1" t="s">
        <v>38</v>
      </c>
      <c r="N847" s="11">
        <f t="shared" si="13"/>
        <v>5</v>
      </c>
    </row>
    <row r="848" spans="1:14" ht="16" x14ac:dyDescent="0.2">
      <c r="A848" s="3">
        <v>43622.85668249966</v>
      </c>
      <c r="B848" s="1" t="s">
        <v>735</v>
      </c>
      <c r="C848" t="s">
        <v>84</v>
      </c>
      <c r="D848">
        <v>6</v>
      </c>
      <c r="E848">
        <v>126</v>
      </c>
      <c r="F848">
        <v>42</v>
      </c>
      <c r="G848">
        <v>756</v>
      </c>
      <c r="H848" s="4">
        <v>252</v>
      </c>
      <c r="I848" s="4">
        <v>504</v>
      </c>
      <c r="J848" t="s">
        <v>284</v>
      </c>
      <c r="K848" t="s">
        <v>58</v>
      </c>
      <c r="L848" s="4">
        <v>10.570474361325047</v>
      </c>
      <c r="M848" s="1" t="s">
        <v>54</v>
      </c>
      <c r="N848" s="11">
        <f t="shared" si="13"/>
        <v>10</v>
      </c>
    </row>
    <row r="849" spans="1:14" ht="16" x14ac:dyDescent="0.2">
      <c r="A849" s="3">
        <v>44478.287352556807</v>
      </c>
      <c r="B849" s="1" t="s">
        <v>1244</v>
      </c>
      <c r="C849" t="s">
        <v>175</v>
      </c>
      <c r="D849">
        <v>5</v>
      </c>
      <c r="E849">
        <v>38</v>
      </c>
      <c r="F849">
        <v>19</v>
      </c>
      <c r="G849">
        <v>190</v>
      </c>
      <c r="H849" s="4">
        <v>95</v>
      </c>
      <c r="I849" s="4">
        <v>95</v>
      </c>
      <c r="J849" t="s">
        <v>469</v>
      </c>
      <c r="K849" t="s">
        <v>64</v>
      </c>
      <c r="L849" s="4">
        <v>7.9963422143733238</v>
      </c>
      <c r="M849" s="1" t="s">
        <v>38</v>
      </c>
      <c r="N849" s="11">
        <f t="shared" si="13"/>
        <v>5</v>
      </c>
    </row>
    <row r="850" spans="1:14" ht="16" x14ac:dyDescent="0.2">
      <c r="A850" s="3">
        <v>44350.720410811817</v>
      </c>
      <c r="B850" s="1" t="s">
        <v>1245</v>
      </c>
      <c r="C850" t="s">
        <v>56</v>
      </c>
      <c r="D850">
        <v>8</v>
      </c>
      <c r="E850">
        <v>38</v>
      </c>
      <c r="F850">
        <v>19</v>
      </c>
      <c r="G850">
        <v>304</v>
      </c>
      <c r="H850" s="4">
        <v>152</v>
      </c>
      <c r="I850" s="4">
        <v>152</v>
      </c>
      <c r="J850" t="s">
        <v>616</v>
      </c>
      <c r="K850" t="s">
        <v>49</v>
      </c>
      <c r="L850" s="4">
        <v>13.466362789017223</v>
      </c>
      <c r="M850" s="1" t="s">
        <v>38</v>
      </c>
      <c r="N850" s="11">
        <f t="shared" si="13"/>
        <v>5</v>
      </c>
    </row>
    <row r="851" spans="1:14" ht="16" x14ac:dyDescent="0.2">
      <c r="A851" s="3">
        <v>43738.400141228507</v>
      </c>
      <c r="B851" s="1" t="s">
        <v>1246</v>
      </c>
      <c r="C851" t="s">
        <v>255</v>
      </c>
      <c r="D851">
        <v>12</v>
      </c>
      <c r="E851">
        <v>140</v>
      </c>
      <c r="F851">
        <v>70</v>
      </c>
      <c r="G851">
        <v>1680</v>
      </c>
      <c r="H851" s="4">
        <v>840</v>
      </c>
      <c r="I851" s="4">
        <v>840</v>
      </c>
      <c r="J851" t="s">
        <v>446</v>
      </c>
      <c r="K851" t="s">
        <v>53</v>
      </c>
      <c r="L851" s="4">
        <v>12.85215703546821</v>
      </c>
      <c r="M851" s="1" t="s">
        <v>38</v>
      </c>
      <c r="N851" s="11">
        <f t="shared" si="13"/>
        <v>5</v>
      </c>
    </row>
    <row r="852" spans="1:14" ht="16" x14ac:dyDescent="0.2">
      <c r="A852" s="3">
        <v>43030.109640636176</v>
      </c>
      <c r="B852" s="1" t="s">
        <v>1247</v>
      </c>
      <c r="C852" t="s">
        <v>125</v>
      </c>
      <c r="D852">
        <v>6</v>
      </c>
      <c r="E852">
        <v>176</v>
      </c>
      <c r="F852">
        <v>88</v>
      </c>
      <c r="G852">
        <v>1056</v>
      </c>
      <c r="H852" s="4">
        <v>528</v>
      </c>
      <c r="I852" s="4">
        <v>528</v>
      </c>
      <c r="J852" t="s">
        <v>819</v>
      </c>
      <c r="K852" t="s">
        <v>86</v>
      </c>
      <c r="L852" s="4">
        <v>12.155895475340943</v>
      </c>
      <c r="M852" s="1" t="s">
        <v>34</v>
      </c>
      <c r="N852" s="11">
        <f t="shared" si="13"/>
        <v>1</v>
      </c>
    </row>
    <row r="853" spans="1:14" ht="16" x14ac:dyDescent="0.2">
      <c r="A853" s="3">
        <v>43845.874483105486</v>
      </c>
      <c r="B853" s="1" t="s">
        <v>519</v>
      </c>
      <c r="C853" t="s">
        <v>215</v>
      </c>
      <c r="D853">
        <v>13</v>
      </c>
      <c r="E853">
        <v>176</v>
      </c>
      <c r="F853">
        <v>88</v>
      </c>
      <c r="G853">
        <v>2288</v>
      </c>
      <c r="H853" s="4">
        <v>1144</v>
      </c>
      <c r="I853" s="4">
        <v>1144</v>
      </c>
      <c r="J853" t="s">
        <v>825</v>
      </c>
      <c r="K853" t="s">
        <v>42</v>
      </c>
      <c r="L853" s="4">
        <v>14.060995290679429</v>
      </c>
      <c r="M853" s="1" t="s">
        <v>38</v>
      </c>
      <c r="N853" s="11">
        <f t="shared" si="13"/>
        <v>5</v>
      </c>
    </row>
    <row r="854" spans="1:14" ht="16" x14ac:dyDescent="0.2">
      <c r="A854" s="3">
        <v>44529.750536367756</v>
      </c>
      <c r="B854" s="1" t="s">
        <v>1248</v>
      </c>
      <c r="C854" t="s">
        <v>288</v>
      </c>
      <c r="D854">
        <v>19</v>
      </c>
      <c r="E854">
        <v>48</v>
      </c>
      <c r="F854">
        <v>24</v>
      </c>
      <c r="G854">
        <v>912</v>
      </c>
      <c r="H854" s="4">
        <v>456</v>
      </c>
      <c r="I854" s="4">
        <v>456</v>
      </c>
      <c r="J854" t="s">
        <v>357</v>
      </c>
      <c r="K854" t="s">
        <v>86</v>
      </c>
      <c r="L854" s="4">
        <v>11.986565560885863</v>
      </c>
      <c r="M854" s="1" t="s">
        <v>54</v>
      </c>
      <c r="N854" s="11">
        <f t="shared" si="13"/>
        <v>10</v>
      </c>
    </row>
    <row r="855" spans="1:14" ht="16" x14ac:dyDescent="0.2">
      <c r="A855" s="3">
        <v>43591.063444063861</v>
      </c>
      <c r="B855" s="1" t="s">
        <v>1249</v>
      </c>
      <c r="C855" t="s">
        <v>391</v>
      </c>
      <c r="D855">
        <v>17</v>
      </c>
      <c r="E855">
        <v>72</v>
      </c>
      <c r="F855">
        <v>36</v>
      </c>
      <c r="G855">
        <v>1224</v>
      </c>
      <c r="H855" s="4">
        <v>612</v>
      </c>
      <c r="I855" s="4">
        <v>612</v>
      </c>
      <c r="J855" t="s">
        <v>108</v>
      </c>
      <c r="K855" t="s">
        <v>64</v>
      </c>
      <c r="L855" s="4">
        <v>9.7467096260695598</v>
      </c>
      <c r="M855" s="1" t="s">
        <v>54</v>
      </c>
      <c r="N855" s="11">
        <f t="shared" si="13"/>
        <v>10</v>
      </c>
    </row>
    <row r="856" spans="1:14" ht="16" x14ac:dyDescent="0.2">
      <c r="A856" s="3">
        <v>43770.715130434692</v>
      </c>
      <c r="B856" s="1" t="s">
        <v>1250</v>
      </c>
      <c r="C856" t="s">
        <v>788</v>
      </c>
      <c r="D856">
        <v>8</v>
      </c>
      <c r="E856">
        <v>100</v>
      </c>
      <c r="F856">
        <v>25</v>
      </c>
      <c r="G856">
        <v>800</v>
      </c>
      <c r="H856" s="4">
        <v>200</v>
      </c>
      <c r="I856" s="4">
        <v>600</v>
      </c>
      <c r="J856" t="s">
        <v>555</v>
      </c>
      <c r="K856" t="s">
        <v>53</v>
      </c>
      <c r="L856" s="4">
        <v>14.341195386574373</v>
      </c>
      <c r="M856" s="1" t="s">
        <v>34</v>
      </c>
      <c r="N856" s="11">
        <f t="shared" si="13"/>
        <v>1</v>
      </c>
    </row>
    <row r="857" spans="1:14" ht="16" x14ac:dyDescent="0.2">
      <c r="A857" s="3">
        <v>44650.337386405619</v>
      </c>
      <c r="B857" s="1" t="s">
        <v>1251</v>
      </c>
      <c r="C857" t="s">
        <v>47</v>
      </c>
      <c r="D857">
        <v>4</v>
      </c>
      <c r="E857">
        <v>231</v>
      </c>
      <c r="F857">
        <v>77</v>
      </c>
      <c r="G857">
        <v>924</v>
      </c>
      <c r="H857" s="4">
        <v>308</v>
      </c>
      <c r="I857" s="4">
        <v>616</v>
      </c>
      <c r="J857" t="s">
        <v>152</v>
      </c>
      <c r="K857" t="s">
        <v>33</v>
      </c>
      <c r="L857" s="4">
        <v>11.749038185128619</v>
      </c>
      <c r="M857" s="1" t="s">
        <v>38</v>
      </c>
      <c r="N857" s="11">
        <f t="shared" si="13"/>
        <v>5</v>
      </c>
    </row>
    <row r="858" spans="1:14" ht="16" x14ac:dyDescent="0.2">
      <c r="A858" s="3">
        <v>43611.448842877609</v>
      </c>
      <c r="B858" s="1" t="s">
        <v>1252</v>
      </c>
      <c r="C858" t="s">
        <v>125</v>
      </c>
      <c r="D858">
        <v>9</v>
      </c>
      <c r="E858">
        <v>176</v>
      </c>
      <c r="F858">
        <v>88</v>
      </c>
      <c r="G858">
        <v>1584</v>
      </c>
      <c r="H858" s="4">
        <v>792</v>
      </c>
      <c r="I858" s="4">
        <v>792</v>
      </c>
      <c r="J858" t="s">
        <v>1253</v>
      </c>
      <c r="K858" t="s">
        <v>49</v>
      </c>
      <c r="L858" s="4">
        <v>10.518436853046438</v>
      </c>
      <c r="M858" s="1" t="s">
        <v>54</v>
      </c>
      <c r="N858" s="11">
        <f t="shared" si="13"/>
        <v>10</v>
      </c>
    </row>
    <row r="859" spans="1:14" ht="16" x14ac:dyDescent="0.2">
      <c r="A859" s="3">
        <v>43061.027421500425</v>
      </c>
      <c r="B859" s="1" t="s">
        <v>1254</v>
      </c>
      <c r="C859" t="s">
        <v>56</v>
      </c>
      <c r="D859">
        <v>13</v>
      </c>
      <c r="E859">
        <v>38</v>
      </c>
      <c r="F859">
        <v>19</v>
      </c>
      <c r="G859">
        <v>494</v>
      </c>
      <c r="H859" s="4">
        <v>247</v>
      </c>
      <c r="I859" s="4">
        <v>247</v>
      </c>
      <c r="J859" t="s">
        <v>882</v>
      </c>
      <c r="K859" t="s">
        <v>64</v>
      </c>
      <c r="L859" s="4">
        <v>12.701325659159139</v>
      </c>
      <c r="M859" s="1" t="s">
        <v>38</v>
      </c>
      <c r="N859" s="11">
        <f t="shared" si="13"/>
        <v>5</v>
      </c>
    </row>
    <row r="860" spans="1:14" ht="16" x14ac:dyDescent="0.2">
      <c r="A860" s="3">
        <v>43324.105389452714</v>
      </c>
      <c r="B860" s="1" t="s">
        <v>1255</v>
      </c>
      <c r="C860" t="s">
        <v>299</v>
      </c>
      <c r="D860">
        <v>1</v>
      </c>
      <c r="E860">
        <v>225</v>
      </c>
      <c r="F860">
        <v>75</v>
      </c>
      <c r="G860">
        <v>225</v>
      </c>
      <c r="H860" s="4">
        <v>75</v>
      </c>
      <c r="I860" s="4">
        <v>150</v>
      </c>
      <c r="J860" t="s">
        <v>318</v>
      </c>
      <c r="K860" t="s">
        <v>33</v>
      </c>
      <c r="L860" s="4">
        <v>9.0350666811770921</v>
      </c>
      <c r="M860" s="1" t="s">
        <v>54</v>
      </c>
      <c r="N860" s="11">
        <f t="shared" si="13"/>
        <v>10</v>
      </c>
    </row>
    <row r="861" spans="1:14" ht="16" x14ac:dyDescent="0.2">
      <c r="A861" s="3">
        <v>43849.5854905624</v>
      </c>
      <c r="B861" s="1" t="s">
        <v>1256</v>
      </c>
      <c r="C861" t="s">
        <v>547</v>
      </c>
      <c r="D861">
        <v>20</v>
      </c>
      <c r="E861">
        <v>300</v>
      </c>
      <c r="F861">
        <v>75</v>
      </c>
      <c r="G861">
        <v>6000</v>
      </c>
      <c r="H861" s="4">
        <v>1500</v>
      </c>
      <c r="I861" s="4">
        <v>4500</v>
      </c>
      <c r="J861" t="s">
        <v>191</v>
      </c>
      <c r="K861" t="s">
        <v>42</v>
      </c>
      <c r="L861" s="4">
        <v>10.523527521613014</v>
      </c>
      <c r="M861" s="1" t="s">
        <v>38</v>
      </c>
      <c r="N861" s="11">
        <f t="shared" si="13"/>
        <v>5</v>
      </c>
    </row>
    <row r="862" spans="1:14" ht="16" x14ac:dyDescent="0.2">
      <c r="A862" s="3">
        <v>44406.211209701927</v>
      </c>
      <c r="B862" s="1" t="s">
        <v>1257</v>
      </c>
      <c r="C862" t="s">
        <v>257</v>
      </c>
      <c r="D862">
        <v>9</v>
      </c>
      <c r="E862">
        <v>160</v>
      </c>
      <c r="F862">
        <v>80</v>
      </c>
      <c r="G862">
        <v>1440</v>
      </c>
      <c r="H862" s="4">
        <v>720</v>
      </c>
      <c r="I862" s="4">
        <v>720</v>
      </c>
      <c r="J862" t="s">
        <v>882</v>
      </c>
      <c r="K862" t="s">
        <v>64</v>
      </c>
      <c r="L862" s="4">
        <v>12.701325659159139</v>
      </c>
      <c r="M862" s="1" t="s">
        <v>38</v>
      </c>
      <c r="N862" s="11">
        <f t="shared" si="13"/>
        <v>5</v>
      </c>
    </row>
    <row r="863" spans="1:14" ht="16" x14ac:dyDescent="0.2">
      <c r="A863" s="3">
        <v>44869.636854528595</v>
      </c>
      <c r="B863" s="1" t="s">
        <v>1258</v>
      </c>
      <c r="C863" t="s">
        <v>75</v>
      </c>
      <c r="D863">
        <v>10</v>
      </c>
      <c r="E863">
        <v>76</v>
      </c>
      <c r="F863">
        <v>19</v>
      </c>
      <c r="G863">
        <v>760</v>
      </c>
      <c r="H863" s="4">
        <v>190</v>
      </c>
      <c r="I863" s="4">
        <v>570</v>
      </c>
      <c r="J863" t="s">
        <v>1259</v>
      </c>
      <c r="K863" t="s">
        <v>64</v>
      </c>
      <c r="L863" s="4">
        <v>10.01033276255276</v>
      </c>
      <c r="M863" s="1" t="s">
        <v>54</v>
      </c>
      <c r="N863" s="11">
        <f t="shared" si="13"/>
        <v>10</v>
      </c>
    </row>
    <row r="864" spans="1:14" ht="16" x14ac:dyDescent="0.2">
      <c r="A864" s="3">
        <v>43422.324723079313</v>
      </c>
      <c r="B864" s="1" t="s">
        <v>1260</v>
      </c>
      <c r="C864" t="s">
        <v>62</v>
      </c>
      <c r="D864">
        <v>9</v>
      </c>
      <c r="E864">
        <v>80</v>
      </c>
      <c r="F864">
        <v>20</v>
      </c>
      <c r="G864">
        <v>720</v>
      </c>
      <c r="H864" s="4">
        <v>180</v>
      </c>
      <c r="I864" s="4">
        <v>540</v>
      </c>
      <c r="J864" t="s">
        <v>219</v>
      </c>
      <c r="K864" t="s">
        <v>49</v>
      </c>
      <c r="L864" s="4">
        <v>13.697485557052493</v>
      </c>
      <c r="M864" s="1" t="s">
        <v>38</v>
      </c>
      <c r="N864" s="11">
        <f t="shared" si="13"/>
        <v>5</v>
      </c>
    </row>
    <row r="865" spans="1:14" ht="16" x14ac:dyDescent="0.2">
      <c r="A865" s="3">
        <v>43920.382780570522</v>
      </c>
      <c r="B865" s="1" t="s">
        <v>1261</v>
      </c>
      <c r="C865" t="s">
        <v>312</v>
      </c>
      <c r="D865">
        <v>7</v>
      </c>
      <c r="E865">
        <v>240</v>
      </c>
      <c r="F865">
        <v>80</v>
      </c>
      <c r="G865">
        <v>1680</v>
      </c>
      <c r="H865" s="4">
        <v>560</v>
      </c>
      <c r="I865" s="4">
        <v>1120</v>
      </c>
      <c r="J865" t="s">
        <v>161</v>
      </c>
      <c r="K865" t="s">
        <v>33</v>
      </c>
      <c r="L865" s="4">
        <v>14.370283356317486</v>
      </c>
      <c r="M865" s="1" t="s">
        <v>54</v>
      </c>
      <c r="N865" s="11">
        <f t="shared" si="13"/>
        <v>10</v>
      </c>
    </row>
    <row r="866" spans="1:14" ht="16" x14ac:dyDescent="0.2">
      <c r="A866" s="3">
        <v>43452.162770919189</v>
      </c>
      <c r="B866" s="1" t="s">
        <v>1262</v>
      </c>
      <c r="C866" t="s">
        <v>425</v>
      </c>
      <c r="D866">
        <v>18</v>
      </c>
      <c r="E866">
        <v>352</v>
      </c>
      <c r="F866">
        <v>88</v>
      </c>
      <c r="G866">
        <v>6336</v>
      </c>
      <c r="H866" s="4">
        <v>1584</v>
      </c>
      <c r="I866" s="4">
        <v>4752</v>
      </c>
      <c r="J866" t="s">
        <v>279</v>
      </c>
      <c r="K866" t="s">
        <v>64</v>
      </c>
      <c r="L866" s="4">
        <v>11.504886852416154</v>
      </c>
      <c r="M866" s="1" t="s">
        <v>38</v>
      </c>
      <c r="N866" s="11">
        <f t="shared" si="13"/>
        <v>5</v>
      </c>
    </row>
    <row r="867" spans="1:14" ht="16" x14ac:dyDescent="0.2">
      <c r="A867" s="3">
        <v>43595.864480283744</v>
      </c>
      <c r="B867" s="1" t="s">
        <v>1263</v>
      </c>
      <c r="C867" t="s">
        <v>196</v>
      </c>
      <c r="D867">
        <v>17</v>
      </c>
      <c r="E867">
        <v>192</v>
      </c>
      <c r="F867">
        <v>96</v>
      </c>
      <c r="G867">
        <v>3264</v>
      </c>
      <c r="H867" s="4">
        <v>1632</v>
      </c>
      <c r="I867" s="4">
        <v>1632</v>
      </c>
      <c r="J867" t="s">
        <v>474</v>
      </c>
      <c r="K867" t="s">
        <v>33</v>
      </c>
      <c r="L867" s="4">
        <v>9.629298039722805</v>
      </c>
      <c r="M867" s="1" t="s">
        <v>38</v>
      </c>
      <c r="N867" s="11">
        <f t="shared" si="13"/>
        <v>5</v>
      </c>
    </row>
    <row r="868" spans="1:14" ht="16" x14ac:dyDescent="0.2">
      <c r="A868" s="3">
        <v>44500.722180361234</v>
      </c>
      <c r="B868" s="1" t="s">
        <v>1264</v>
      </c>
      <c r="C868" t="s">
        <v>31</v>
      </c>
      <c r="D868">
        <v>11</v>
      </c>
      <c r="E868">
        <v>280</v>
      </c>
      <c r="F868">
        <v>70</v>
      </c>
      <c r="G868">
        <v>3080</v>
      </c>
      <c r="H868" s="4">
        <v>770</v>
      </c>
      <c r="I868" s="4">
        <v>2310</v>
      </c>
      <c r="J868" t="s">
        <v>462</v>
      </c>
      <c r="K868" t="s">
        <v>86</v>
      </c>
      <c r="L868" s="4">
        <v>12.732640267350657</v>
      </c>
      <c r="M868" s="1" t="s">
        <v>38</v>
      </c>
      <c r="N868" s="11">
        <f t="shared" si="13"/>
        <v>5</v>
      </c>
    </row>
    <row r="869" spans="1:14" ht="16" x14ac:dyDescent="0.2">
      <c r="A869" s="3">
        <v>42986.391488189838</v>
      </c>
      <c r="B869" s="1" t="s">
        <v>1265</v>
      </c>
      <c r="C869" t="s">
        <v>227</v>
      </c>
      <c r="D869">
        <v>8</v>
      </c>
      <c r="E869">
        <v>144</v>
      </c>
      <c r="F869">
        <v>48</v>
      </c>
      <c r="G869">
        <v>1152</v>
      </c>
      <c r="H869" s="4">
        <v>384</v>
      </c>
      <c r="I869" s="4">
        <v>768</v>
      </c>
      <c r="J869" t="s">
        <v>603</v>
      </c>
      <c r="K869" t="s">
        <v>64</v>
      </c>
      <c r="L869" s="4">
        <v>11.072271050116964</v>
      </c>
      <c r="M869" s="1" t="s">
        <v>38</v>
      </c>
      <c r="N869" s="11">
        <f t="shared" si="13"/>
        <v>5</v>
      </c>
    </row>
    <row r="870" spans="1:14" ht="16" x14ac:dyDescent="0.2">
      <c r="A870" s="3">
        <v>43851.628131367557</v>
      </c>
      <c r="B870" s="1" t="s">
        <v>1266</v>
      </c>
      <c r="C870" t="s">
        <v>356</v>
      </c>
      <c r="D870">
        <v>7</v>
      </c>
      <c r="E870">
        <v>356</v>
      </c>
      <c r="F870">
        <v>89</v>
      </c>
      <c r="G870">
        <v>2492</v>
      </c>
      <c r="H870" s="4">
        <v>623</v>
      </c>
      <c r="I870" s="4">
        <v>1869</v>
      </c>
      <c r="J870" t="s">
        <v>521</v>
      </c>
      <c r="K870" t="s">
        <v>58</v>
      </c>
      <c r="L870" s="4">
        <v>8.8514729234790472</v>
      </c>
      <c r="M870" s="1" t="s">
        <v>38</v>
      </c>
      <c r="N870" s="11">
        <f t="shared" si="13"/>
        <v>5</v>
      </c>
    </row>
    <row r="871" spans="1:14" ht="16" x14ac:dyDescent="0.2">
      <c r="A871" s="3">
        <v>43802.920496607447</v>
      </c>
      <c r="B871" s="1" t="s">
        <v>452</v>
      </c>
      <c r="C871" t="s">
        <v>788</v>
      </c>
      <c r="D871">
        <v>11</v>
      </c>
      <c r="E871">
        <v>100</v>
      </c>
      <c r="F871">
        <v>25</v>
      </c>
      <c r="G871">
        <v>1100</v>
      </c>
      <c r="H871" s="4">
        <v>275</v>
      </c>
      <c r="I871" s="4">
        <v>825</v>
      </c>
      <c r="J871" t="s">
        <v>709</v>
      </c>
      <c r="K871" t="s">
        <v>86</v>
      </c>
      <c r="L871" s="4">
        <v>12.658317415198635</v>
      </c>
      <c r="M871" s="1" t="s">
        <v>38</v>
      </c>
      <c r="N871" s="11">
        <f t="shared" si="13"/>
        <v>5</v>
      </c>
    </row>
    <row r="872" spans="1:14" ht="16" x14ac:dyDescent="0.2">
      <c r="A872" s="3">
        <v>43952.420302572194</v>
      </c>
      <c r="B872" s="1" t="s">
        <v>1267</v>
      </c>
      <c r="C872" t="s">
        <v>425</v>
      </c>
      <c r="D872">
        <v>14</v>
      </c>
      <c r="E872">
        <v>352</v>
      </c>
      <c r="F872">
        <v>88</v>
      </c>
      <c r="G872">
        <v>4928</v>
      </c>
      <c r="H872" s="4">
        <v>1232</v>
      </c>
      <c r="I872" s="4">
        <v>3696</v>
      </c>
      <c r="J872" t="s">
        <v>1065</v>
      </c>
      <c r="K872" t="s">
        <v>53</v>
      </c>
      <c r="L872" s="4">
        <v>13.00553764131261</v>
      </c>
      <c r="M872" s="1" t="s">
        <v>34</v>
      </c>
      <c r="N872" s="11">
        <f t="shared" si="13"/>
        <v>1</v>
      </c>
    </row>
    <row r="873" spans="1:14" ht="16" x14ac:dyDescent="0.2">
      <c r="A873" s="3">
        <v>43226.932994653995</v>
      </c>
      <c r="B873" s="1" t="s">
        <v>1268</v>
      </c>
      <c r="C873" t="s">
        <v>788</v>
      </c>
      <c r="D873">
        <v>7</v>
      </c>
      <c r="E873">
        <v>100</v>
      </c>
      <c r="F873">
        <v>25</v>
      </c>
      <c r="G873">
        <v>700</v>
      </c>
      <c r="H873" s="4">
        <v>175</v>
      </c>
      <c r="I873" s="4">
        <v>525</v>
      </c>
      <c r="J873" t="s">
        <v>745</v>
      </c>
      <c r="K873" t="s">
        <v>33</v>
      </c>
      <c r="L873" s="4">
        <v>9.1057685343725456</v>
      </c>
      <c r="M873" s="1" t="s">
        <v>38</v>
      </c>
      <c r="N873" s="11">
        <f t="shared" si="13"/>
        <v>5</v>
      </c>
    </row>
    <row r="874" spans="1:14" ht="16" x14ac:dyDescent="0.2">
      <c r="A874" s="3">
        <v>44031.837283342167</v>
      </c>
      <c r="B874" s="1" t="s">
        <v>1269</v>
      </c>
      <c r="C874" t="s">
        <v>151</v>
      </c>
      <c r="D874">
        <v>16</v>
      </c>
      <c r="E874">
        <v>153</v>
      </c>
      <c r="F874">
        <v>51</v>
      </c>
      <c r="G874">
        <v>2448</v>
      </c>
      <c r="H874" s="4">
        <v>816</v>
      </c>
      <c r="I874" s="4">
        <v>1632</v>
      </c>
      <c r="J874" t="s">
        <v>474</v>
      </c>
      <c r="K874" t="s">
        <v>33</v>
      </c>
      <c r="L874" s="4">
        <v>9.629298039722805</v>
      </c>
      <c r="M874" s="1" t="s">
        <v>54</v>
      </c>
      <c r="N874" s="11">
        <f t="shared" si="13"/>
        <v>10</v>
      </c>
    </row>
    <row r="875" spans="1:14" ht="16" x14ac:dyDescent="0.2">
      <c r="A875" s="3">
        <v>43134.896540656191</v>
      </c>
      <c r="B875" s="1" t="s">
        <v>1270</v>
      </c>
      <c r="C875" t="s">
        <v>151</v>
      </c>
      <c r="D875">
        <v>20</v>
      </c>
      <c r="E875">
        <v>153</v>
      </c>
      <c r="F875">
        <v>51</v>
      </c>
      <c r="G875">
        <v>3060</v>
      </c>
      <c r="H875" s="4">
        <v>1020</v>
      </c>
      <c r="I875" s="4">
        <v>2040</v>
      </c>
      <c r="J875" t="s">
        <v>580</v>
      </c>
      <c r="K875" t="s">
        <v>58</v>
      </c>
      <c r="L875" s="4">
        <v>14.66147716237918</v>
      </c>
      <c r="M875" s="1" t="s">
        <v>34</v>
      </c>
      <c r="N875" s="11">
        <f t="shared" si="13"/>
        <v>1</v>
      </c>
    </row>
    <row r="876" spans="1:14" ht="16" x14ac:dyDescent="0.2">
      <c r="A876" s="3">
        <v>44054.291669850456</v>
      </c>
      <c r="B876" s="1" t="s">
        <v>1271</v>
      </c>
      <c r="C876" t="s">
        <v>370</v>
      </c>
      <c r="D876">
        <v>4</v>
      </c>
      <c r="E876">
        <v>144</v>
      </c>
      <c r="F876">
        <v>36</v>
      </c>
      <c r="G876">
        <v>576</v>
      </c>
      <c r="H876" s="4">
        <v>144</v>
      </c>
      <c r="I876" s="4">
        <v>432</v>
      </c>
      <c r="J876" t="s">
        <v>357</v>
      </c>
      <c r="K876" t="s">
        <v>86</v>
      </c>
      <c r="L876" s="4">
        <v>11.986565560885863</v>
      </c>
      <c r="M876" s="1" t="s">
        <v>38</v>
      </c>
      <c r="N876" s="11">
        <f t="shared" si="13"/>
        <v>5</v>
      </c>
    </row>
    <row r="877" spans="1:14" ht="16" x14ac:dyDescent="0.2">
      <c r="A877" s="3">
        <v>44063.972072364035</v>
      </c>
      <c r="B877" s="1" t="s">
        <v>1272</v>
      </c>
      <c r="C877" t="s">
        <v>375</v>
      </c>
      <c r="D877">
        <v>15</v>
      </c>
      <c r="E877">
        <v>360</v>
      </c>
      <c r="F877">
        <v>90</v>
      </c>
      <c r="G877">
        <v>5400</v>
      </c>
      <c r="H877" s="4">
        <v>1350</v>
      </c>
      <c r="I877" s="4">
        <v>4050</v>
      </c>
      <c r="J877" t="s">
        <v>1273</v>
      </c>
      <c r="K877" t="s">
        <v>42</v>
      </c>
      <c r="L877" s="4">
        <v>12.427459362224146</v>
      </c>
      <c r="M877" s="1" t="s">
        <v>38</v>
      </c>
      <c r="N877" s="11">
        <f t="shared" si="13"/>
        <v>5</v>
      </c>
    </row>
    <row r="878" spans="1:14" ht="16" x14ac:dyDescent="0.2">
      <c r="A878" s="3">
        <v>44754.167895787206</v>
      </c>
      <c r="B878" s="1" t="s">
        <v>1274</v>
      </c>
      <c r="C878" t="s">
        <v>171</v>
      </c>
      <c r="D878">
        <v>3</v>
      </c>
      <c r="E878">
        <v>225</v>
      </c>
      <c r="F878">
        <v>75</v>
      </c>
      <c r="G878">
        <v>675</v>
      </c>
      <c r="H878" s="4">
        <v>225</v>
      </c>
      <c r="I878" s="4">
        <v>450</v>
      </c>
      <c r="J878" t="s">
        <v>378</v>
      </c>
      <c r="K878" t="s">
        <v>53</v>
      </c>
      <c r="L878" s="4">
        <v>14.423322704129969</v>
      </c>
      <c r="M878" s="1" t="s">
        <v>34</v>
      </c>
      <c r="N878" s="11">
        <f t="shared" si="13"/>
        <v>1</v>
      </c>
    </row>
    <row r="879" spans="1:14" ht="16" x14ac:dyDescent="0.2">
      <c r="A879" s="3">
        <v>43404.86543825375</v>
      </c>
      <c r="B879" s="1" t="s">
        <v>1275</v>
      </c>
      <c r="C879" t="s">
        <v>375</v>
      </c>
      <c r="D879">
        <v>17</v>
      </c>
      <c r="E879">
        <v>360</v>
      </c>
      <c r="F879">
        <v>90</v>
      </c>
      <c r="G879">
        <v>6120</v>
      </c>
      <c r="H879" s="4">
        <v>1530</v>
      </c>
      <c r="I879" s="4">
        <v>4590</v>
      </c>
      <c r="J879" t="s">
        <v>111</v>
      </c>
      <c r="K879" t="s">
        <v>53</v>
      </c>
      <c r="L879" s="4">
        <v>13.407340878370247</v>
      </c>
      <c r="M879" s="1" t="s">
        <v>54</v>
      </c>
      <c r="N879" s="11">
        <f t="shared" si="13"/>
        <v>10</v>
      </c>
    </row>
    <row r="880" spans="1:14" ht="16" x14ac:dyDescent="0.2">
      <c r="A880" s="3">
        <v>43981.546322460723</v>
      </c>
      <c r="B880" s="1" t="s">
        <v>1276</v>
      </c>
      <c r="C880" t="s">
        <v>115</v>
      </c>
      <c r="D880">
        <v>12</v>
      </c>
      <c r="E880">
        <v>81</v>
      </c>
      <c r="F880">
        <v>27</v>
      </c>
      <c r="G880">
        <v>972</v>
      </c>
      <c r="H880" s="4">
        <v>324</v>
      </c>
      <c r="I880" s="4">
        <v>648</v>
      </c>
      <c r="J880" t="s">
        <v>912</v>
      </c>
      <c r="K880" t="s">
        <v>64</v>
      </c>
      <c r="L880" s="4">
        <v>11.816651848338852</v>
      </c>
      <c r="M880" s="1" t="s">
        <v>38</v>
      </c>
      <c r="N880" s="11">
        <f t="shared" si="13"/>
        <v>5</v>
      </c>
    </row>
    <row r="881" spans="1:14" ht="16" x14ac:dyDescent="0.2">
      <c r="A881" s="3">
        <v>42862.624822513317</v>
      </c>
      <c r="B881" s="1" t="s">
        <v>1277</v>
      </c>
      <c r="C881" t="s">
        <v>301</v>
      </c>
      <c r="D881">
        <v>10</v>
      </c>
      <c r="E881">
        <v>188</v>
      </c>
      <c r="F881">
        <v>94</v>
      </c>
      <c r="G881">
        <v>1880</v>
      </c>
      <c r="H881" s="4">
        <v>940</v>
      </c>
      <c r="I881" s="4">
        <v>940</v>
      </c>
      <c r="J881" t="s">
        <v>1253</v>
      </c>
      <c r="K881" t="s">
        <v>49</v>
      </c>
      <c r="L881" s="4">
        <v>10.518436853046438</v>
      </c>
      <c r="M881" s="1" t="s">
        <v>38</v>
      </c>
      <c r="N881" s="11">
        <f t="shared" si="13"/>
        <v>5</v>
      </c>
    </row>
    <row r="882" spans="1:14" ht="16" x14ac:dyDescent="0.2">
      <c r="A882" s="3">
        <v>43947.833469188969</v>
      </c>
      <c r="B882" s="1" t="s">
        <v>1278</v>
      </c>
      <c r="C882" t="s">
        <v>212</v>
      </c>
      <c r="D882">
        <v>4</v>
      </c>
      <c r="E882">
        <v>300</v>
      </c>
      <c r="F882">
        <v>75</v>
      </c>
      <c r="G882">
        <v>1200</v>
      </c>
      <c r="H882" s="4">
        <v>300</v>
      </c>
      <c r="I882" s="4">
        <v>900</v>
      </c>
      <c r="J882" t="s">
        <v>1279</v>
      </c>
      <c r="K882" t="s">
        <v>33</v>
      </c>
      <c r="L882" s="4">
        <v>6.221489120484736</v>
      </c>
      <c r="M882" s="1" t="s">
        <v>54</v>
      </c>
      <c r="N882" s="11">
        <f t="shared" si="13"/>
        <v>10</v>
      </c>
    </row>
    <row r="883" spans="1:14" ht="16" x14ac:dyDescent="0.2">
      <c r="A883" s="3">
        <v>43835.186855066058</v>
      </c>
      <c r="B883" s="1" t="s">
        <v>1280</v>
      </c>
      <c r="C883" t="s">
        <v>40</v>
      </c>
      <c r="D883">
        <v>13</v>
      </c>
      <c r="E883">
        <v>46</v>
      </c>
      <c r="F883">
        <v>23</v>
      </c>
      <c r="G883">
        <v>598</v>
      </c>
      <c r="H883" s="4">
        <v>299</v>
      </c>
      <c r="I883" s="4">
        <v>299</v>
      </c>
      <c r="J883" t="s">
        <v>574</v>
      </c>
      <c r="K883" t="s">
        <v>58</v>
      </c>
      <c r="L883" s="4">
        <v>13.150536103258979</v>
      </c>
      <c r="M883" s="1" t="s">
        <v>54</v>
      </c>
      <c r="N883" s="11">
        <f t="shared" si="13"/>
        <v>10</v>
      </c>
    </row>
    <row r="884" spans="1:14" ht="16" x14ac:dyDescent="0.2">
      <c r="A884" s="3">
        <v>43632.236792678603</v>
      </c>
      <c r="B884" s="1" t="s">
        <v>479</v>
      </c>
      <c r="C884" t="s">
        <v>136</v>
      </c>
      <c r="D884">
        <v>11</v>
      </c>
      <c r="E884">
        <v>154</v>
      </c>
      <c r="F884">
        <v>77</v>
      </c>
      <c r="G884">
        <v>1694</v>
      </c>
      <c r="H884" s="4">
        <v>847</v>
      </c>
      <c r="I884" s="4">
        <v>847</v>
      </c>
      <c r="J884" t="s">
        <v>63</v>
      </c>
      <c r="K884" t="s">
        <v>64</v>
      </c>
      <c r="L884" s="4">
        <v>10.988762477277161</v>
      </c>
      <c r="M884" s="1" t="s">
        <v>38</v>
      </c>
      <c r="N884" s="11">
        <f t="shared" si="13"/>
        <v>5</v>
      </c>
    </row>
    <row r="885" spans="1:14" ht="16" x14ac:dyDescent="0.2">
      <c r="A885" s="3">
        <v>43318.33436634019</v>
      </c>
      <c r="B885" s="1" t="s">
        <v>1281</v>
      </c>
      <c r="C885" t="s">
        <v>101</v>
      </c>
      <c r="D885">
        <v>17</v>
      </c>
      <c r="E885">
        <v>50</v>
      </c>
      <c r="F885">
        <v>25</v>
      </c>
      <c r="G885">
        <v>850</v>
      </c>
      <c r="H885" s="4">
        <v>425</v>
      </c>
      <c r="I885" s="4">
        <v>425</v>
      </c>
      <c r="J885" t="s">
        <v>1101</v>
      </c>
      <c r="K885" t="s">
        <v>33</v>
      </c>
      <c r="L885" s="4">
        <v>9.8776671534059073</v>
      </c>
      <c r="M885" s="1" t="s">
        <v>54</v>
      </c>
      <c r="N885" s="11">
        <f t="shared" si="13"/>
        <v>10</v>
      </c>
    </row>
    <row r="886" spans="1:14" ht="16" x14ac:dyDescent="0.2">
      <c r="A886" s="3">
        <v>44160.544211810433</v>
      </c>
      <c r="B886" s="1" t="s">
        <v>1282</v>
      </c>
      <c r="C886" t="s">
        <v>145</v>
      </c>
      <c r="D886">
        <v>16</v>
      </c>
      <c r="E886">
        <v>207</v>
      </c>
      <c r="F886">
        <v>69</v>
      </c>
      <c r="G886">
        <v>3312</v>
      </c>
      <c r="H886" s="4">
        <v>1104</v>
      </c>
      <c r="I886" s="4">
        <v>2208</v>
      </c>
      <c r="J886" t="s">
        <v>194</v>
      </c>
      <c r="K886" t="s">
        <v>42</v>
      </c>
      <c r="L886" s="4">
        <v>14.573178107544177</v>
      </c>
      <c r="M886" s="1" t="s">
        <v>38</v>
      </c>
      <c r="N886" s="11">
        <f t="shared" si="13"/>
        <v>5</v>
      </c>
    </row>
    <row r="887" spans="1:14" ht="16" x14ac:dyDescent="0.2">
      <c r="A887" s="3">
        <v>44165.033655738014</v>
      </c>
      <c r="B887" s="1" t="s">
        <v>1283</v>
      </c>
      <c r="C887" t="s">
        <v>66</v>
      </c>
      <c r="D887">
        <v>7</v>
      </c>
      <c r="E887">
        <v>144</v>
      </c>
      <c r="F887">
        <v>48</v>
      </c>
      <c r="G887">
        <v>1008</v>
      </c>
      <c r="H887" s="4">
        <v>336</v>
      </c>
      <c r="I887" s="4">
        <v>672</v>
      </c>
      <c r="J887" t="s">
        <v>940</v>
      </c>
      <c r="K887" t="s">
        <v>86</v>
      </c>
      <c r="L887" s="4">
        <v>9.2053706474810433</v>
      </c>
      <c r="M887" s="1" t="s">
        <v>38</v>
      </c>
      <c r="N887" s="11">
        <f t="shared" si="13"/>
        <v>5</v>
      </c>
    </row>
    <row r="888" spans="1:14" ht="16" x14ac:dyDescent="0.2">
      <c r="A888" s="3">
        <v>44237.27613683854</v>
      </c>
      <c r="B888" s="1" t="s">
        <v>1284</v>
      </c>
      <c r="C888" t="s">
        <v>154</v>
      </c>
      <c r="D888">
        <v>7</v>
      </c>
      <c r="E888">
        <v>308</v>
      </c>
      <c r="F888">
        <v>77</v>
      </c>
      <c r="G888">
        <v>2156</v>
      </c>
      <c r="H888" s="4">
        <v>539</v>
      </c>
      <c r="I888" s="4">
        <v>1617</v>
      </c>
      <c r="J888" t="s">
        <v>1065</v>
      </c>
      <c r="K888" t="s">
        <v>53</v>
      </c>
      <c r="L888" s="4">
        <v>13.00553764131261</v>
      </c>
      <c r="M888" s="1" t="s">
        <v>38</v>
      </c>
      <c r="N888" s="11">
        <f t="shared" si="13"/>
        <v>5</v>
      </c>
    </row>
    <row r="889" spans="1:14" ht="16" x14ac:dyDescent="0.2">
      <c r="A889" s="3">
        <v>43318.73209223475</v>
      </c>
      <c r="B889" s="1" t="s">
        <v>1285</v>
      </c>
      <c r="C889" t="s">
        <v>36</v>
      </c>
      <c r="D889">
        <v>4</v>
      </c>
      <c r="E889">
        <v>102</v>
      </c>
      <c r="F889">
        <v>51</v>
      </c>
      <c r="G889">
        <v>408</v>
      </c>
      <c r="H889" s="4">
        <v>204</v>
      </c>
      <c r="I889" s="4">
        <v>204</v>
      </c>
      <c r="J889" t="s">
        <v>622</v>
      </c>
      <c r="K889" t="s">
        <v>49</v>
      </c>
      <c r="L889" s="4">
        <v>8.3272837771733244</v>
      </c>
      <c r="M889" s="1" t="s">
        <v>54</v>
      </c>
      <c r="N889" s="11">
        <f t="shared" si="13"/>
        <v>10</v>
      </c>
    </row>
    <row r="890" spans="1:14" ht="16" x14ac:dyDescent="0.2">
      <c r="A890" s="3">
        <v>43684.632226080554</v>
      </c>
      <c r="B890" s="1" t="s">
        <v>1286</v>
      </c>
      <c r="C890" t="s">
        <v>473</v>
      </c>
      <c r="D890">
        <v>9</v>
      </c>
      <c r="E890">
        <v>72</v>
      </c>
      <c r="F890">
        <v>36</v>
      </c>
      <c r="G890">
        <v>648</v>
      </c>
      <c r="H890" s="4">
        <v>324</v>
      </c>
      <c r="I890" s="4">
        <v>324</v>
      </c>
      <c r="J890" t="s">
        <v>85</v>
      </c>
      <c r="K890" t="s">
        <v>86</v>
      </c>
      <c r="L890" s="4">
        <v>11.631646244583138</v>
      </c>
      <c r="M890" s="1" t="s">
        <v>38</v>
      </c>
      <c r="N890" s="11">
        <f t="shared" si="13"/>
        <v>5</v>
      </c>
    </row>
    <row r="891" spans="1:14" ht="16" x14ac:dyDescent="0.2">
      <c r="A891" s="3">
        <v>44661.968005535586</v>
      </c>
      <c r="B891" s="1" t="s">
        <v>1287</v>
      </c>
      <c r="C891" t="s">
        <v>51</v>
      </c>
      <c r="D891">
        <v>16</v>
      </c>
      <c r="E891">
        <v>160</v>
      </c>
      <c r="F891">
        <v>80</v>
      </c>
      <c r="G891">
        <v>2560</v>
      </c>
      <c r="H891" s="4">
        <v>1280</v>
      </c>
      <c r="I891" s="4">
        <v>1280</v>
      </c>
      <c r="J891" t="s">
        <v>521</v>
      </c>
      <c r="K891" t="s">
        <v>58</v>
      </c>
      <c r="L891" s="4">
        <v>8.8514729234790472</v>
      </c>
      <c r="M891" s="1" t="s">
        <v>38</v>
      </c>
      <c r="N891" s="11">
        <f t="shared" si="13"/>
        <v>5</v>
      </c>
    </row>
    <row r="892" spans="1:14" ht="16" x14ac:dyDescent="0.2">
      <c r="A892" s="3">
        <v>44439.781691890115</v>
      </c>
      <c r="B892" s="1" t="s">
        <v>1288</v>
      </c>
      <c r="C892" t="s">
        <v>283</v>
      </c>
      <c r="D892">
        <v>1</v>
      </c>
      <c r="E892">
        <v>144</v>
      </c>
      <c r="F892">
        <v>36</v>
      </c>
      <c r="G892">
        <v>144</v>
      </c>
      <c r="H892" s="4">
        <v>36</v>
      </c>
      <c r="I892" s="4">
        <v>108</v>
      </c>
      <c r="J892" t="s">
        <v>335</v>
      </c>
      <c r="K892" t="s">
        <v>53</v>
      </c>
      <c r="L892" s="4">
        <v>12.148236977735172</v>
      </c>
      <c r="M892" s="1" t="s">
        <v>54</v>
      </c>
      <c r="N892" s="11">
        <f t="shared" si="13"/>
        <v>10</v>
      </c>
    </row>
    <row r="893" spans="1:14" ht="16" x14ac:dyDescent="0.2">
      <c r="A893" s="3">
        <v>43300.311254465931</v>
      </c>
      <c r="B893" s="1" t="s">
        <v>1289</v>
      </c>
      <c r="C893" t="s">
        <v>420</v>
      </c>
      <c r="D893">
        <v>2</v>
      </c>
      <c r="E893">
        <v>162</v>
      </c>
      <c r="F893">
        <v>54</v>
      </c>
      <c r="G893">
        <v>324</v>
      </c>
      <c r="H893" s="4">
        <v>108</v>
      </c>
      <c r="I893" s="4">
        <v>216</v>
      </c>
      <c r="J893" t="s">
        <v>910</v>
      </c>
      <c r="K893" t="s">
        <v>58</v>
      </c>
      <c r="L893" s="4">
        <v>11.78346750250795</v>
      </c>
      <c r="M893" s="1" t="s">
        <v>34</v>
      </c>
      <c r="N893" s="11">
        <f t="shared" si="13"/>
        <v>1</v>
      </c>
    </row>
    <row r="894" spans="1:14" ht="16" x14ac:dyDescent="0.2">
      <c r="A894" s="3">
        <v>43087.789580659206</v>
      </c>
      <c r="B894" s="1" t="s">
        <v>1290</v>
      </c>
      <c r="C894" t="s">
        <v>218</v>
      </c>
      <c r="D894">
        <v>13</v>
      </c>
      <c r="E894">
        <v>264</v>
      </c>
      <c r="F894">
        <v>88</v>
      </c>
      <c r="G894">
        <v>3432</v>
      </c>
      <c r="H894" s="4">
        <v>1144</v>
      </c>
      <c r="I894" s="4">
        <v>2288</v>
      </c>
      <c r="J894" t="s">
        <v>542</v>
      </c>
      <c r="K894" t="s">
        <v>58</v>
      </c>
      <c r="L894" s="4">
        <v>13.929237493388955</v>
      </c>
      <c r="M894" s="1" t="s">
        <v>54</v>
      </c>
      <c r="N894" s="11">
        <f t="shared" si="13"/>
        <v>10</v>
      </c>
    </row>
    <row r="895" spans="1:14" ht="16" x14ac:dyDescent="0.2">
      <c r="A895" s="3">
        <v>43076.454440996815</v>
      </c>
      <c r="B895" s="1" t="s">
        <v>1291</v>
      </c>
      <c r="C895" t="s">
        <v>154</v>
      </c>
      <c r="D895">
        <v>10</v>
      </c>
      <c r="E895">
        <v>308</v>
      </c>
      <c r="F895">
        <v>77</v>
      </c>
      <c r="G895">
        <v>3080</v>
      </c>
      <c r="H895" s="4">
        <v>770</v>
      </c>
      <c r="I895" s="4">
        <v>2310</v>
      </c>
      <c r="J895" t="s">
        <v>713</v>
      </c>
      <c r="K895" t="s">
        <v>42</v>
      </c>
      <c r="L895" s="4">
        <v>10.956589836772277</v>
      </c>
      <c r="M895" s="1" t="s">
        <v>38</v>
      </c>
      <c r="N895" s="11">
        <f t="shared" si="13"/>
        <v>5</v>
      </c>
    </row>
    <row r="896" spans="1:14" ht="16" x14ac:dyDescent="0.2">
      <c r="A896" s="3">
        <v>43276.995752495735</v>
      </c>
      <c r="B896" s="1" t="s">
        <v>1292</v>
      </c>
      <c r="C896" t="s">
        <v>240</v>
      </c>
      <c r="D896">
        <v>17</v>
      </c>
      <c r="E896">
        <v>108</v>
      </c>
      <c r="F896">
        <v>54</v>
      </c>
      <c r="G896">
        <v>1836</v>
      </c>
      <c r="H896" s="4">
        <v>918</v>
      </c>
      <c r="I896" s="4">
        <v>918</v>
      </c>
      <c r="J896" t="s">
        <v>633</v>
      </c>
      <c r="K896" t="s">
        <v>86</v>
      </c>
      <c r="L896" s="4">
        <v>12.954911944548844</v>
      </c>
      <c r="M896" s="1" t="s">
        <v>38</v>
      </c>
      <c r="N896" s="11">
        <f t="shared" si="13"/>
        <v>5</v>
      </c>
    </row>
    <row r="897" spans="1:14" ht="16" x14ac:dyDescent="0.2">
      <c r="A897" s="3">
        <v>43765.09898975549</v>
      </c>
      <c r="B897" s="1" t="s">
        <v>1293</v>
      </c>
      <c r="C897" t="s">
        <v>157</v>
      </c>
      <c r="D897">
        <v>9</v>
      </c>
      <c r="E897">
        <v>50</v>
      </c>
      <c r="F897">
        <v>25</v>
      </c>
      <c r="G897">
        <v>450</v>
      </c>
      <c r="H897" s="4">
        <v>225</v>
      </c>
      <c r="I897" s="4">
        <v>225</v>
      </c>
      <c r="J897" t="s">
        <v>438</v>
      </c>
      <c r="K897" t="s">
        <v>64</v>
      </c>
      <c r="L897" s="4">
        <v>12.532428411174646</v>
      </c>
      <c r="M897" s="1" t="s">
        <v>38</v>
      </c>
      <c r="N897" s="11">
        <f t="shared" si="13"/>
        <v>5</v>
      </c>
    </row>
    <row r="898" spans="1:14" ht="16" x14ac:dyDescent="0.2">
      <c r="A898" s="3">
        <v>43844.65388175947</v>
      </c>
      <c r="B898" s="1" t="s">
        <v>1294</v>
      </c>
      <c r="C898" t="s">
        <v>399</v>
      </c>
      <c r="D898">
        <v>16</v>
      </c>
      <c r="E898">
        <v>160</v>
      </c>
      <c r="F898">
        <v>80</v>
      </c>
      <c r="G898">
        <v>2560</v>
      </c>
      <c r="H898" s="4">
        <v>1280</v>
      </c>
      <c r="I898" s="4">
        <v>1280</v>
      </c>
      <c r="J898" t="s">
        <v>318</v>
      </c>
      <c r="K898" t="s">
        <v>33</v>
      </c>
      <c r="L898" s="4">
        <v>9.0350666811770921</v>
      </c>
      <c r="M898" s="1" t="s">
        <v>38</v>
      </c>
      <c r="N898" s="11">
        <f t="shared" si="13"/>
        <v>5</v>
      </c>
    </row>
    <row r="899" spans="1:14" ht="16" x14ac:dyDescent="0.2">
      <c r="A899" s="3">
        <v>44176.019705605846</v>
      </c>
      <c r="B899" s="1" t="s">
        <v>1295</v>
      </c>
      <c r="C899" t="s">
        <v>788</v>
      </c>
      <c r="D899">
        <v>10</v>
      </c>
      <c r="E899">
        <v>100</v>
      </c>
      <c r="F899">
        <v>25</v>
      </c>
      <c r="G899">
        <v>1000</v>
      </c>
      <c r="H899" s="4">
        <v>250</v>
      </c>
      <c r="I899" s="4">
        <v>750</v>
      </c>
      <c r="J899" t="s">
        <v>232</v>
      </c>
      <c r="K899" t="s">
        <v>86</v>
      </c>
      <c r="L899" s="4">
        <v>11.346510807401776</v>
      </c>
      <c r="M899" s="1" t="s">
        <v>38</v>
      </c>
      <c r="N899" s="11">
        <f t="shared" ref="N899:N962" si="14">+IF(M899="Dissatisfied",1,IF(M899="Satisfied",10,5))</f>
        <v>5</v>
      </c>
    </row>
    <row r="900" spans="1:14" ht="16" x14ac:dyDescent="0.2">
      <c r="A900" s="3">
        <v>43774.334436594501</v>
      </c>
      <c r="B900" s="1" t="s">
        <v>1296</v>
      </c>
      <c r="C900" t="s">
        <v>337</v>
      </c>
      <c r="D900">
        <v>14</v>
      </c>
      <c r="E900">
        <v>135</v>
      </c>
      <c r="F900">
        <v>45</v>
      </c>
      <c r="G900">
        <v>1890</v>
      </c>
      <c r="H900" s="4">
        <v>630</v>
      </c>
      <c r="I900" s="4">
        <v>1260</v>
      </c>
      <c r="J900" t="s">
        <v>382</v>
      </c>
      <c r="K900" t="s">
        <v>49</v>
      </c>
      <c r="L900" s="4">
        <v>12.299779975023837</v>
      </c>
      <c r="M900" s="1" t="s">
        <v>38</v>
      </c>
      <c r="N900" s="11">
        <f t="shared" si="14"/>
        <v>5</v>
      </c>
    </row>
    <row r="901" spans="1:14" ht="16" x14ac:dyDescent="0.2">
      <c r="A901" s="3">
        <v>44343.624386424344</v>
      </c>
      <c r="B901" s="1" t="s">
        <v>1297</v>
      </c>
      <c r="C901" t="s">
        <v>340</v>
      </c>
      <c r="D901">
        <v>17</v>
      </c>
      <c r="E901">
        <v>180</v>
      </c>
      <c r="F901">
        <v>45</v>
      </c>
      <c r="G901">
        <v>3060</v>
      </c>
      <c r="H901" s="4">
        <v>765</v>
      </c>
      <c r="I901" s="4">
        <v>2295</v>
      </c>
      <c r="J901" t="s">
        <v>633</v>
      </c>
      <c r="K901" t="s">
        <v>86</v>
      </c>
      <c r="L901" s="4">
        <v>12.954911944548844</v>
      </c>
      <c r="M901" s="1" t="s">
        <v>38</v>
      </c>
      <c r="N901" s="11">
        <f t="shared" si="14"/>
        <v>5</v>
      </c>
    </row>
    <row r="902" spans="1:14" ht="16" x14ac:dyDescent="0.2">
      <c r="A902" s="3">
        <v>44032.726478768331</v>
      </c>
      <c r="B902" s="1" t="s">
        <v>1298</v>
      </c>
      <c r="C902" t="s">
        <v>544</v>
      </c>
      <c r="D902">
        <v>7</v>
      </c>
      <c r="E902">
        <v>267</v>
      </c>
      <c r="F902">
        <v>89</v>
      </c>
      <c r="G902">
        <v>1869</v>
      </c>
      <c r="H902" s="4">
        <v>623</v>
      </c>
      <c r="I902" s="4">
        <v>1246</v>
      </c>
      <c r="J902" t="s">
        <v>329</v>
      </c>
      <c r="K902" t="s">
        <v>33</v>
      </c>
      <c r="L902" s="4">
        <v>12.545140403858928</v>
      </c>
      <c r="M902" s="1" t="s">
        <v>38</v>
      </c>
      <c r="N902" s="11">
        <f t="shared" si="14"/>
        <v>5</v>
      </c>
    </row>
    <row r="903" spans="1:14" ht="16" x14ac:dyDescent="0.2">
      <c r="A903" s="3">
        <v>43311.667056336795</v>
      </c>
      <c r="B903" s="1" t="s">
        <v>1299</v>
      </c>
      <c r="C903" t="s">
        <v>248</v>
      </c>
      <c r="D903">
        <v>17</v>
      </c>
      <c r="E903">
        <v>132</v>
      </c>
      <c r="F903">
        <v>44</v>
      </c>
      <c r="G903">
        <v>2244</v>
      </c>
      <c r="H903" s="4">
        <v>748</v>
      </c>
      <c r="I903" s="4">
        <v>1496</v>
      </c>
      <c r="J903" t="s">
        <v>397</v>
      </c>
      <c r="K903" t="s">
        <v>49</v>
      </c>
      <c r="L903" s="4">
        <v>9.4239783062860578</v>
      </c>
      <c r="M903" s="1" t="s">
        <v>38</v>
      </c>
      <c r="N903" s="11">
        <f t="shared" si="14"/>
        <v>5</v>
      </c>
    </row>
    <row r="904" spans="1:14" ht="16" x14ac:dyDescent="0.2">
      <c r="A904" s="3">
        <v>44113.101117123595</v>
      </c>
      <c r="B904" s="1" t="s">
        <v>1300</v>
      </c>
      <c r="C904" t="s">
        <v>370</v>
      </c>
      <c r="D904">
        <v>6</v>
      </c>
      <c r="E904">
        <v>144</v>
      </c>
      <c r="F904">
        <v>36</v>
      </c>
      <c r="G904">
        <v>864</v>
      </c>
      <c r="H904" s="4">
        <v>216</v>
      </c>
      <c r="I904" s="4">
        <v>648</v>
      </c>
      <c r="J904" t="s">
        <v>713</v>
      </c>
      <c r="K904" t="s">
        <v>42</v>
      </c>
      <c r="L904" s="4">
        <v>10.956589836772277</v>
      </c>
      <c r="M904" s="1" t="s">
        <v>38</v>
      </c>
      <c r="N904" s="11">
        <f t="shared" si="14"/>
        <v>5</v>
      </c>
    </row>
    <row r="905" spans="1:14" ht="16" x14ac:dyDescent="0.2">
      <c r="A905" s="3">
        <v>43950.935791558324</v>
      </c>
      <c r="B905" s="1" t="s">
        <v>1301</v>
      </c>
      <c r="C905" t="s">
        <v>196</v>
      </c>
      <c r="D905">
        <v>5</v>
      </c>
      <c r="E905">
        <v>192</v>
      </c>
      <c r="F905">
        <v>96</v>
      </c>
      <c r="G905">
        <v>960</v>
      </c>
      <c r="H905" s="4">
        <v>480</v>
      </c>
      <c r="I905" s="4">
        <v>480</v>
      </c>
      <c r="J905" t="s">
        <v>123</v>
      </c>
      <c r="K905" t="s">
        <v>53</v>
      </c>
      <c r="L905" s="4">
        <v>10.42743035829395</v>
      </c>
      <c r="M905" s="1" t="s">
        <v>38</v>
      </c>
      <c r="N905" s="11">
        <f t="shared" si="14"/>
        <v>5</v>
      </c>
    </row>
    <row r="906" spans="1:14" ht="16" x14ac:dyDescent="0.2">
      <c r="A906" s="3">
        <v>44805.941970113869</v>
      </c>
      <c r="B906" s="1" t="s">
        <v>1302</v>
      </c>
      <c r="C906" t="s">
        <v>31</v>
      </c>
      <c r="D906">
        <v>18</v>
      </c>
      <c r="E906">
        <v>280</v>
      </c>
      <c r="F906">
        <v>70</v>
      </c>
      <c r="G906">
        <v>5040</v>
      </c>
      <c r="H906" s="4">
        <v>1260</v>
      </c>
      <c r="I906" s="4">
        <v>3780</v>
      </c>
      <c r="J906" t="s">
        <v>331</v>
      </c>
      <c r="K906" t="s">
        <v>58</v>
      </c>
      <c r="L906" s="4">
        <v>15.18789248529443</v>
      </c>
      <c r="M906" s="1" t="s">
        <v>34</v>
      </c>
      <c r="N906" s="11">
        <f t="shared" si="14"/>
        <v>1</v>
      </c>
    </row>
    <row r="907" spans="1:14" ht="16" x14ac:dyDescent="0.2">
      <c r="A907" s="3">
        <v>44246.824661840983</v>
      </c>
      <c r="B907" s="1" t="s">
        <v>1303</v>
      </c>
      <c r="C907" t="s">
        <v>56</v>
      </c>
      <c r="D907">
        <v>15</v>
      </c>
      <c r="E907">
        <v>38</v>
      </c>
      <c r="F907">
        <v>19</v>
      </c>
      <c r="G907">
        <v>570</v>
      </c>
      <c r="H907" s="4">
        <v>285</v>
      </c>
      <c r="I907" s="4">
        <v>285</v>
      </c>
      <c r="J907" t="s">
        <v>595</v>
      </c>
      <c r="K907" t="s">
        <v>86</v>
      </c>
      <c r="L907" s="4">
        <v>12.045339240427111</v>
      </c>
      <c r="M907" s="1" t="s">
        <v>38</v>
      </c>
      <c r="N907" s="11">
        <f t="shared" si="14"/>
        <v>5</v>
      </c>
    </row>
    <row r="908" spans="1:14" ht="16" x14ac:dyDescent="0.2">
      <c r="A908" s="3">
        <v>43610.266849507454</v>
      </c>
      <c r="B908" s="1" t="s">
        <v>1304</v>
      </c>
      <c r="C908" t="s">
        <v>503</v>
      </c>
      <c r="D908">
        <v>18</v>
      </c>
      <c r="E908">
        <v>50</v>
      </c>
      <c r="F908">
        <v>25</v>
      </c>
      <c r="G908">
        <v>900</v>
      </c>
      <c r="H908" s="4">
        <v>450</v>
      </c>
      <c r="I908" s="4">
        <v>450</v>
      </c>
      <c r="J908" t="s">
        <v>161</v>
      </c>
      <c r="K908" t="s">
        <v>33</v>
      </c>
      <c r="L908" s="4">
        <v>14.370283356317486</v>
      </c>
      <c r="M908" s="1" t="s">
        <v>54</v>
      </c>
      <c r="N908" s="11">
        <f t="shared" si="14"/>
        <v>10</v>
      </c>
    </row>
    <row r="909" spans="1:14" ht="16" x14ac:dyDescent="0.2">
      <c r="A909" s="3">
        <v>43365.243240749805</v>
      </c>
      <c r="B909" s="1" t="s">
        <v>1305</v>
      </c>
      <c r="C909" t="s">
        <v>115</v>
      </c>
      <c r="D909">
        <v>12</v>
      </c>
      <c r="E909">
        <v>81</v>
      </c>
      <c r="F909">
        <v>27</v>
      </c>
      <c r="G909">
        <v>972</v>
      </c>
      <c r="H909" s="4">
        <v>324</v>
      </c>
      <c r="I909" s="4">
        <v>648</v>
      </c>
      <c r="J909" t="s">
        <v>423</v>
      </c>
      <c r="K909" t="s">
        <v>86</v>
      </c>
      <c r="L909" s="4">
        <v>10.813269600021069</v>
      </c>
      <c r="M909" s="1" t="s">
        <v>38</v>
      </c>
      <c r="N909" s="11">
        <f t="shared" si="14"/>
        <v>5</v>
      </c>
    </row>
    <row r="910" spans="1:14" ht="16" x14ac:dyDescent="0.2">
      <c r="A910" s="3">
        <v>44906.926827062758</v>
      </c>
      <c r="B910" s="1" t="s">
        <v>1306</v>
      </c>
      <c r="C910" t="s">
        <v>88</v>
      </c>
      <c r="D910">
        <v>6</v>
      </c>
      <c r="E910">
        <v>210</v>
      </c>
      <c r="F910">
        <v>70</v>
      </c>
      <c r="G910">
        <v>1260</v>
      </c>
      <c r="H910" s="4">
        <v>420</v>
      </c>
      <c r="I910" s="4">
        <v>840</v>
      </c>
      <c r="J910" t="s">
        <v>341</v>
      </c>
      <c r="K910" t="s">
        <v>64</v>
      </c>
      <c r="L910" s="4">
        <v>10.816866337473218</v>
      </c>
      <c r="M910" s="1" t="s">
        <v>54</v>
      </c>
      <c r="N910" s="11">
        <f t="shared" si="14"/>
        <v>10</v>
      </c>
    </row>
    <row r="911" spans="1:14" ht="16" x14ac:dyDescent="0.2">
      <c r="A911" s="3">
        <v>43795.376964238058</v>
      </c>
      <c r="B911" s="1" t="s">
        <v>1307</v>
      </c>
      <c r="C911" t="s">
        <v>47</v>
      </c>
      <c r="D911">
        <v>16</v>
      </c>
      <c r="E911">
        <v>231</v>
      </c>
      <c r="F911">
        <v>77</v>
      </c>
      <c r="G911">
        <v>3696</v>
      </c>
      <c r="H911" s="4">
        <v>1232</v>
      </c>
      <c r="I911" s="4">
        <v>2464</v>
      </c>
      <c r="J911" t="s">
        <v>453</v>
      </c>
      <c r="K911" t="s">
        <v>42</v>
      </c>
      <c r="L911" s="4">
        <v>13.104576594826185</v>
      </c>
      <c r="M911" s="1" t="s">
        <v>38</v>
      </c>
      <c r="N911" s="11">
        <f t="shared" si="14"/>
        <v>5</v>
      </c>
    </row>
    <row r="912" spans="1:14" ht="16" x14ac:dyDescent="0.2">
      <c r="A912" s="3">
        <v>44211.497976020437</v>
      </c>
      <c r="B912" s="1" t="s">
        <v>1308</v>
      </c>
      <c r="C912" t="s">
        <v>51</v>
      </c>
      <c r="D912">
        <v>12</v>
      </c>
      <c r="E912">
        <v>160</v>
      </c>
      <c r="F912">
        <v>80</v>
      </c>
      <c r="G912">
        <v>1920</v>
      </c>
      <c r="H912" s="4">
        <v>960</v>
      </c>
      <c r="I912" s="4">
        <v>960</v>
      </c>
      <c r="J912" t="s">
        <v>613</v>
      </c>
      <c r="K912" t="s">
        <v>86</v>
      </c>
      <c r="L912" s="4">
        <v>8.8169309002713945</v>
      </c>
      <c r="M912" s="1" t="s">
        <v>38</v>
      </c>
      <c r="N912" s="11">
        <f t="shared" si="14"/>
        <v>5</v>
      </c>
    </row>
    <row r="913" spans="1:14" ht="16" x14ac:dyDescent="0.2">
      <c r="A913" s="3">
        <v>44363.030775050887</v>
      </c>
      <c r="B913" s="1" t="s">
        <v>1309</v>
      </c>
      <c r="C913" t="s">
        <v>56</v>
      </c>
      <c r="D913">
        <v>8</v>
      </c>
      <c r="E913">
        <v>38</v>
      </c>
      <c r="F913">
        <v>19</v>
      </c>
      <c r="G913">
        <v>304</v>
      </c>
      <c r="H913" s="4">
        <v>152</v>
      </c>
      <c r="I913" s="4">
        <v>152</v>
      </c>
      <c r="J913" t="s">
        <v>79</v>
      </c>
      <c r="K913" t="s">
        <v>64</v>
      </c>
      <c r="L913" s="4">
        <v>12.163730387337393</v>
      </c>
      <c r="M913" s="1" t="s">
        <v>54</v>
      </c>
      <c r="N913" s="11">
        <f t="shared" si="14"/>
        <v>10</v>
      </c>
    </row>
    <row r="914" spans="1:14" ht="16" x14ac:dyDescent="0.2">
      <c r="A914" s="3">
        <v>44041.470100912666</v>
      </c>
      <c r="B914" s="1" t="s">
        <v>1310</v>
      </c>
      <c r="C914" t="s">
        <v>255</v>
      </c>
      <c r="D914">
        <v>17</v>
      </c>
      <c r="E914">
        <v>140</v>
      </c>
      <c r="F914">
        <v>70</v>
      </c>
      <c r="G914">
        <v>2380</v>
      </c>
      <c r="H914" s="4">
        <v>1190</v>
      </c>
      <c r="I914" s="4">
        <v>1190</v>
      </c>
      <c r="J914" t="s">
        <v>595</v>
      </c>
      <c r="K914" t="s">
        <v>86</v>
      </c>
      <c r="L914" s="4">
        <v>12.045339240427111</v>
      </c>
      <c r="M914" s="1" t="s">
        <v>38</v>
      </c>
      <c r="N914" s="11">
        <f t="shared" si="14"/>
        <v>5</v>
      </c>
    </row>
    <row r="915" spans="1:14" ht="16" x14ac:dyDescent="0.2">
      <c r="A915" s="3">
        <v>43685.509514487771</v>
      </c>
      <c r="B915" s="1" t="s">
        <v>1311</v>
      </c>
      <c r="C915" t="s">
        <v>160</v>
      </c>
      <c r="D915">
        <v>18</v>
      </c>
      <c r="E915">
        <v>132</v>
      </c>
      <c r="F915">
        <v>33</v>
      </c>
      <c r="G915">
        <v>2376</v>
      </c>
      <c r="H915" s="4">
        <v>594</v>
      </c>
      <c r="I915" s="4">
        <v>1782</v>
      </c>
      <c r="J915" t="s">
        <v>279</v>
      </c>
      <c r="K915" t="s">
        <v>64</v>
      </c>
      <c r="L915" s="4">
        <v>11.504886852416154</v>
      </c>
      <c r="M915" s="1" t="s">
        <v>38</v>
      </c>
      <c r="N915" s="11">
        <f t="shared" si="14"/>
        <v>5</v>
      </c>
    </row>
    <row r="916" spans="1:14" ht="16" x14ac:dyDescent="0.2">
      <c r="A916" s="3">
        <v>43225.381600181048</v>
      </c>
      <c r="B916" s="1" t="s">
        <v>1312</v>
      </c>
      <c r="C916" t="s">
        <v>394</v>
      </c>
      <c r="D916">
        <v>19</v>
      </c>
      <c r="E916">
        <v>58</v>
      </c>
      <c r="F916">
        <v>29</v>
      </c>
      <c r="G916">
        <v>1102</v>
      </c>
      <c r="H916" s="4">
        <v>551</v>
      </c>
      <c r="I916" s="4">
        <v>551</v>
      </c>
      <c r="J916" t="s">
        <v>423</v>
      </c>
      <c r="K916" t="s">
        <v>86</v>
      </c>
      <c r="L916" s="4">
        <v>10.813269600021069</v>
      </c>
      <c r="M916" s="1" t="s">
        <v>38</v>
      </c>
      <c r="N916" s="11">
        <f t="shared" si="14"/>
        <v>5</v>
      </c>
    </row>
    <row r="917" spans="1:14" ht="16" x14ac:dyDescent="0.2">
      <c r="A917" s="3">
        <v>44222.27021088262</v>
      </c>
      <c r="B917" s="1" t="s">
        <v>316</v>
      </c>
      <c r="C917" t="s">
        <v>394</v>
      </c>
      <c r="D917">
        <v>17</v>
      </c>
      <c r="E917">
        <v>58</v>
      </c>
      <c r="F917">
        <v>29</v>
      </c>
      <c r="G917">
        <v>986</v>
      </c>
      <c r="H917" s="4">
        <v>493</v>
      </c>
      <c r="I917" s="4">
        <v>493</v>
      </c>
      <c r="J917" t="s">
        <v>903</v>
      </c>
      <c r="K917" t="s">
        <v>58</v>
      </c>
      <c r="L917" s="4">
        <v>11.952554704438674</v>
      </c>
      <c r="M917" s="1" t="s">
        <v>34</v>
      </c>
      <c r="N917" s="11">
        <f t="shared" si="14"/>
        <v>1</v>
      </c>
    </row>
    <row r="918" spans="1:14" ht="16" x14ac:dyDescent="0.2">
      <c r="A918" s="3">
        <v>43778.76350445384</v>
      </c>
      <c r="B918" s="1" t="s">
        <v>1313</v>
      </c>
      <c r="C918" t="s">
        <v>115</v>
      </c>
      <c r="D918">
        <v>1</v>
      </c>
      <c r="E918">
        <v>81</v>
      </c>
      <c r="F918">
        <v>27</v>
      </c>
      <c r="G918">
        <v>81</v>
      </c>
      <c r="H918" s="4">
        <v>27</v>
      </c>
      <c r="I918" s="4">
        <v>54</v>
      </c>
      <c r="J918" t="s">
        <v>277</v>
      </c>
      <c r="K918" t="s">
        <v>58</v>
      </c>
      <c r="L918" s="4">
        <v>11.883396013219548</v>
      </c>
      <c r="M918" s="1" t="s">
        <v>54</v>
      </c>
      <c r="N918" s="11">
        <f t="shared" si="14"/>
        <v>10</v>
      </c>
    </row>
    <row r="919" spans="1:14" ht="16" x14ac:dyDescent="0.2">
      <c r="A919" s="3">
        <v>43907.891185788932</v>
      </c>
      <c r="B919" s="1" t="s">
        <v>1314</v>
      </c>
      <c r="C919" t="s">
        <v>75</v>
      </c>
      <c r="D919">
        <v>14</v>
      </c>
      <c r="E919">
        <v>76</v>
      </c>
      <c r="F919">
        <v>19</v>
      </c>
      <c r="G919">
        <v>1064</v>
      </c>
      <c r="H919" s="4">
        <v>266</v>
      </c>
      <c r="I919" s="4">
        <v>798</v>
      </c>
      <c r="J919" t="s">
        <v>595</v>
      </c>
      <c r="K919" t="s">
        <v>86</v>
      </c>
      <c r="L919" s="4">
        <v>12.045339240427111</v>
      </c>
      <c r="M919" s="1" t="s">
        <v>38</v>
      </c>
      <c r="N919" s="11">
        <f t="shared" si="14"/>
        <v>5</v>
      </c>
    </row>
    <row r="920" spans="1:14" ht="16" x14ac:dyDescent="0.2">
      <c r="A920" s="3">
        <v>43226.918293045012</v>
      </c>
      <c r="B920" s="1" t="s">
        <v>1315</v>
      </c>
      <c r="C920" t="s">
        <v>212</v>
      </c>
      <c r="D920">
        <v>5</v>
      </c>
      <c r="E920">
        <v>300</v>
      </c>
      <c r="F920">
        <v>75</v>
      </c>
      <c r="G920">
        <v>1500</v>
      </c>
      <c r="H920" s="4">
        <v>375</v>
      </c>
      <c r="I920" s="4">
        <v>1125</v>
      </c>
      <c r="J920" t="s">
        <v>238</v>
      </c>
      <c r="K920" t="s">
        <v>86</v>
      </c>
      <c r="L920" s="4">
        <v>14.593670394271927</v>
      </c>
      <c r="M920" s="1" t="s">
        <v>54</v>
      </c>
      <c r="N920" s="11">
        <f t="shared" si="14"/>
        <v>10</v>
      </c>
    </row>
    <row r="921" spans="1:14" ht="16" x14ac:dyDescent="0.2">
      <c r="A921" s="3">
        <v>43480.167308778684</v>
      </c>
      <c r="B921" s="1" t="s">
        <v>1000</v>
      </c>
      <c r="C921" t="s">
        <v>538</v>
      </c>
      <c r="D921">
        <v>5</v>
      </c>
      <c r="E921">
        <v>261</v>
      </c>
      <c r="F921">
        <v>87</v>
      </c>
      <c r="G921">
        <v>1305</v>
      </c>
      <c r="H921" s="4">
        <v>435</v>
      </c>
      <c r="I921" s="4">
        <v>870</v>
      </c>
      <c r="J921" t="s">
        <v>384</v>
      </c>
      <c r="K921" t="s">
        <v>33</v>
      </c>
      <c r="L921" s="4">
        <v>11.687634894637348</v>
      </c>
      <c r="M921" s="1" t="s">
        <v>38</v>
      </c>
      <c r="N921" s="11">
        <f t="shared" si="14"/>
        <v>5</v>
      </c>
    </row>
    <row r="922" spans="1:14" ht="16" x14ac:dyDescent="0.2">
      <c r="A922" s="3">
        <v>44201.619973028006</v>
      </c>
      <c r="B922" s="1" t="s">
        <v>1316</v>
      </c>
      <c r="C922" t="s">
        <v>81</v>
      </c>
      <c r="D922">
        <v>1</v>
      </c>
      <c r="E922">
        <v>166</v>
      </c>
      <c r="F922">
        <v>83</v>
      </c>
      <c r="G922">
        <v>166</v>
      </c>
      <c r="H922" s="4">
        <v>83</v>
      </c>
      <c r="I922" s="4">
        <v>83</v>
      </c>
      <c r="J922" t="s">
        <v>318</v>
      </c>
      <c r="K922" t="s">
        <v>33</v>
      </c>
      <c r="L922" s="4">
        <v>9.0350666811770921</v>
      </c>
      <c r="M922" s="1" t="s">
        <v>38</v>
      </c>
      <c r="N922" s="11">
        <f t="shared" si="14"/>
        <v>5</v>
      </c>
    </row>
    <row r="923" spans="1:14" ht="16" x14ac:dyDescent="0.2">
      <c r="A923" s="3">
        <v>43748.510021494185</v>
      </c>
      <c r="B923" s="1" t="s">
        <v>1317</v>
      </c>
      <c r="C923" t="s">
        <v>425</v>
      </c>
      <c r="D923">
        <v>2</v>
      </c>
      <c r="E923">
        <v>352</v>
      </c>
      <c r="F923">
        <v>88</v>
      </c>
      <c r="G923">
        <v>704</v>
      </c>
      <c r="H923" s="4">
        <v>176</v>
      </c>
      <c r="I923" s="4">
        <v>528</v>
      </c>
      <c r="J923" t="s">
        <v>413</v>
      </c>
      <c r="K923" t="s">
        <v>64</v>
      </c>
      <c r="L923" s="4">
        <v>12.682358648534777</v>
      </c>
      <c r="M923" s="1" t="s">
        <v>34</v>
      </c>
      <c r="N923" s="11">
        <f t="shared" si="14"/>
        <v>1</v>
      </c>
    </row>
    <row r="924" spans="1:14" ht="16" x14ac:dyDescent="0.2">
      <c r="A924" s="3">
        <v>43161.502894330639</v>
      </c>
      <c r="B924" s="1" t="s">
        <v>1318</v>
      </c>
      <c r="C924" t="s">
        <v>227</v>
      </c>
      <c r="D924">
        <v>2</v>
      </c>
      <c r="E924">
        <v>144</v>
      </c>
      <c r="F924">
        <v>48</v>
      </c>
      <c r="G924">
        <v>288</v>
      </c>
      <c r="H924" s="4">
        <v>96</v>
      </c>
      <c r="I924" s="4">
        <v>192</v>
      </c>
      <c r="J924" t="s">
        <v>882</v>
      </c>
      <c r="K924" t="s">
        <v>64</v>
      </c>
      <c r="L924" s="4">
        <v>12.701325659159139</v>
      </c>
      <c r="M924" s="1" t="s">
        <v>38</v>
      </c>
      <c r="N924" s="11">
        <f t="shared" si="14"/>
        <v>5</v>
      </c>
    </row>
    <row r="925" spans="1:14" ht="16" x14ac:dyDescent="0.2">
      <c r="A925" s="3">
        <v>43720.07702548003</v>
      </c>
      <c r="B925" s="1" t="s">
        <v>1319</v>
      </c>
      <c r="C925" t="s">
        <v>175</v>
      </c>
      <c r="D925">
        <v>16</v>
      </c>
      <c r="E925">
        <v>38</v>
      </c>
      <c r="F925">
        <v>19</v>
      </c>
      <c r="G925">
        <v>608</v>
      </c>
      <c r="H925" s="4">
        <v>304</v>
      </c>
      <c r="I925" s="4">
        <v>304</v>
      </c>
      <c r="J925" t="s">
        <v>713</v>
      </c>
      <c r="K925" t="s">
        <v>42</v>
      </c>
      <c r="L925" s="4">
        <v>10.956589836772277</v>
      </c>
      <c r="M925" s="1" t="s">
        <v>38</v>
      </c>
      <c r="N925" s="11">
        <f t="shared" si="14"/>
        <v>5</v>
      </c>
    </row>
    <row r="926" spans="1:14" ht="16" x14ac:dyDescent="0.2">
      <c r="A926" s="3">
        <v>43786.416079389142</v>
      </c>
      <c r="B926" s="1" t="s">
        <v>1320</v>
      </c>
      <c r="C926" t="s">
        <v>788</v>
      </c>
      <c r="D926">
        <v>1</v>
      </c>
      <c r="E926">
        <v>100</v>
      </c>
      <c r="F926">
        <v>25</v>
      </c>
      <c r="G926">
        <v>100</v>
      </c>
      <c r="H926" s="4">
        <v>25</v>
      </c>
      <c r="I926" s="4">
        <v>75</v>
      </c>
      <c r="J926" t="s">
        <v>335</v>
      </c>
      <c r="K926" t="s">
        <v>53</v>
      </c>
      <c r="L926" s="4">
        <v>12.148236977735172</v>
      </c>
      <c r="M926" s="1" t="s">
        <v>54</v>
      </c>
      <c r="N926" s="11">
        <f t="shared" si="14"/>
        <v>10</v>
      </c>
    </row>
    <row r="927" spans="1:14" ht="16" x14ac:dyDescent="0.2">
      <c r="A927" s="3">
        <v>44376.647992893937</v>
      </c>
      <c r="B927" s="1" t="s">
        <v>1321</v>
      </c>
      <c r="C927" t="s">
        <v>93</v>
      </c>
      <c r="D927">
        <v>4</v>
      </c>
      <c r="E927">
        <v>204</v>
      </c>
      <c r="F927">
        <v>51</v>
      </c>
      <c r="G927">
        <v>816</v>
      </c>
      <c r="H927" s="4">
        <v>204</v>
      </c>
      <c r="I927" s="4">
        <v>612</v>
      </c>
      <c r="J927" t="s">
        <v>462</v>
      </c>
      <c r="K927" t="s">
        <v>86</v>
      </c>
      <c r="L927" s="4">
        <v>12.732640267350657</v>
      </c>
      <c r="M927" s="1" t="s">
        <v>38</v>
      </c>
      <c r="N927" s="11">
        <f t="shared" si="14"/>
        <v>5</v>
      </c>
    </row>
    <row r="928" spans="1:14" ht="16" x14ac:dyDescent="0.2">
      <c r="A928" s="3">
        <v>43573.755610942782</v>
      </c>
      <c r="B928" s="1" t="s">
        <v>1322</v>
      </c>
      <c r="C928" t="s">
        <v>286</v>
      </c>
      <c r="D928">
        <v>7</v>
      </c>
      <c r="E928">
        <v>34</v>
      </c>
      <c r="F928">
        <v>17</v>
      </c>
      <c r="G928">
        <v>238</v>
      </c>
      <c r="H928" s="4">
        <v>119</v>
      </c>
      <c r="I928" s="4">
        <v>119</v>
      </c>
      <c r="J928" t="s">
        <v>94</v>
      </c>
      <c r="K928" t="s">
        <v>49</v>
      </c>
      <c r="L928" s="4">
        <v>9.8238489437106278</v>
      </c>
      <c r="M928" s="1" t="s">
        <v>34</v>
      </c>
      <c r="N928" s="11">
        <f t="shared" si="14"/>
        <v>1</v>
      </c>
    </row>
    <row r="929" spans="1:14" ht="16" x14ac:dyDescent="0.2">
      <c r="A929" s="3">
        <v>44320.520144322378</v>
      </c>
      <c r="B929" s="1" t="s">
        <v>1323</v>
      </c>
      <c r="C929" t="s">
        <v>523</v>
      </c>
      <c r="D929">
        <v>1</v>
      </c>
      <c r="E929">
        <v>92</v>
      </c>
      <c r="F929">
        <v>46</v>
      </c>
      <c r="G929">
        <v>92</v>
      </c>
      <c r="H929" s="4">
        <v>46</v>
      </c>
      <c r="I929" s="4">
        <v>46</v>
      </c>
      <c r="J929" t="s">
        <v>506</v>
      </c>
      <c r="K929" t="s">
        <v>33</v>
      </c>
      <c r="L929" s="4">
        <v>13.917704159139552</v>
      </c>
      <c r="M929" s="1" t="s">
        <v>34</v>
      </c>
      <c r="N929" s="11">
        <f t="shared" si="14"/>
        <v>1</v>
      </c>
    </row>
    <row r="930" spans="1:14" ht="16" x14ac:dyDescent="0.2">
      <c r="A930" s="3">
        <v>44109.639242092249</v>
      </c>
      <c r="B930" s="1" t="s">
        <v>1324</v>
      </c>
      <c r="C930" t="s">
        <v>473</v>
      </c>
      <c r="D930">
        <v>3</v>
      </c>
      <c r="E930">
        <v>72</v>
      </c>
      <c r="F930">
        <v>36</v>
      </c>
      <c r="G930">
        <v>216</v>
      </c>
      <c r="H930" s="4">
        <v>108</v>
      </c>
      <c r="I930" s="4">
        <v>108</v>
      </c>
      <c r="J930" t="s">
        <v>720</v>
      </c>
      <c r="K930" t="s">
        <v>53</v>
      </c>
      <c r="L930" s="4">
        <v>13.106678263594747</v>
      </c>
      <c r="M930" s="1" t="s">
        <v>38</v>
      </c>
      <c r="N930" s="11">
        <f t="shared" si="14"/>
        <v>5</v>
      </c>
    </row>
    <row r="931" spans="1:14" ht="16" x14ac:dyDescent="0.2">
      <c r="A931" s="3">
        <v>44557.300492115552</v>
      </c>
      <c r="B931" s="1" t="s">
        <v>1325</v>
      </c>
      <c r="C931" t="s">
        <v>243</v>
      </c>
      <c r="D931">
        <v>7</v>
      </c>
      <c r="E931">
        <v>90</v>
      </c>
      <c r="F931">
        <v>45</v>
      </c>
      <c r="G931">
        <v>630</v>
      </c>
      <c r="H931" s="4">
        <v>315</v>
      </c>
      <c r="I931" s="4">
        <v>315</v>
      </c>
      <c r="J931" t="s">
        <v>1136</v>
      </c>
      <c r="K931" t="s">
        <v>49</v>
      </c>
      <c r="L931" s="4">
        <v>14.129095302641241</v>
      </c>
      <c r="M931" s="1" t="s">
        <v>38</v>
      </c>
      <c r="N931" s="11">
        <f t="shared" si="14"/>
        <v>5</v>
      </c>
    </row>
    <row r="932" spans="1:14" ht="16" x14ac:dyDescent="0.2">
      <c r="A932" s="3">
        <v>43697.108469909297</v>
      </c>
      <c r="B932" s="1" t="s">
        <v>1326</v>
      </c>
      <c r="C932" t="s">
        <v>259</v>
      </c>
      <c r="D932">
        <v>5</v>
      </c>
      <c r="E932">
        <v>270</v>
      </c>
      <c r="F932">
        <v>90</v>
      </c>
      <c r="G932">
        <v>1350</v>
      </c>
      <c r="H932" s="4">
        <v>450</v>
      </c>
      <c r="I932" s="4">
        <v>900</v>
      </c>
      <c r="J932" t="s">
        <v>629</v>
      </c>
      <c r="K932" t="s">
        <v>53</v>
      </c>
      <c r="L932" s="4">
        <v>9.8892508156549788</v>
      </c>
      <c r="M932" s="1" t="s">
        <v>54</v>
      </c>
      <c r="N932" s="11">
        <f t="shared" si="14"/>
        <v>10</v>
      </c>
    </row>
    <row r="933" spans="1:14" ht="16" x14ac:dyDescent="0.2">
      <c r="A933" s="3">
        <v>43716.231300520078</v>
      </c>
      <c r="B933" s="1" t="s">
        <v>1327</v>
      </c>
      <c r="C933" t="s">
        <v>175</v>
      </c>
      <c r="D933">
        <v>5</v>
      </c>
      <c r="E933">
        <v>38</v>
      </c>
      <c r="F933">
        <v>19</v>
      </c>
      <c r="G933">
        <v>190</v>
      </c>
      <c r="H933" s="4">
        <v>95</v>
      </c>
      <c r="I933" s="4">
        <v>95</v>
      </c>
      <c r="J933" t="s">
        <v>140</v>
      </c>
      <c r="K933" t="s">
        <v>53</v>
      </c>
      <c r="L933" s="4">
        <v>7.1104128275166252</v>
      </c>
      <c r="M933" s="1" t="s">
        <v>54</v>
      </c>
      <c r="N933" s="11">
        <f t="shared" si="14"/>
        <v>10</v>
      </c>
    </row>
    <row r="934" spans="1:14" ht="16" x14ac:dyDescent="0.2">
      <c r="A934" s="3">
        <v>43323.638071595888</v>
      </c>
      <c r="B934" s="1" t="s">
        <v>1328</v>
      </c>
      <c r="C934" t="s">
        <v>204</v>
      </c>
      <c r="D934">
        <v>10</v>
      </c>
      <c r="E934">
        <v>57</v>
      </c>
      <c r="F934">
        <v>19</v>
      </c>
      <c r="G934">
        <v>570</v>
      </c>
      <c r="H934" s="4">
        <v>190</v>
      </c>
      <c r="I934" s="4">
        <v>380</v>
      </c>
      <c r="J934" t="s">
        <v>272</v>
      </c>
      <c r="K934" t="s">
        <v>49</v>
      </c>
      <c r="L934" s="4">
        <v>12.503632939408062</v>
      </c>
      <c r="M934" s="1" t="s">
        <v>54</v>
      </c>
      <c r="N934" s="11">
        <f t="shared" si="14"/>
        <v>10</v>
      </c>
    </row>
    <row r="935" spans="1:14" ht="16" x14ac:dyDescent="0.2">
      <c r="A935" s="3">
        <v>44024.532111811626</v>
      </c>
      <c r="B935" s="1" t="s">
        <v>1329</v>
      </c>
      <c r="C935" t="s">
        <v>157</v>
      </c>
      <c r="D935">
        <v>7</v>
      </c>
      <c r="E935">
        <v>50</v>
      </c>
      <c r="F935">
        <v>25</v>
      </c>
      <c r="G935">
        <v>350</v>
      </c>
      <c r="H935" s="4">
        <v>175</v>
      </c>
      <c r="I935" s="4">
        <v>175</v>
      </c>
      <c r="J935" t="s">
        <v>345</v>
      </c>
      <c r="K935" t="s">
        <v>49</v>
      </c>
      <c r="L935" s="4">
        <v>14.687857652112591</v>
      </c>
      <c r="M935" s="1" t="s">
        <v>38</v>
      </c>
      <c r="N935" s="11">
        <f t="shared" si="14"/>
        <v>5</v>
      </c>
    </row>
    <row r="936" spans="1:14" ht="16" x14ac:dyDescent="0.2">
      <c r="A936" s="3">
        <v>43561.822406407649</v>
      </c>
      <c r="B936" s="1" t="s">
        <v>1330</v>
      </c>
      <c r="C936" t="s">
        <v>139</v>
      </c>
      <c r="D936">
        <v>2</v>
      </c>
      <c r="E936">
        <v>320</v>
      </c>
      <c r="F936">
        <v>80</v>
      </c>
      <c r="G936">
        <v>640</v>
      </c>
      <c r="H936" s="4">
        <v>160</v>
      </c>
      <c r="I936" s="4">
        <v>480</v>
      </c>
      <c r="J936" t="s">
        <v>681</v>
      </c>
      <c r="K936" t="s">
        <v>86</v>
      </c>
      <c r="L936" s="4">
        <v>8.1628930629234038</v>
      </c>
      <c r="M936" s="1" t="s">
        <v>54</v>
      </c>
      <c r="N936" s="11">
        <f t="shared" si="14"/>
        <v>10</v>
      </c>
    </row>
    <row r="937" spans="1:14" ht="16" x14ac:dyDescent="0.2">
      <c r="A937" s="3">
        <v>43657.966113686336</v>
      </c>
      <c r="B937" s="1" t="s">
        <v>1331</v>
      </c>
      <c r="C937" t="s">
        <v>51</v>
      </c>
      <c r="D937">
        <v>8</v>
      </c>
      <c r="E937">
        <v>160</v>
      </c>
      <c r="F937">
        <v>80</v>
      </c>
      <c r="G937">
        <v>1280</v>
      </c>
      <c r="H937" s="4">
        <v>640</v>
      </c>
      <c r="I937" s="4">
        <v>640</v>
      </c>
      <c r="J937" t="s">
        <v>1157</v>
      </c>
      <c r="K937" t="s">
        <v>42</v>
      </c>
      <c r="L937" s="4">
        <v>10.517826055804084</v>
      </c>
      <c r="M937" s="1" t="s">
        <v>38</v>
      </c>
      <c r="N937" s="11">
        <f t="shared" si="14"/>
        <v>5</v>
      </c>
    </row>
    <row r="938" spans="1:14" ht="16" x14ac:dyDescent="0.2">
      <c r="A938" s="3">
        <v>45195.530700140356</v>
      </c>
      <c r="B938" s="1" t="s">
        <v>1332</v>
      </c>
      <c r="C938" t="s">
        <v>160</v>
      </c>
      <c r="D938">
        <v>3</v>
      </c>
      <c r="E938">
        <v>132</v>
      </c>
      <c r="F938">
        <v>33</v>
      </c>
      <c r="G938">
        <v>396</v>
      </c>
      <c r="H938" s="4">
        <v>99</v>
      </c>
      <c r="I938" s="4">
        <v>297</v>
      </c>
      <c r="J938" t="s">
        <v>776</v>
      </c>
      <c r="K938" t="s">
        <v>86</v>
      </c>
      <c r="L938" s="4">
        <v>13.611804647345796</v>
      </c>
      <c r="M938" s="1" t="s">
        <v>38</v>
      </c>
      <c r="N938" s="11">
        <f t="shared" si="14"/>
        <v>5</v>
      </c>
    </row>
    <row r="939" spans="1:14" ht="16" x14ac:dyDescent="0.2">
      <c r="A939" s="3">
        <v>43870.33702791002</v>
      </c>
      <c r="B939" s="1" t="s">
        <v>1333</v>
      </c>
      <c r="C939" t="s">
        <v>788</v>
      </c>
      <c r="D939">
        <v>4</v>
      </c>
      <c r="E939">
        <v>100</v>
      </c>
      <c r="F939">
        <v>25</v>
      </c>
      <c r="G939">
        <v>400</v>
      </c>
      <c r="H939" s="4">
        <v>100</v>
      </c>
      <c r="I939" s="4">
        <v>300</v>
      </c>
      <c r="J939" t="s">
        <v>555</v>
      </c>
      <c r="K939" t="s">
        <v>53</v>
      </c>
      <c r="L939" s="4">
        <v>14.341195386574373</v>
      </c>
      <c r="M939" s="1" t="s">
        <v>54</v>
      </c>
      <c r="N939" s="11">
        <f t="shared" si="14"/>
        <v>10</v>
      </c>
    </row>
    <row r="940" spans="1:14" ht="16" x14ac:dyDescent="0.2">
      <c r="A940" s="3">
        <v>43525.58282092338</v>
      </c>
      <c r="B940" s="1" t="s">
        <v>132</v>
      </c>
      <c r="C940" t="s">
        <v>779</v>
      </c>
      <c r="D940">
        <v>1</v>
      </c>
      <c r="E940">
        <v>120</v>
      </c>
      <c r="F940">
        <v>30</v>
      </c>
      <c r="G940">
        <v>120</v>
      </c>
      <c r="H940" s="4">
        <v>30</v>
      </c>
      <c r="I940" s="4">
        <v>90</v>
      </c>
      <c r="J940" t="s">
        <v>471</v>
      </c>
      <c r="K940" t="s">
        <v>58</v>
      </c>
      <c r="L940" s="4">
        <v>10.764293826791503</v>
      </c>
      <c r="M940" s="1" t="s">
        <v>34</v>
      </c>
      <c r="N940" s="11">
        <f t="shared" si="14"/>
        <v>1</v>
      </c>
    </row>
    <row r="941" spans="1:14" ht="16" x14ac:dyDescent="0.2">
      <c r="A941" s="3">
        <v>42871.470808248021</v>
      </c>
      <c r="B941" s="1" t="s">
        <v>1334</v>
      </c>
      <c r="C941" t="s">
        <v>297</v>
      </c>
      <c r="D941">
        <v>10</v>
      </c>
      <c r="E941">
        <v>108</v>
      </c>
      <c r="F941">
        <v>36</v>
      </c>
      <c r="G941">
        <v>1080</v>
      </c>
      <c r="H941" s="4">
        <v>360</v>
      </c>
      <c r="I941" s="4">
        <v>720</v>
      </c>
      <c r="J941" t="s">
        <v>844</v>
      </c>
      <c r="K941" t="s">
        <v>33</v>
      </c>
      <c r="L941" s="4">
        <v>11.816654396440285</v>
      </c>
      <c r="M941" s="1" t="s">
        <v>38</v>
      </c>
      <c r="N941" s="11">
        <f t="shared" si="14"/>
        <v>5</v>
      </c>
    </row>
    <row r="942" spans="1:14" ht="16" x14ac:dyDescent="0.2">
      <c r="A942" s="3">
        <v>44409.44702126379</v>
      </c>
      <c r="B942" s="1" t="s">
        <v>1335</v>
      </c>
      <c r="C942" t="s">
        <v>47</v>
      </c>
      <c r="D942">
        <v>2</v>
      </c>
      <c r="E942">
        <v>231</v>
      </c>
      <c r="F942">
        <v>77</v>
      </c>
      <c r="G942">
        <v>462</v>
      </c>
      <c r="H942" s="4">
        <v>154</v>
      </c>
      <c r="I942" s="4">
        <v>308</v>
      </c>
      <c r="J942" t="s">
        <v>307</v>
      </c>
      <c r="K942" t="s">
        <v>53</v>
      </c>
      <c r="L942" s="4">
        <v>7.0114620475168028</v>
      </c>
      <c r="M942" s="1" t="s">
        <v>38</v>
      </c>
      <c r="N942" s="11">
        <f t="shared" si="14"/>
        <v>5</v>
      </c>
    </row>
    <row r="943" spans="1:14" ht="16" x14ac:dyDescent="0.2">
      <c r="A943" s="3">
        <v>44199.634029099165</v>
      </c>
      <c r="B943" s="1" t="s">
        <v>1336</v>
      </c>
      <c r="C943" t="s">
        <v>547</v>
      </c>
      <c r="D943">
        <v>7</v>
      </c>
      <c r="E943">
        <v>300</v>
      </c>
      <c r="F943">
        <v>75</v>
      </c>
      <c r="G943">
        <v>2100</v>
      </c>
      <c r="H943" s="4">
        <v>525</v>
      </c>
      <c r="I943" s="4">
        <v>1575</v>
      </c>
      <c r="J943" t="s">
        <v>1042</v>
      </c>
      <c r="K943" t="s">
        <v>58</v>
      </c>
      <c r="L943" s="4">
        <v>10.588336269016523</v>
      </c>
      <c r="M943" s="1" t="s">
        <v>38</v>
      </c>
      <c r="N943" s="11">
        <f t="shared" si="14"/>
        <v>5</v>
      </c>
    </row>
    <row r="944" spans="1:14" ht="16" x14ac:dyDescent="0.2">
      <c r="A944" s="3">
        <v>43503.025409040696</v>
      </c>
      <c r="B944" s="1" t="s">
        <v>1337</v>
      </c>
      <c r="C944" t="s">
        <v>160</v>
      </c>
      <c r="D944">
        <v>16</v>
      </c>
      <c r="E944">
        <v>132</v>
      </c>
      <c r="F944">
        <v>33</v>
      </c>
      <c r="G944">
        <v>2112</v>
      </c>
      <c r="H944" s="4">
        <v>528</v>
      </c>
      <c r="I944" s="4">
        <v>1584</v>
      </c>
      <c r="J944" t="s">
        <v>292</v>
      </c>
      <c r="K944" t="s">
        <v>49</v>
      </c>
      <c r="L944" s="4">
        <v>11.710935611749917</v>
      </c>
      <c r="M944" s="1" t="s">
        <v>54</v>
      </c>
      <c r="N944" s="11">
        <f t="shared" si="14"/>
        <v>10</v>
      </c>
    </row>
    <row r="945" spans="1:14" ht="16" x14ac:dyDescent="0.2">
      <c r="A945" s="3">
        <v>43554.105759756123</v>
      </c>
      <c r="B945" s="1" t="s">
        <v>1338</v>
      </c>
      <c r="C945" t="s">
        <v>523</v>
      </c>
      <c r="D945">
        <v>5</v>
      </c>
      <c r="E945">
        <v>92</v>
      </c>
      <c r="F945">
        <v>46</v>
      </c>
      <c r="G945">
        <v>460</v>
      </c>
      <c r="H945" s="4">
        <v>230</v>
      </c>
      <c r="I945" s="4">
        <v>230</v>
      </c>
      <c r="J945" t="s">
        <v>76</v>
      </c>
      <c r="K945" t="s">
        <v>58</v>
      </c>
      <c r="L945" s="4">
        <v>9.8384363471888783</v>
      </c>
      <c r="M945" s="1" t="s">
        <v>34</v>
      </c>
      <c r="N945" s="11">
        <f t="shared" si="14"/>
        <v>1</v>
      </c>
    </row>
    <row r="946" spans="1:14" ht="16" x14ac:dyDescent="0.2">
      <c r="A946" s="3">
        <v>43919.900235968671</v>
      </c>
      <c r="B946" s="1" t="s">
        <v>1339</v>
      </c>
      <c r="C946" t="s">
        <v>788</v>
      </c>
      <c r="D946">
        <v>17</v>
      </c>
      <c r="E946">
        <v>100</v>
      </c>
      <c r="F946">
        <v>25</v>
      </c>
      <c r="G946">
        <v>1700</v>
      </c>
      <c r="H946" s="4">
        <v>425</v>
      </c>
      <c r="I946" s="4">
        <v>1275</v>
      </c>
      <c r="J946" t="s">
        <v>164</v>
      </c>
      <c r="K946" t="s">
        <v>86</v>
      </c>
      <c r="L946" s="4">
        <v>12.452986387489583</v>
      </c>
      <c r="M946" s="1" t="s">
        <v>38</v>
      </c>
      <c r="N946" s="11">
        <f t="shared" si="14"/>
        <v>5</v>
      </c>
    </row>
    <row r="947" spans="1:14" ht="16" x14ac:dyDescent="0.2">
      <c r="A947" s="3">
        <v>43391.812778694162</v>
      </c>
      <c r="B947" s="1" t="s">
        <v>1340</v>
      </c>
      <c r="C947" t="s">
        <v>544</v>
      </c>
      <c r="D947">
        <v>18</v>
      </c>
      <c r="E947">
        <v>267</v>
      </c>
      <c r="F947">
        <v>89</v>
      </c>
      <c r="G947">
        <v>4806</v>
      </c>
      <c r="H947" s="4">
        <v>1602</v>
      </c>
      <c r="I947" s="4">
        <v>3204</v>
      </c>
      <c r="J947" t="s">
        <v>387</v>
      </c>
      <c r="K947" t="s">
        <v>86</v>
      </c>
      <c r="L947" s="4">
        <v>15.60430546146185</v>
      </c>
      <c r="M947" s="1" t="s">
        <v>34</v>
      </c>
      <c r="N947" s="11">
        <f t="shared" si="14"/>
        <v>1</v>
      </c>
    </row>
    <row r="948" spans="1:14" ht="16" x14ac:dyDescent="0.2">
      <c r="A948" s="3">
        <v>43853.844813580508</v>
      </c>
      <c r="B948" s="1" t="s">
        <v>1341</v>
      </c>
      <c r="C948" t="s">
        <v>301</v>
      </c>
      <c r="D948">
        <v>8</v>
      </c>
      <c r="E948">
        <v>188</v>
      </c>
      <c r="F948">
        <v>94</v>
      </c>
      <c r="G948">
        <v>1504</v>
      </c>
      <c r="H948" s="4">
        <v>752</v>
      </c>
      <c r="I948" s="4">
        <v>752</v>
      </c>
      <c r="J948" t="s">
        <v>877</v>
      </c>
      <c r="K948" t="s">
        <v>49</v>
      </c>
      <c r="L948" s="4">
        <v>13.275355576494196</v>
      </c>
      <c r="M948" s="1" t="s">
        <v>34</v>
      </c>
      <c r="N948" s="11">
        <f t="shared" si="14"/>
        <v>1</v>
      </c>
    </row>
    <row r="949" spans="1:14" ht="16" x14ac:dyDescent="0.2">
      <c r="A949" s="3">
        <v>43667.095546447868</v>
      </c>
      <c r="B949" s="1" t="s">
        <v>1342</v>
      </c>
      <c r="C949" t="s">
        <v>160</v>
      </c>
      <c r="D949">
        <v>2</v>
      </c>
      <c r="E949">
        <v>132</v>
      </c>
      <c r="F949">
        <v>33</v>
      </c>
      <c r="G949">
        <v>264</v>
      </c>
      <c r="H949" s="4">
        <v>66</v>
      </c>
      <c r="I949" s="4">
        <v>198</v>
      </c>
      <c r="J949" t="s">
        <v>1343</v>
      </c>
      <c r="K949" t="s">
        <v>49</v>
      </c>
      <c r="L949" s="4">
        <v>9.1264071155960682</v>
      </c>
      <c r="M949" s="1" t="s">
        <v>38</v>
      </c>
      <c r="N949" s="11">
        <f t="shared" si="14"/>
        <v>5</v>
      </c>
    </row>
    <row r="950" spans="1:14" ht="16" x14ac:dyDescent="0.2">
      <c r="A950" s="3">
        <v>43893.209664073664</v>
      </c>
      <c r="B950" s="1" t="s">
        <v>1344</v>
      </c>
      <c r="C950" t="s">
        <v>523</v>
      </c>
      <c r="D950">
        <v>5</v>
      </c>
      <c r="E950">
        <v>92</v>
      </c>
      <c r="F950">
        <v>46</v>
      </c>
      <c r="G950">
        <v>460</v>
      </c>
      <c r="H950" s="4">
        <v>230</v>
      </c>
      <c r="I950" s="4">
        <v>230</v>
      </c>
      <c r="J950" t="s">
        <v>176</v>
      </c>
      <c r="K950" t="s">
        <v>64</v>
      </c>
      <c r="L950" s="4">
        <v>12.1334991293512</v>
      </c>
      <c r="M950" s="1" t="s">
        <v>54</v>
      </c>
      <c r="N950" s="11">
        <f t="shared" si="14"/>
        <v>10</v>
      </c>
    </row>
    <row r="951" spans="1:14" ht="16" x14ac:dyDescent="0.2">
      <c r="A951" s="3">
        <v>44121.744181571834</v>
      </c>
      <c r="B951" s="1" t="s">
        <v>1345</v>
      </c>
      <c r="C951" t="s">
        <v>91</v>
      </c>
      <c r="D951">
        <v>1</v>
      </c>
      <c r="E951">
        <v>300</v>
      </c>
      <c r="F951">
        <v>75</v>
      </c>
      <c r="G951">
        <v>300</v>
      </c>
      <c r="H951" s="4">
        <v>75</v>
      </c>
      <c r="I951" s="4">
        <v>225</v>
      </c>
      <c r="J951" t="s">
        <v>172</v>
      </c>
      <c r="K951" t="s">
        <v>33</v>
      </c>
      <c r="L951" s="4">
        <v>9.9311000381363836</v>
      </c>
      <c r="M951" s="1" t="s">
        <v>34</v>
      </c>
      <c r="N951" s="11">
        <f t="shared" si="14"/>
        <v>1</v>
      </c>
    </row>
    <row r="952" spans="1:14" ht="16" x14ac:dyDescent="0.2">
      <c r="A952" s="3">
        <v>44734.793767330229</v>
      </c>
      <c r="B952" s="1" t="s">
        <v>1346</v>
      </c>
      <c r="C952" t="s">
        <v>312</v>
      </c>
      <c r="D952">
        <v>19</v>
      </c>
      <c r="E952">
        <v>240</v>
      </c>
      <c r="F952">
        <v>80</v>
      </c>
      <c r="G952">
        <v>4560</v>
      </c>
      <c r="H952" s="4">
        <v>1520</v>
      </c>
      <c r="I952" s="4">
        <v>3040</v>
      </c>
      <c r="J952" t="s">
        <v>923</v>
      </c>
      <c r="K952" t="s">
        <v>42</v>
      </c>
      <c r="L952" s="4">
        <v>12.502346728827876</v>
      </c>
      <c r="M952" s="1" t="s">
        <v>54</v>
      </c>
      <c r="N952" s="11">
        <f t="shared" si="14"/>
        <v>10</v>
      </c>
    </row>
    <row r="953" spans="1:14" ht="16" x14ac:dyDescent="0.2">
      <c r="A953" s="3">
        <v>43566.116688334259</v>
      </c>
      <c r="B953" s="1" t="s">
        <v>1347</v>
      </c>
      <c r="C953" t="s">
        <v>163</v>
      </c>
      <c r="D953">
        <v>11</v>
      </c>
      <c r="E953">
        <v>108</v>
      </c>
      <c r="F953">
        <v>36</v>
      </c>
      <c r="G953">
        <v>1188</v>
      </c>
      <c r="H953" s="4">
        <v>396</v>
      </c>
      <c r="I953" s="4">
        <v>792</v>
      </c>
      <c r="J953" t="s">
        <v>521</v>
      </c>
      <c r="K953" t="s">
        <v>58</v>
      </c>
      <c r="L953" s="4">
        <v>8.8514729234790472</v>
      </c>
      <c r="M953" s="1" t="s">
        <v>54</v>
      </c>
      <c r="N953" s="11">
        <f t="shared" si="14"/>
        <v>10</v>
      </c>
    </row>
    <row r="954" spans="1:14" ht="16" x14ac:dyDescent="0.2">
      <c r="A954" s="3">
        <v>43878.154440212194</v>
      </c>
      <c r="B954" s="1" t="s">
        <v>1348</v>
      </c>
      <c r="C954" t="s">
        <v>113</v>
      </c>
      <c r="D954">
        <v>8</v>
      </c>
      <c r="E954">
        <v>66</v>
      </c>
      <c r="F954">
        <v>33</v>
      </c>
      <c r="G954">
        <v>528</v>
      </c>
      <c r="H954" s="4">
        <v>264</v>
      </c>
      <c r="I954" s="4">
        <v>264</v>
      </c>
      <c r="J954" t="s">
        <v>359</v>
      </c>
      <c r="K954" t="s">
        <v>64</v>
      </c>
      <c r="L954" s="4">
        <v>11.970975110943924</v>
      </c>
      <c r="M954" s="1" t="s">
        <v>34</v>
      </c>
      <c r="N954" s="11">
        <f t="shared" si="14"/>
        <v>1</v>
      </c>
    </row>
    <row r="955" spans="1:14" ht="16" x14ac:dyDescent="0.2">
      <c r="A955" s="3">
        <v>43828.570660130368</v>
      </c>
      <c r="B955" s="1" t="s">
        <v>1349</v>
      </c>
      <c r="C955" t="s">
        <v>523</v>
      </c>
      <c r="D955">
        <v>18</v>
      </c>
      <c r="E955">
        <v>92</v>
      </c>
      <c r="F955">
        <v>46</v>
      </c>
      <c r="G955">
        <v>1656</v>
      </c>
      <c r="H955" s="4">
        <v>828</v>
      </c>
      <c r="I955" s="4">
        <v>828</v>
      </c>
      <c r="J955" t="s">
        <v>357</v>
      </c>
      <c r="K955" t="s">
        <v>86</v>
      </c>
      <c r="L955" s="4">
        <v>11.986565560885863</v>
      </c>
      <c r="M955" s="1" t="s">
        <v>34</v>
      </c>
      <c r="N955" s="11">
        <f t="shared" si="14"/>
        <v>1</v>
      </c>
    </row>
    <row r="956" spans="1:14" ht="16" x14ac:dyDescent="0.2">
      <c r="A956" s="3">
        <v>43732.055956519951</v>
      </c>
      <c r="B956" s="1" t="s">
        <v>1350</v>
      </c>
      <c r="C956" t="s">
        <v>163</v>
      </c>
      <c r="D956">
        <v>15</v>
      </c>
      <c r="E956">
        <v>108</v>
      </c>
      <c r="F956">
        <v>36</v>
      </c>
      <c r="G956">
        <v>1620</v>
      </c>
      <c r="H956" s="4">
        <v>540</v>
      </c>
      <c r="I956" s="4">
        <v>1080</v>
      </c>
      <c r="J956" t="s">
        <v>143</v>
      </c>
      <c r="K956" t="s">
        <v>64</v>
      </c>
      <c r="L956" s="4">
        <v>11.406233913305266</v>
      </c>
      <c r="M956" s="1" t="s">
        <v>38</v>
      </c>
      <c r="N956" s="11">
        <f t="shared" si="14"/>
        <v>5</v>
      </c>
    </row>
    <row r="957" spans="1:14" ht="16" x14ac:dyDescent="0.2">
      <c r="A957" s="3">
        <v>43837.84845599391</v>
      </c>
      <c r="B957" s="1" t="s">
        <v>1351</v>
      </c>
      <c r="C957" t="s">
        <v>136</v>
      </c>
      <c r="D957">
        <v>16</v>
      </c>
      <c r="E957">
        <v>154</v>
      </c>
      <c r="F957">
        <v>77</v>
      </c>
      <c r="G957">
        <v>2464</v>
      </c>
      <c r="H957" s="4">
        <v>1232</v>
      </c>
      <c r="I957" s="4">
        <v>1232</v>
      </c>
      <c r="J957" t="s">
        <v>603</v>
      </c>
      <c r="K957" t="s">
        <v>64</v>
      </c>
      <c r="L957" s="4">
        <v>11.072271050116964</v>
      </c>
      <c r="M957" s="1" t="s">
        <v>54</v>
      </c>
      <c r="N957" s="11">
        <f t="shared" si="14"/>
        <v>10</v>
      </c>
    </row>
    <row r="958" spans="1:14" ht="16" x14ac:dyDescent="0.2">
      <c r="A958" s="3">
        <v>43793.238682286057</v>
      </c>
      <c r="B958" s="1" t="s">
        <v>1352</v>
      </c>
      <c r="C958" t="s">
        <v>592</v>
      </c>
      <c r="D958">
        <v>20</v>
      </c>
      <c r="E958">
        <v>312</v>
      </c>
      <c r="F958">
        <v>78</v>
      </c>
      <c r="G958">
        <v>6240</v>
      </c>
      <c r="H958" s="4">
        <v>1560</v>
      </c>
      <c r="I958" s="4">
        <v>4680</v>
      </c>
      <c r="J958" t="s">
        <v>241</v>
      </c>
      <c r="K958" t="s">
        <v>33</v>
      </c>
      <c r="L958" s="4">
        <v>11.274864741138284</v>
      </c>
      <c r="M958" s="1" t="s">
        <v>38</v>
      </c>
      <c r="N958" s="11">
        <f t="shared" si="14"/>
        <v>5</v>
      </c>
    </row>
    <row r="959" spans="1:14" ht="16" x14ac:dyDescent="0.2">
      <c r="A959" s="3">
        <v>44051.36307978796</v>
      </c>
      <c r="B959" s="1" t="s">
        <v>1353</v>
      </c>
      <c r="C959" t="s">
        <v>255</v>
      </c>
      <c r="D959">
        <v>6</v>
      </c>
      <c r="E959">
        <v>140</v>
      </c>
      <c r="F959">
        <v>70</v>
      </c>
      <c r="G959">
        <v>840</v>
      </c>
      <c r="H959" s="4">
        <v>420</v>
      </c>
      <c r="I959" s="4">
        <v>420</v>
      </c>
      <c r="J959" t="s">
        <v>1008</v>
      </c>
      <c r="K959" t="s">
        <v>58</v>
      </c>
      <c r="L959" s="4">
        <v>9.9471686551317795</v>
      </c>
      <c r="M959" s="1" t="s">
        <v>54</v>
      </c>
      <c r="N959" s="11">
        <f t="shared" si="14"/>
        <v>10</v>
      </c>
    </row>
    <row r="960" spans="1:14" ht="16" x14ac:dyDescent="0.2">
      <c r="A960" s="3">
        <v>44440.127235737411</v>
      </c>
      <c r="B960" s="1" t="s">
        <v>1354</v>
      </c>
      <c r="C960" t="s">
        <v>115</v>
      </c>
      <c r="D960">
        <v>11</v>
      </c>
      <c r="E960">
        <v>81</v>
      </c>
      <c r="F960">
        <v>27</v>
      </c>
      <c r="G960">
        <v>891</v>
      </c>
      <c r="H960" s="4">
        <v>297</v>
      </c>
      <c r="I960" s="4">
        <v>594</v>
      </c>
      <c r="J960" t="s">
        <v>89</v>
      </c>
      <c r="K960" t="s">
        <v>64</v>
      </c>
      <c r="L960" s="4">
        <v>12.865074657680612</v>
      </c>
      <c r="M960" s="1" t="s">
        <v>38</v>
      </c>
      <c r="N960" s="11">
        <f t="shared" si="14"/>
        <v>5</v>
      </c>
    </row>
    <row r="961" spans="1:14" ht="16" x14ac:dyDescent="0.2">
      <c r="A961" s="3">
        <v>43963.076614365535</v>
      </c>
      <c r="B961" s="1" t="s">
        <v>1355</v>
      </c>
      <c r="C961" t="s">
        <v>420</v>
      </c>
      <c r="D961">
        <v>1</v>
      </c>
      <c r="E961">
        <v>162</v>
      </c>
      <c r="F961">
        <v>54</v>
      </c>
      <c r="G961">
        <v>162</v>
      </c>
      <c r="H961" s="4">
        <v>54</v>
      </c>
      <c r="I961" s="4">
        <v>108</v>
      </c>
      <c r="J961" t="s">
        <v>574</v>
      </c>
      <c r="K961" t="s">
        <v>58</v>
      </c>
      <c r="L961" s="4">
        <v>13.150536103258979</v>
      </c>
      <c r="M961" s="1" t="s">
        <v>38</v>
      </c>
      <c r="N961" s="11">
        <f t="shared" si="14"/>
        <v>5</v>
      </c>
    </row>
    <row r="962" spans="1:14" ht="16" x14ac:dyDescent="0.2">
      <c r="A962" s="3">
        <v>43708.160495070719</v>
      </c>
      <c r="B962" s="1" t="s">
        <v>1356</v>
      </c>
      <c r="C962" t="s">
        <v>337</v>
      </c>
      <c r="D962">
        <v>5</v>
      </c>
      <c r="E962">
        <v>135</v>
      </c>
      <c r="F962">
        <v>45</v>
      </c>
      <c r="G962">
        <v>675</v>
      </c>
      <c r="H962" s="4">
        <v>225</v>
      </c>
      <c r="I962" s="4">
        <v>450</v>
      </c>
      <c r="J962" t="s">
        <v>411</v>
      </c>
      <c r="K962" t="s">
        <v>64</v>
      </c>
      <c r="L962" s="4">
        <v>13.115597690631557</v>
      </c>
      <c r="M962" s="1" t="s">
        <v>38</v>
      </c>
      <c r="N962" s="11">
        <f t="shared" si="14"/>
        <v>5</v>
      </c>
    </row>
    <row r="963" spans="1:14" ht="16" x14ac:dyDescent="0.2">
      <c r="A963" s="3">
        <v>44005.395368259262</v>
      </c>
      <c r="B963" s="1" t="s">
        <v>1357</v>
      </c>
      <c r="C963" t="s">
        <v>356</v>
      </c>
      <c r="D963">
        <v>11</v>
      </c>
      <c r="E963">
        <v>356</v>
      </c>
      <c r="F963">
        <v>89</v>
      </c>
      <c r="G963">
        <v>3916</v>
      </c>
      <c r="H963" s="4">
        <v>979</v>
      </c>
      <c r="I963" s="4">
        <v>2937</v>
      </c>
      <c r="J963" t="s">
        <v>1358</v>
      </c>
      <c r="K963" t="s">
        <v>86</v>
      </c>
      <c r="L963" s="4">
        <v>13.811876869930865</v>
      </c>
      <c r="M963" s="1" t="s">
        <v>38</v>
      </c>
      <c r="N963" s="11">
        <f t="shared" ref="N963:N1026" si="15">+IF(M963="Dissatisfied",1,IF(M963="Satisfied",10,5))</f>
        <v>5</v>
      </c>
    </row>
    <row r="964" spans="1:14" ht="16" x14ac:dyDescent="0.2">
      <c r="A964" s="3">
        <v>43445.351027760786</v>
      </c>
      <c r="B964" s="1" t="s">
        <v>1359</v>
      </c>
      <c r="C964" t="s">
        <v>227</v>
      </c>
      <c r="D964">
        <v>6</v>
      </c>
      <c r="E964">
        <v>144</v>
      </c>
      <c r="F964">
        <v>48</v>
      </c>
      <c r="G964">
        <v>864</v>
      </c>
      <c r="H964" s="4">
        <v>288</v>
      </c>
      <c r="I964" s="4">
        <v>576</v>
      </c>
      <c r="J964" t="s">
        <v>562</v>
      </c>
      <c r="K964" t="s">
        <v>49</v>
      </c>
      <c r="L964" s="4">
        <v>11.808681852148307</v>
      </c>
      <c r="M964" s="1" t="s">
        <v>34</v>
      </c>
      <c r="N964" s="11">
        <f t="shared" si="15"/>
        <v>1</v>
      </c>
    </row>
    <row r="965" spans="1:14" ht="16" x14ac:dyDescent="0.2">
      <c r="A965" s="3">
        <v>43789.625364238673</v>
      </c>
      <c r="B965" s="1" t="s">
        <v>1360</v>
      </c>
      <c r="C965" t="s">
        <v>297</v>
      </c>
      <c r="D965">
        <v>20</v>
      </c>
      <c r="E965">
        <v>108</v>
      </c>
      <c r="F965">
        <v>36</v>
      </c>
      <c r="G965">
        <v>2160</v>
      </c>
      <c r="H965" s="4">
        <v>720</v>
      </c>
      <c r="I965" s="4">
        <v>1440</v>
      </c>
      <c r="J965" t="s">
        <v>776</v>
      </c>
      <c r="K965" t="s">
        <v>86</v>
      </c>
      <c r="L965" s="4">
        <v>13.611804647345796</v>
      </c>
      <c r="M965" s="1" t="s">
        <v>38</v>
      </c>
      <c r="N965" s="11">
        <f t="shared" si="15"/>
        <v>5</v>
      </c>
    </row>
    <row r="966" spans="1:14" ht="16" x14ac:dyDescent="0.2">
      <c r="A966" s="3">
        <v>44501.127208689781</v>
      </c>
      <c r="B966" s="1" t="s">
        <v>1361</v>
      </c>
      <c r="C966" t="s">
        <v>473</v>
      </c>
      <c r="D966">
        <v>18</v>
      </c>
      <c r="E966">
        <v>72</v>
      </c>
      <c r="F966">
        <v>36</v>
      </c>
      <c r="G966">
        <v>1296</v>
      </c>
      <c r="H966" s="4">
        <v>648</v>
      </c>
      <c r="I966" s="4">
        <v>648</v>
      </c>
      <c r="J966" t="s">
        <v>495</v>
      </c>
      <c r="K966" t="s">
        <v>64</v>
      </c>
      <c r="L966" s="4">
        <v>8.8878868765808274</v>
      </c>
      <c r="M966" s="1" t="s">
        <v>54</v>
      </c>
      <c r="N966" s="11">
        <f t="shared" si="15"/>
        <v>10</v>
      </c>
    </row>
    <row r="967" spans="1:14" ht="16" x14ac:dyDescent="0.2">
      <c r="A967" s="3">
        <v>44536.036277591593</v>
      </c>
      <c r="B967" s="1" t="s">
        <v>1362</v>
      </c>
      <c r="C967" t="s">
        <v>240</v>
      </c>
      <c r="D967">
        <v>19</v>
      </c>
      <c r="E967">
        <v>108</v>
      </c>
      <c r="F967">
        <v>54</v>
      </c>
      <c r="G967">
        <v>2052</v>
      </c>
      <c r="H967" s="4">
        <v>1026</v>
      </c>
      <c r="I967" s="4">
        <v>1026</v>
      </c>
      <c r="J967" t="s">
        <v>295</v>
      </c>
      <c r="K967" t="s">
        <v>42</v>
      </c>
      <c r="L967" s="4">
        <v>14.906846445071711</v>
      </c>
      <c r="M967" s="1" t="s">
        <v>54</v>
      </c>
      <c r="N967" s="11">
        <f t="shared" si="15"/>
        <v>10</v>
      </c>
    </row>
    <row r="968" spans="1:14" ht="16" x14ac:dyDescent="0.2">
      <c r="A968" s="3">
        <v>44613.889368791337</v>
      </c>
      <c r="B968" s="1" t="s">
        <v>1363</v>
      </c>
      <c r="C968" t="s">
        <v>276</v>
      </c>
      <c r="D968">
        <v>13</v>
      </c>
      <c r="E968">
        <v>57</v>
      </c>
      <c r="F968">
        <v>19</v>
      </c>
      <c r="G968">
        <v>741</v>
      </c>
      <c r="H968" s="4">
        <v>247</v>
      </c>
      <c r="I968" s="4">
        <v>494</v>
      </c>
      <c r="J968" t="s">
        <v>673</v>
      </c>
      <c r="K968" t="s">
        <v>53</v>
      </c>
      <c r="L968" s="4">
        <v>14.460020532456038</v>
      </c>
      <c r="M968" s="1" t="s">
        <v>54</v>
      </c>
      <c r="N968" s="11">
        <f t="shared" si="15"/>
        <v>10</v>
      </c>
    </row>
    <row r="969" spans="1:14" ht="16" x14ac:dyDescent="0.2">
      <c r="A969" s="3">
        <v>44058.389529413558</v>
      </c>
      <c r="B969" s="1" t="s">
        <v>1364</v>
      </c>
      <c r="C969" t="s">
        <v>431</v>
      </c>
      <c r="D969">
        <v>3</v>
      </c>
      <c r="E969">
        <v>356</v>
      </c>
      <c r="F969">
        <v>89</v>
      </c>
      <c r="G969">
        <v>1068</v>
      </c>
      <c r="H969" s="4">
        <v>267</v>
      </c>
      <c r="I969" s="4">
        <v>801</v>
      </c>
      <c r="J969" t="s">
        <v>219</v>
      </c>
      <c r="K969" t="s">
        <v>49</v>
      </c>
      <c r="L969" s="4">
        <v>13.697485557052493</v>
      </c>
      <c r="M969" s="1" t="s">
        <v>38</v>
      </c>
      <c r="N969" s="11">
        <f t="shared" si="15"/>
        <v>5</v>
      </c>
    </row>
    <row r="970" spans="1:14" ht="16" x14ac:dyDescent="0.2">
      <c r="A970" s="3">
        <v>43651.308287743326</v>
      </c>
      <c r="B970" s="1" t="s">
        <v>977</v>
      </c>
      <c r="C970" t="s">
        <v>261</v>
      </c>
      <c r="D970">
        <v>20</v>
      </c>
      <c r="E970">
        <v>92</v>
      </c>
      <c r="F970">
        <v>46</v>
      </c>
      <c r="G970">
        <v>1840</v>
      </c>
      <c r="H970" s="4">
        <v>920</v>
      </c>
      <c r="I970" s="4">
        <v>920</v>
      </c>
      <c r="J970" t="s">
        <v>707</v>
      </c>
      <c r="K970" t="s">
        <v>49</v>
      </c>
      <c r="L970" s="4">
        <v>11.779256317174871</v>
      </c>
      <c r="M970" s="1" t="s">
        <v>38</v>
      </c>
      <c r="N970" s="11">
        <f t="shared" si="15"/>
        <v>5</v>
      </c>
    </row>
    <row r="971" spans="1:14" ht="16" x14ac:dyDescent="0.2">
      <c r="A971" s="3">
        <v>44020.348092478227</v>
      </c>
      <c r="B971" s="1" t="s">
        <v>1365</v>
      </c>
      <c r="C971" t="s">
        <v>266</v>
      </c>
      <c r="D971">
        <v>1</v>
      </c>
      <c r="E971">
        <v>50</v>
      </c>
      <c r="F971">
        <v>25</v>
      </c>
      <c r="G971">
        <v>50</v>
      </c>
      <c r="H971" s="4">
        <v>25</v>
      </c>
      <c r="I971" s="4">
        <v>25</v>
      </c>
      <c r="J971" t="s">
        <v>660</v>
      </c>
      <c r="K971" t="s">
        <v>86</v>
      </c>
      <c r="L971" s="4">
        <v>10.163794912095831</v>
      </c>
      <c r="M971" s="1" t="s">
        <v>38</v>
      </c>
      <c r="N971" s="11">
        <f t="shared" si="15"/>
        <v>5</v>
      </c>
    </row>
    <row r="972" spans="1:14" ht="16" x14ac:dyDescent="0.2">
      <c r="A972" s="3">
        <v>44608.642340775448</v>
      </c>
      <c r="B972" s="1" t="s">
        <v>1366</v>
      </c>
      <c r="C972" t="s">
        <v>286</v>
      </c>
      <c r="D972">
        <v>14</v>
      </c>
      <c r="E972">
        <v>34</v>
      </c>
      <c r="F972">
        <v>17</v>
      </c>
      <c r="G972">
        <v>476</v>
      </c>
      <c r="H972" s="4">
        <v>238</v>
      </c>
      <c r="I972" s="4">
        <v>238</v>
      </c>
      <c r="J972" t="s">
        <v>277</v>
      </c>
      <c r="K972" t="s">
        <v>58</v>
      </c>
      <c r="L972" s="4">
        <v>11.883396013219548</v>
      </c>
      <c r="M972" s="1" t="s">
        <v>38</v>
      </c>
      <c r="N972" s="11">
        <f t="shared" si="15"/>
        <v>5</v>
      </c>
    </row>
    <row r="973" spans="1:14" ht="16" x14ac:dyDescent="0.2">
      <c r="A973" s="3">
        <v>44253.985764738762</v>
      </c>
      <c r="B973" s="1" t="s">
        <v>1367</v>
      </c>
      <c r="C973" t="s">
        <v>160</v>
      </c>
      <c r="D973">
        <v>10</v>
      </c>
      <c r="E973">
        <v>132</v>
      </c>
      <c r="F973">
        <v>33</v>
      </c>
      <c r="G973">
        <v>1320</v>
      </c>
      <c r="H973" s="4">
        <v>330</v>
      </c>
      <c r="I973" s="4">
        <v>990</v>
      </c>
      <c r="J973" t="s">
        <v>213</v>
      </c>
      <c r="K973" t="s">
        <v>58</v>
      </c>
      <c r="L973" s="4">
        <v>10.980884286450312</v>
      </c>
      <c r="M973" s="1" t="s">
        <v>54</v>
      </c>
      <c r="N973" s="11">
        <f t="shared" si="15"/>
        <v>10</v>
      </c>
    </row>
    <row r="974" spans="1:14" ht="16" x14ac:dyDescent="0.2">
      <c r="A974" s="3">
        <v>44429.351882898125</v>
      </c>
      <c r="B974" s="1" t="s">
        <v>1368</v>
      </c>
      <c r="C974" t="s">
        <v>154</v>
      </c>
      <c r="D974">
        <v>3</v>
      </c>
      <c r="E974">
        <v>308</v>
      </c>
      <c r="F974">
        <v>77</v>
      </c>
      <c r="G974">
        <v>924</v>
      </c>
      <c r="H974" s="4">
        <v>231</v>
      </c>
      <c r="I974" s="4">
        <v>693</v>
      </c>
      <c r="J974" t="s">
        <v>32</v>
      </c>
      <c r="K974" t="s">
        <v>33</v>
      </c>
      <c r="L974" s="4">
        <v>10.278063859084313</v>
      </c>
      <c r="M974" s="1" t="s">
        <v>38</v>
      </c>
      <c r="N974" s="11">
        <f t="shared" si="15"/>
        <v>5</v>
      </c>
    </row>
    <row r="975" spans="1:14" ht="16" x14ac:dyDescent="0.2">
      <c r="A975" s="3">
        <v>43758.679270069057</v>
      </c>
      <c r="B975" s="1" t="s">
        <v>1369</v>
      </c>
      <c r="C975" t="s">
        <v>259</v>
      </c>
      <c r="D975">
        <v>1</v>
      </c>
      <c r="E975">
        <v>270</v>
      </c>
      <c r="F975">
        <v>90</v>
      </c>
      <c r="G975">
        <v>270</v>
      </c>
      <c r="H975" s="4">
        <v>90</v>
      </c>
      <c r="I975" s="4">
        <v>180</v>
      </c>
      <c r="J975" t="s">
        <v>179</v>
      </c>
      <c r="K975" t="s">
        <v>53</v>
      </c>
      <c r="L975" s="4">
        <v>11.36085047138285</v>
      </c>
      <c r="M975" s="1" t="s">
        <v>54</v>
      </c>
      <c r="N975" s="11">
        <f t="shared" si="15"/>
        <v>10</v>
      </c>
    </row>
    <row r="976" spans="1:14" ht="16" x14ac:dyDescent="0.2">
      <c r="A976" s="3">
        <v>44180.694963562913</v>
      </c>
      <c r="B976" s="1" t="s">
        <v>1370</v>
      </c>
      <c r="C976" t="s">
        <v>196</v>
      </c>
      <c r="D976">
        <v>10</v>
      </c>
      <c r="E976">
        <v>192</v>
      </c>
      <c r="F976">
        <v>96</v>
      </c>
      <c r="G976">
        <v>1920</v>
      </c>
      <c r="H976" s="4">
        <v>960</v>
      </c>
      <c r="I976" s="4">
        <v>960</v>
      </c>
      <c r="J976" t="s">
        <v>440</v>
      </c>
      <c r="K976" t="s">
        <v>33</v>
      </c>
      <c r="L976" s="4">
        <v>10.408704992688252</v>
      </c>
      <c r="M976" s="1" t="s">
        <v>54</v>
      </c>
      <c r="N976" s="11">
        <f t="shared" si="15"/>
        <v>10</v>
      </c>
    </row>
    <row r="977" spans="1:14" ht="16" x14ac:dyDescent="0.2">
      <c r="A977" s="3">
        <v>44712.709324359472</v>
      </c>
      <c r="B977" s="1" t="s">
        <v>1371</v>
      </c>
      <c r="C977" t="s">
        <v>185</v>
      </c>
      <c r="D977">
        <v>1</v>
      </c>
      <c r="E977">
        <v>146</v>
      </c>
      <c r="F977">
        <v>73</v>
      </c>
      <c r="G977">
        <v>146</v>
      </c>
      <c r="H977" s="4">
        <v>73</v>
      </c>
      <c r="I977" s="4">
        <v>73</v>
      </c>
      <c r="J977" t="s">
        <v>1129</v>
      </c>
      <c r="K977" t="s">
        <v>33</v>
      </c>
      <c r="L977" s="4">
        <v>10.585251392347548</v>
      </c>
      <c r="M977" s="1" t="s">
        <v>38</v>
      </c>
      <c r="N977" s="11">
        <f t="shared" si="15"/>
        <v>5</v>
      </c>
    </row>
    <row r="978" spans="1:14" ht="16" x14ac:dyDescent="0.2">
      <c r="A978" s="3">
        <v>44030.229682729499</v>
      </c>
      <c r="B978" s="1" t="s">
        <v>1372</v>
      </c>
      <c r="C978" t="s">
        <v>113</v>
      </c>
      <c r="D978">
        <v>18</v>
      </c>
      <c r="E978">
        <v>66</v>
      </c>
      <c r="F978">
        <v>33</v>
      </c>
      <c r="G978">
        <v>1188</v>
      </c>
      <c r="H978" s="4">
        <v>594</v>
      </c>
      <c r="I978" s="4">
        <v>594</v>
      </c>
      <c r="J978" t="s">
        <v>397</v>
      </c>
      <c r="K978" t="s">
        <v>49</v>
      </c>
      <c r="L978" s="4">
        <v>9.4239783062860578</v>
      </c>
      <c r="M978" s="1" t="s">
        <v>34</v>
      </c>
      <c r="N978" s="11">
        <f t="shared" si="15"/>
        <v>1</v>
      </c>
    </row>
    <row r="979" spans="1:14" ht="16" x14ac:dyDescent="0.2">
      <c r="A979" s="3">
        <v>43339.444035319546</v>
      </c>
      <c r="B979" s="1" t="s">
        <v>1373</v>
      </c>
      <c r="C979" t="s">
        <v>148</v>
      </c>
      <c r="D979">
        <v>10</v>
      </c>
      <c r="E979">
        <v>144</v>
      </c>
      <c r="F979">
        <v>36</v>
      </c>
      <c r="G979">
        <v>1440</v>
      </c>
      <c r="H979" s="4">
        <v>360</v>
      </c>
      <c r="I979" s="4">
        <v>1080</v>
      </c>
      <c r="J979" t="s">
        <v>733</v>
      </c>
      <c r="K979" t="s">
        <v>53</v>
      </c>
      <c r="L979" s="4">
        <v>16.148992525516267</v>
      </c>
      <c r="M979" s="1" t="s">
        <v>34</v>
      </c>
      <c r="N979" s="11">
        <f t="shared" si="15"/>
        <v>1</v>
      </c>
    </row>
    <row r="980" spans="1:14" ht="16" x14ac:dyDescent="0.2">
      <c r="A980" s="3">
        <v>44411.74635084578</v>
      </c>
      <c r="B980" s="1" t="s">
        <v>1374</v>
      </c>
      <c r="C980" t="s">
        <v>105</v>
      </c>
      <c r="D980">
        <v>15</v>
      </c>
      <c r="E980">
        <v>201</v>
      </c>
      <c r="F980">
        <v>67</v>
      </c>
      <c r="G980">
        <v>3015</v>
      </c>
      <c r="H980" s="4">
        <v>1005</v>
      </c>
      <c r="I980" s="4">
        <v>2010</v>
      </c>
      <c r="J980" t="s">
        <v>844</v>
      </c>
      <c r="K980" t="s">
        <v>33</v>
      </c>
      <c r="L980" s="4">
        <v>11.816654396440285</v>
      </c>
      <c r="M980" s="1" t="s">
        <v>54</v>
      </c>
      <c r="N980" s="11">
        <f t="shared" si="15"/>
        <v>10</v>
      </c>
    </row>
    <row r="981" spans="1:14" ht="16" x14ac:dyDescent="0.2">
      <c r="A981" s="3">
        <v>43703.775304962372</v>
      </c>
      <c r="B981" s="1" t="s">
        <v>1375</v>
      </c>
      <c r="C981" t="s">
        <v>196</v>
      </c>
      <c r="D981">
        <v>20</v>
      </c>
      <c r="E981">
        <v>192</v>
      </c>
      <c r="F981">
        <v>96</v>
      </c>
      <c r="G981">
        <v>3840</v>
      </c>
      <c r="H981" s="4">
        <v>1920</v>
      </c>
      <c r="I981" s="4">
        <v>1920</v>
      </c>
      <c r="J981" t="s">
        <v>933</v>
      </c>
      <c r="K981" t="s">
        <v>58</v>
      </c>
      <c r="L981" s="4">
        <v>11.130819205617987</v>
      </c>
      <c r="M981" s="1" t="s">
        <v>38</v>
      </c>
      <c r="N981" s="11">
        <f t="shared" si="15"/>
        <v>5</v>
      </c>
    </row>
    <row r="982" spans="1:14" ht="16" x14ac:dyDescent="0.2">
      <c r="A982" s="3">
        <v>44373.768642001131</v>
      </c>
      <c r="B982" s="1" t="s">
        <v>1098</v>
      </c>
      <c r="C982" t="s">
        <v>288</v>
      </c>
      <c r="D982">
        <v>7</v>
      </c>
      <c r="E982">
        <v>48</v>
      </c>
      <c r="F982">
        <v>24</v>
      </c>
      <c r="G982">
        <v>336</v>
      </c>
      <c r="H982" s="4">
        <v>168</v>
      </c>
      <c r="I982" s="4">
        <v>168</v>
      </c>
      <c r="J982" t="s">
        <v>691</v>
      </c>
      <c r="K982" t="s">
        <v>33</v>
      </c>
      <c r="L982" s="4">
        <v>10.248947386022252</v>
      </c>
      <c r="M982" s="1" t="s">
        <v>38</v>
      </c>
      <c r="N982" s="11">
        <f t="shared" si="15"/>
        <v>5</v>
      </c>
    </row>
    <row r="983" spans="1:14" ht="16" x14ac:dyDescent="0.2">
      <c r="A983" s="3">
        <v>43895.495620312497</v>
      </c>
      <c r="B983" s="1" t="s">
        <v>1376</v>
      </c>
      <c r="C983" t="s">
        <v>248</v>
      </c>
      <c r="D983">
        <v>17</v>
      </c>
      <c r="E983">
        <v>132</v>
      </c>
      <c r="F983">
        <v>44</v>
      </c>
      <c r="G983">
        <v>2244</v>
      </c>
      <c r="H983" s="4">
        <v>748</v>
      </c>
      <c r="I983" s="4">
        <v>1496</v>
      </c>
      <c r="J983" t="s">
        <v>587</v>
      </c>
      <c r="K983" t="s">
        <v>49</v>
      </c>
      <c r="L983" s="4">
        <v>14.760829371220243</v>
      </c>
      <c r="M983" s="1" t="s">
        <v>54</v>
      </c>
      <c r="N983" s="11">
        <f t="shared" si="15"/>
        <v>10</v>
      </c>
    </row>
    <row r="984" spans="1:14" ht="16" x14ac:dyDescent="0.2">
      <c r="A984" s="3">
        <v>43648.675616464505</v>
      </c>
      <c r="B984" s="1" t="s">
        <v>1377</v>
      </c>
      <c r="C984" t="s">
        <v>257</v>
      </c>
      <c r="D984">
        <v>17</v>
      </c>
      <c r="E984">
        <v>160</v>
      </c>
      <c r="F984">
        <v>80</v>
      </c>
      <c r="G984">
        <v>2720</v>
      </c>
      <c r="H984" s="4">
        <v>1360</v>
      </c>
      <c r="I984" s="4">
        <v>1360</v>
      </c>
      <c r="J984" t="s">
        <v>397</v>
      </c>
      <c r="K984" t="s">
        <v>49</v>
      </c>
      <c r="L984" s="4">
        <v>9.4239783062860578</v>
      </c>
      <c r="M984" s="1" t="s">
        <v>34</v>
      </c>
      <c r="N984" s="11">
        <f t="shared" si="15"/>
        <v>1</v>
      </c>
    </row>
    <row r="985" spans="1:14" ht="16" x14ac:dyDescent="0.2">
      <c r="A985" s="3">
        <v>43583.261661780991</v>
      </c>
      <c r="B985" s="1" t="s">
        <v>1378</v>
      </c>
      <c r="C985" t="s">
        <v>201</v>
      </c>
      <c r="D985">
        <v>17</v>
      </c>
      <c r="E985">
        <v>30</v>
      </c>
      <c r="F985">
        <v>15</v>
      </c>
      <c r="G985">
        <v>510</v>
      </c>
      <c r="H985" s="4">
        <v>255</v>
      </c>
      <c r="I985" s="4">
        <v>255</v>
      </c>
      <c r="J985" t="s">
        <v>1379</v>
      </c>
      <c r="K985" t="s">
        <v>86</v>
      </c>
      <c r="L985" s="4">
        <v>14.157909724393564</v>
      </c>
      <c r="M985" s="1" t="s">
        <v>54</v>
      </c>
      <c r="N985" s="11">
        <f t="shared" si="15"/>
        <v>10</v>
      </c>
    </row>
    <row r="986" spans="1:14" ht="16" x14ac:dyDescent="0.2">
      <c r="A986" s="3">
        <v>43570.641473678923</v>
      </c>
      <c r="B986" s="1" t="s">
        <v>1380</v>
      </c>
      <c r="C986" t="s">
        <v>78</v>
      </c>
      <c r="D986">
        <v>8</v>
      </c>
      <c r="E986">
        <v>94</v>
      </c>
      <c r="F986">
        <v>47</v>
      </c>
      <c r="G986">
        <v>752</v>
      </c>
      <c r="H986" s="4">
        <v>376</v>
      </c>
      <c r="I986" s="4">
        <v>376</v>
      </c>
      <c r="J986" t="s">
        <v>279</v>
      </c>
      <c r="K986" t="s">
        <v>64</v>
      </c>
      <c r="L986" s="4">
        <v>11.504886852416154</v>
      </c>
      <c r="M986" s="1" t="s">
        <v>38</v>
      </c>
      <c r="N986" s="11">
        <f t="shared" si="15"/>
        <v>5</v>
      </c>
    </row>
    <row r="987" spans="1:14" ht="16" x14ac:dyDescent="0.2">
      <c r="A987" s="3">
        <v>43940.923824257392</v>
      </c>
      <c r="B987" s="1" t="s">
        <v>1381</v>
      </c>
      <c r="C987" t="s">
        <v>31</v>
      </c>
      <c r="D987">
        <v>1</v>
      </c>
      <c r="E987">
        <v>280</v>
      </c>
      <c r="F987">
        <v>70</v>
      </c>
      <c r="G987">
        <v>280</v>
      </c>
      <c r="H987" s="4">
        <v>70</v>
      </c>
      <c r="I987" s="4">
        <v>210</v>
      </c>
      <c r="J987" t="s">
        <v>429</v>
      </c>
      <c r="K987" t="s">
        <v>33</v>
      </c>
      <c r="L987" s="4">
        <v>11.701919153133453</v>
      </c>
      <c r="M987" s="1" t="s">
        <v>34</v>
      </c>
      <c r="N987" s="11">
        <f t="shared" si="15"/>
        <v>1</v>
      </c>
    </row>
    <row r="988" spans="1:14" ht="16" x14ac:dyDescent="0.2">
      <c r="A988" s="3">
        <v>43806.840602403245</v>
      </c>
      <c r="B988" s="1" t="s">
        <v>1382</v>
      </c>
      <c r="C988" t="s">
        <v>248</v>
      </c>
      <c r="D988">
        <v>18</v>
      </c>
      <c r="E988">
        <v>132</v>
      </c>
      <c r="F988">
        <v>44</v>
      </c>
      <c r="G988">
        <v>2376</v>
      </c>
      <c r="H988" s="4">
        <v>792</v>
      </c>
      <c r="I988" s="4">
        <v>1584</v>
      </c>
      <c r="J988" t="s">
        <v>423</v>
      </c>
      <c r="K988" t="s">
        <v>86</v>
      </c>
      <c r="L988" s="4">
        <v>10.813269600021069</v>
      </c>
      <c r="M988" s="1" t="s">
        <v>38</v>
      </c>
      <c r="N988" s="11">
        <f t="shared" si="15"/>
        <v>5</v>
      </c>
    </row>
    <row r="989" spans="1:14" ht="16" x14ac:dyDescent="0.2">
      <c r="A989" s="3">
        <v>43545.786429744338</v>
      </c>
      <c r="B989" s="1" t="s">
        <v>1383</v>
      </c>
      <c r="C989" t="s">
        <v>212</v>
      </c>
      <c r="D989">
        <v>2</v>
      </c>
      <c r="E989">
        <v>300</v>
      </c>
      <c r="F989">
        <v>75</v>
      </c>
      <c r="G989">
        <v>600</v>
      </c>
      <c r="H989" s="4">
        <v>150</v>
      </c>
      <c r="I989" s="4">
        <v>450</v>
      </c>
      <c r="J989" t="s">
        <v>321</v>
      </c>
      <c r="K989" t="s">
        <v>42</v>
      </c>
      <c r="L989" s="4">
        <v>7.7337149713827413</v>
      </c>
      <c r="M989" s="1" t="s">
        <v>38</v>
      </c>
      <c r="N989" s="11">
        <f t="shared" si="15"/>
        <v>5</v>
      </c>
    </row>
    <row r="990" spans="1:14" ht="16" x14ac:dyDescent="0.2">
      <c r="A990" s="3">
        <v>44810.329187791169</v>
      </c>
      <c r="B990" s="1" t="s">
        <v>1384</v>
      </c>
      <c r="C990" t="s">
        <v>425</v>
      </c>
      <c r="D990">
        <v>4</v>
      </c>
      <c r="E990">
        <v>352</v>
      </c>
      <c r="F990">
        <v>88</v>
      </c>
      <c r="G990">
        <v>1408</v>
      </c>
      <c r="H990" s="4">
        <v>352</v>
      </c>
      <c r="I990" s="4">
        <v>1056</v>
      </c>
      <c r="J990" t="s">
        <v>1022</v>
      </c>
      <c r="K990" t="s">
        <v>49</v>
      </c>
      <c r="L990" s="4">
        <v>15.268550004010105</v>
      </c>
      <c r="M990" s="1" t="s">
        <v>38</v>
      </c>
      <c r="N990" s="11">
        <f t="shared" si="15"/>
        <v>5</v>
      </c>
    </row>
    <row r="991" spans="1:14" ht="16" x14ac:dyDescent="0.2">
      <c r="A991" s="3">
        <v>43660.455003365962</v>
      </c>
      <c r="B991" s="1" t="s">
        <v>1385</v>
      </c>
      <c r="C991" t="s">
        <v>283</v>
      </c>
      <c r="D991">
        <v>16</v>
      </c>
      <c r="E991">
        <v>144</v>
      </c>
      <c r="F991">
        <v>36</v>
      </c>
      <c r="G991">
        <v>2304</v>
      </c>
      <c r="H991" s="4">
        <v>576</v>
      </c>
      <c r="I991" s="4">
        <v>1728</v>
      </c>
      <c r="J991" t="s">
        <v>230</v>
      </c>
      <c r="K991" t="s">
        <v>42</v>
      </c>
      <c r="L991" s="4">
        <v>12.172922939334034</v>
      </c>
      <c r="M991" s="1" t="s">
        <v>54</v>
      </c>
      <c r="N991" s="11">
        <f t="shared" si="15"/>
        <v>10</v>
      </c>
    </row>
    <row r="992" spans="1:14" ht="16" x14ac:dyDescent="0.2">
      <c r="A992" s="3">
        <v>43638.82325965217</v>
      </c>
      <c r="B992" s="1" t="s">
        <v>1386</v>
      </c>
      <c r="C992" t="s">
        <v>62</v>
      </c>
      <c r="D992">
        <v>12</v>
      </c>
      <c r="E992">
        <v>80</v>
      </c>
      <c r="F992">
        <v>20</v>
      </c>
      <c r="G992">
        <v>960</v>
      </c>
      <c r="H992" s="4">
        <v>240</v>
      </c>
      <c r="I992" s="4">
        <v>720</v>
      </c>
      <c r="J992" t="s">
        <v>786</v>
      </c>
      <c r="K992" t="s">
        <v>86</v>
      </c>
      <c r="L992" s="4">
        <v>13.095446915421235</v>
      </c>
      <c r="M992" s="1" t="s">
        <v>54</v>
      </c>
      <c r="N992" s="11">
        <f t="shared" si="15"/>
        <v>10</v>
      </c>
    </row>
    <row r="993" spans="1:14" ht="16" x14ac:dyDescent="0.2">
      <c r="A993" s="3">
        <v>44087.172151295723</v>
      </c>
      <c r="B993" s="1" t="s">
        <v>1387</v>
      </c>
      <c r="C993" t="s">
        <v>312</v>
      </c>
      <c r="D993">
        <v>13</v>
      </c>
      <c r="E993">
        <v>240</v>
      </c>
      <c r="F993">
        <v>80</v>
      </c>
      <c r="G993">
        <v>3120</v>
      </c>
      <c r="H993" s="4">
        <v>1040</v>
      </c>
      <c r="I993" s="4">
        <v>2080</v>
      </c>
      <c r="J993" t="s">
        <v>32</v>
      </c>
      <c r="K993" t="s">
        <v>33</v>
      </c>
      <c r="L993" s="4">
        <v>10.278063859084313</v>
      </c>
      <c r="M993" s="1" t="s">
        <v>38</v>
      </c>
      <c r="N993" s="11">
        <f t="shared" si="15"/>
        <v>5</v>
      </c>
    </row>
    <row r="994" spans="1:14" ht="16" x14ac:dyDescent="0.2">
      <c r="A994" s="3">
        <v>44222.096133821055</v>
      </c>
      <c r="B994" s="1" t="s">
        <v>1388</v>
      </c>
      <c r="C994" t="s">
        <v>40</v>
      </c>
      <c r="D994">
        <v>1</v>
      </c>
      <c r="E994">
        <v>46</v>
      </c>
      <c r="F994">
        <v>23</v>
      </c>
      <c r="G994">
        <v>46</v>
      </c>
      <c r="H994" s="4">
        <v>23</v>
      </c>
      <c r="I994" s="4">
        <v>23</v>
      </c>
      <c r="J994" t="s">
        <v>191</v>
      </c>
      <c r="K994" t="s">
        <v>42</v>
      </c>
      <c r="L994" s="4">
        <v>10.523527521613014</v>
      </c>
      <c r="M994" s="1" t="s">
        <v>34</v>
      </c>
      <c r="N994" s="11">
        <f t="shared" si="15"/>
        <v>1</v>
      </c>
    </row>
    <row r="995" spans="1:14" ht="16" x14ac:dyDescent="0.2">
      <c r="A995" s="3">
        <v>44044.452815994482</v>
      </c>
      <c r="B995" s="1" t="s">
        <v>1389</v>
      </c>
      <c r="C995" t="s">
        <v>98</v>
      </c>
      <c r="D995">
        <v>10</v>
      </c>
      <c r="E995">
        <v>156</v>
      </c>
      <c r="F995">
        <v>78</v>
      </c>
      <c r="G995">
        <v>1560</v>
      </c>
      <c r="H995" s="4">
        <v>780</v>
      </c>
      <c r="I995" s="4">
        <v>780</v>
      </c>
      <c r="J995" t="s">
        <v>164</v>
      </c>
      <c r="K995" t="s">
        <v>86</v>
      </c>
      <c r="L995" s="4">
        <v>12.452986387489583</v>
      </c>
      <c r="M995" s="1" t="s">
        <v>38</v>
      </c>
      <c r="N995" s="11">
        <f t="shared" si="15"/>
        <v>5</v>
      </c>
    </row>
    <row r="996" spans="1:14" ht="16" x14ac:dyDescent="0.2">
      <c r="A996" s="3">
        <v>43738.527184886065</v>
      </c>
      <c r="B996" s="1" t="s">
        <v>1390</v>
      </c>
      <c r="C996" t="s">
        <v>547</v>
      </c>
      <c r="D996">
        <v>12</v>
      </c>
      <c r="E996">
        <v>300</v>
      </c>
      <c r="F996">
        <v>75</v>
      </c>
      <c r="G996">
        <v>3600</v>
      </c>
      <c r="H996" s="4">
        <v>900</v>
      </c>
      <c r="I996" s="4">
        <v>2700</v>
      </c>
      <c r="J996" t="s">
        <v>155</v>
      </c>
      <c r="K996" t="s">
        <v>42</v>
      </c>
      <c r="L996" s="4">
        <v>13.378080355059918</v>
      </c>
      <c r="M996" s="1" t="s">
        <v>34</v>
      </c>
      <c r="N996" s="11">
        <f t="shared" si="15"/>
        <v>1</v>
      </c>
    </row>
    <row r="997" spans="1:14" ht="16" x14ac:dyDescent="0.2">
      <c r="A997" s="3">
        <v>43713.231682380698</v>
      </c>
      <c r="B997" s="1" t="s">
        <v>565</v>
      </c>
      <c r="C997" t="s">
        <v>261</v>
      </c>
      <c r="D997">
        <v>3</v>
      </c>
      <c r="E997">
        <v>92</v>
      </c>
      <c r="F997">
        <v>46</v>
      </c>
      <c r="G997">
        <v>276</v>
      </c>
      <c r="H997" s="4">
        <v>138</v>
      </c>
      <c r="I997" s="4">
        <v>138</v>
      </c>
      <c r="J997" t="s">
        <v>281</v>
      </c>
      <c r="K997" t="s">
        <v>33</v>
      </c>
      <c r="L997" s="4">
        <v>11.428575823958646</v>
      </c>
      <c r="M997" s="1" t="s">
        <v>38</v>
      </c>
      <c r="N997" s="11">
        <f t="shared" si="15"/>
        <v>5</v>
      </c>
    </row>
    <row r="998" spans="1:14" ht="16" x14ac:dyDescent="0.2">
      <c r="A998" s="3">
        <v>42258.410974872153</v>
      </c>
      <c r="B998" s="1" t="s">
        <v>1391</v>
      </c>
      <c r="C998" t="s">
        <v>257</v>
      </c>
      <c r="D998">
        <v>1</v>
      </c>
      <c r="E998">
        <v>160</v>
      </c>
      <c r="F998">
        <v>80</v>
      </c>
      <c r="G998">
        <v>160</v>
      </c>
      <c r="H998" s="4">
        <v>80</v>
      </c>
      <c r="I998" s="4">
        <v>80</v>
      </c>
      <c r="J998" t="s">
        <v>378</v>
      </c>
      <c r="K998" t="s">
        <v>53</v>
      </c>
      <c r="L998" s="4">
        <v>14.423322704129969</v>
      </c>
      <c r="M998" s="1" t="s">
        <v>38</v>
      </c>
      <c r="N998" s="11">
        <f t="shared" si="15"/>
        <v>5</v>
      </c>
    </row>
    <row r="999" spans="1:14" ht="16" x14ac:dyDescent="0.2">
      <c r="A999" s="3">
        <v>44505.626091124257</v>
      </c>
      <c r="B999" s="1" t="s">
        <v>1392</v>
      </c>
      <c r="C999" t="s">
        <v>105</v>
      </c>
      <c r="D999">
        <v>11</v>
      </c>
      <c r="E999">
        <v>201</v>
      </c>
      <c r="F999">
        <v>67</v>
      </c>
      <c r="G999">
        <v>2211</v>
      </c>
      <c r="H999" s="4">
        <v>737</v>
      </c>
      <c r="I999" s="4">
        <v>1474</v>
      </c>
      <c r="J999" t="s">
        <v>371</v>
      </c>
      <c r="K999" t="s">
        <v>58</v>
      </c>
      <c r="L999" s="4">
        <v>12.004541523616258</v>
      </c>
      <c r="M999" s="1" t="s">
        <v>54</v>
      </c>
      <c r="N999" s="11">
        <f t="shared" si="15"/>
        <v>10</v>
      </c>
    </row>
    <row r="1000" spans="1:14" ht="16" x14ac:dyDescent="0.2">
      <c r="A1000" s="3">
        <v>44318.910748347029</v>
      </c>
      <c r="B1000" s="1" t="s">
        <v>1393</v>
      </c>
      <c r="C1000" t="s">
        <v>196</v>
      </c>
      <c r="D1000">
        <v>12</v>
      </c>
      <c r="E1000">
        <v>192</v>
      </c>
      <c r="F1000">
        <v>96</v>
      </c>
      <c r="G1000">
        <v>2304</v>
      </c>
      <c r="H1000" s="4">
        <v>1152</v>
      </c>
      <c r="I1000" s="4">
        <v>1152</v>
      </c>
      <c r="J1000" t="s">
        <v>176</v>
      </c>
      <c r="K1000" t="s">
        <v>64</v>
      </c>
      <c r="L1000" s="4">
        <v>12.1334991293512</v>
      </c>
      <c r="M1000" s="1" t="s">
        <v>38</v>
      </c>
      <c r="N1000" s="11">
        <f t="shared" si="15"/>
        <v>5</v>
      </c>
    </row>
    <row r="1001" spans="1:14" ht="16" x14ac:dyDescent="0.2">
      <c r="A1001" s="3">
        <v>43228.370616108099</v>
      </c>
      <c r="B1001" s="1" t="s">
        <v>1394</v>
      </c>
      <c r="C1001" t="s">
        <v>115</v>
      </c>
      <c r="D1001">
        <v>2</v>
      </c>
      <c r="E1001">
        <v>81</v>
      </c>
      <c r="F1001">
        <v>27</v>
      </c>
      <c r="G1001">
        <v>162</v>
      </c>
      <c r="H1001" s="4">
        <v>54</v>
      </c>
      <c r="I1001" s="4">
        <v>108</v>
      </c>
      <c r="J1001" t="s">
        <v>186</v>
      </c>
      <c r="K1001" t="s">
        <v>58</v>
      </c>
      <c r="L1001" s="4">
        <v>11.31221475547909</v>
      </c>
      <c r="M1001" s="1" t="s">
        <v>38</v>
      </c>
      <c r="N1001" s="11">
        <f t="shared" si="15"/>
        <v>5</v>
      </c>
    </row>
    <row r="1002" spans="1:14" ht="16" x14ac:dyDescent="0.2">
      <c r="A1002" s="3">
        <v>44624.786166160062</v>
      </c>
      <c r="B1002" s="1" t="s">
        <v>1395</v>
      </c>
      <c r="C1002" t="s">
        <v>243</v>
      </c>
      <c r="D1002">
        <v>9</v>
      </c>
      <c r="E1002">
        <v>90</v>
      </c>
      <c r="F1002">
        <v>45</v>
      </c>
      <c r="G1002">
        <v>810</v>
      </c>
      <c r="H1002" s="4">
        <v>405</v>
      </c>
      <c r="I1002" s="4">
        <v>405</v>
      </c>
      <c r="J1002" t="s">
        <v>752</v>
      </c>
      <c r="K1002" t="s">
        <v>49</v>
      </c>
      <c r="L1002" s="4">
        <v>11.862005526237752</v>
      </c>
      <c r="M1002" s="1" t="s">
        <v>38</v>
      </c>
      <c r="N1002" s="11">
        <f t="shared" si="15"/>
        <v>5</v>
      </c>
    </row>
    <row r="1003" spans="1:14" ht="16" x14ac:dyDescent="0.2">
      <c r="A1003" s="3">
        <v>43922.643500623708</v>
      </c>
      <c r="B1003" s="1" t="s">
        <v>1396</v>
      </c>
      <c r="C1003" t="s">
        <v>779</v>
      </c>
      <c r="D1003">
        <v>13</v>
      </c>
      <c r="E1003">
        <v>120</v>
      </c>
      <c r="F1003">
        <v>30</v>
      </c>
      <c r="G1003">
        <v>1560</v>
      </c>
      <c r="H1003" s="4">
        <v>390</v>
      </c>
      <c r="I1003" s="4">
        <v>1170</v>
      </c>
      <c r="J1003" t="s">
        <v>387</v>
      </c>
      <c r="K1003" t="s">
        <v>86</v>
      </c>
      <c r="L1003" s="4">
        <v>15.60430546146185</v>
      </c>
      <c r="M1003" s="1" t="s">
        <v>38</v>
      </c>
      <c r="N1003" s="11">
        <f t="shared" si="15"/>
        <v>5</v>
      </c>
    </row>
    <row r="1004" spans="1:14" ht="16" x14ac:dyDescent="0.2">
      <c r="A1004" s="3">
        <v>44161.363132563762</v>
      </c>
      <c r="B1004" s="1" t="s">
        <v>1397</v>
      </c>
      <c r="C1004" t="s">
        <v>125</v>
      </c>
      <c r="D1004">
        <v>20</v>
      </c>
      <c r="E1004">
        <v>176</v>
      </c>
      <c r="F1004">
        <v>88</v>
      </c>
      <c r="G1004">
        <v>3520</v>
      </c>
      <c r="H1004" s="4">
        <v>1760</v>
      </c>
      <c r="I1004" s="4">
        <v>1760</v>
      </c>
      <c r="J1004" t="s">
        <v>41</v>
      </c>
      <c r="K1004" t="s">
        <v>42</v>
      </c>
      <c r="L1004" s="4">
        <v>9.3226775515721787</v>
      </c>
      <c r="M1004" s="1" t="s">
        <v>54</v>
      </c>
      <c r="N1004" s="11">
        <f t="shared" si="15"/>
        <v>10</v>
      </c>
    </row>
    <row r="1005" spans="1:14" ht="16" x14ac:dyDescent="0.2">
      <c r="A1005" s="3">
        <v>43737.189904547791</v>
      </c>
      <c r="B1005" s="1" t="s">
        <v>1398</v>
      </c>
      <c r="C1005" t="s">
        <v>209</v>
      </c>
      <c r="D1005">
        <v>10</v>
      </c>
      <c r="E1005">
        <v>150</v>
      </c>
      <c r="F1005">
        <v>75</v>
      </c>
      <c r="G1005">
        <v>1500</v>
      </c>
      <c r="H1005" s="4">
        <v>750</v>
      </c>
      <c r="I1005" s="4">
        <v>750</v>
      </c>
      <c r="J1005" t="s">
        <v>552</v>
      </c>
      <c r="K1005" t="s">
        <v>53</v>
      </c>
      <c r="L1005" s="4">
        <v>9.74650548941427</v>
      </c>
      <c r="M1005" s="1" t="s">
        <v>54</v>
      </c>
      <c r="N1005" s="11">
        <f t="shared" si="15"/>
        <v>10</v>
      </c>
    </row>
    <row r="1006" spans="1:14" ht="16" x14ac:dyDescent="0.2">
      <c r="A1006" s="3">
        <v>44631.856916353092</v>
      </c>
      <c r="B1006" s="1" t="s">
        <v>1399</v>
      </c>
      <c r="C1006" t="s">
        <v>431</v>
      </c>
      <c r="D1006">
        <v>2</v>
      </c>
      <c r="E1006">
        <v>356</v>
      </c>
      <c r="F1006">
        <v>89</v>
      </c>
      <c r="G1006">
        <v>712</v>
      </c>
      <c r="H1006" s="4">
        <v>178</v>
      </c>
      <c r="I1006" s="4">
        <v>534</v>
      </c>
      <c r="J1006" t="s">
        <v>408</v>
      </c>
      <c r="K1006" t="s">
        <v>42</v>
      </c>
      <c r="L1006" s="4">
        <v>9.1877733607656964</v>
      </c>
      <c r="M1006" s="1" t="s">
        <v>38</v>
      </c>
      <c r="N1006" s="11">
        <f t="shared" si="15"/>
        <v>5</v>
      </c>
    </row>
    <row r="1007" spans="1:14" ht="16" x14ac:dyDescent="0.2">
      <c r="A1007" s="3">
        <v>44231.616169909961</v>
      </c>
      <c r="B1007" s="1" t="s">
        <v>1400</v>
      </c>
      <c r="C1007" t="s">
        <v>212</v>
      </c>
      <c r="D1007">
        <v>2</v>
      </c>
      <c r="E1007">
        <v>300</v>
      </c>
      <c r="F1007">
        <v>75</v>
      </c>
      <c r="G1007">
        <v>600</v>
      </c>
      <c r="H1007" s="4">
        <v>150</v>
      </c>
      <c r="I1007" s="4">
        <v>450</v>
      </c>
      <c r="J1007" t="s">
        <v>1401</v>
      </c>
      <c r="K1007" t="s">
        <v>58</v>
      </c>
      <c r="L1007" s="4">
        <v>11.0700865530371</v>
      </c>
      <c r="M1007" s="1" t="s">
        <v>54</v>
      </c>
      <c r="N1007" s="11">
        <f t="shared" si="15"/>
        <v>10</v>
      </c>
    </row>
    <row r="1008" spans="1:14" ht="16" x14ac:dyDescent="0.2">
      <c r="A1008" s="3">
        <v>44039.871050736896</v>
      </c>
      <c r="B1008" s="1" t="s">
        <v>1402</v>
      </c>
      <c r="C1008" t="s">
        <v>320</v>
      </c>
      <c r="D1008">
        <v>12</v>
      </c>
      <c r="E1008">
        <v>280</v>
      </c>
      <c r="F1008">
        <v>70</v>
      </c>
      <c r="G1008">
        <v>3360</v>
      </c>
      <c r="H1008" s="4">
        <v>840</v>
      </c>
      <c r="I1008" s="4">
        <v>2520</v>
      </c>
      <c r="J1008" t="s">
        <v>270</v>
      </c>
      <c r="K1008" t="s">
        <v>42</v>
      </c>
      <c r="L1008" s="4">
        <v>12.661538237835474</v>
      </c>
      <c r="M1008" s="1" t="s">
        <v>34</v>
      </c>
      <c r="N1008" s="11">
        <f t="shared" si="15"/>
        <v>1</v>
      </c>
    </row>
    <row r="1009" spans="1:14" ht="16" x14ac:dyDescent="0.2">
      <c r="A1009" s="3">
        <v>43712.331824606801</v>
      </c>
      <c r="B1009" s="1" t="s">
        <v>1403</v>
      </c>
      <c r="C1009" t="s">
        <v>69</v>
      </c>
      <c r="D1009">
        <v>9</v>
      </c>
      <c r="E1009">
        <v>184</v>
      </c>
      <c r="F1009">
        <v>92</v>
      </c>
      <c r="G1009">
        <v>1656</v>
      </c>
      <c r="H1009" s="4">
        <v>828</v>
      </c>
      <c r="I1009" s="4">
        <v>828</v>
      </c>
      <c r="J1009" t="s">
        <v>189</v>
      </c>
      <c r="K1009" t="s">
        <v>58</v>
      </c>
      <c r="L1009" s="4">
        <v>12.551203838971933</v>
      </c>
      <c r="M1009" s="1" t="s">
        <v>38</v>
      </c>
      <c r="N1009" s="11">
        <f t="shared" si="15"/>
        <v>5</v>
      </c>
    </row>
    <row r="1010" spans="1:14" ht="16" x14ac:dyDescent="0.2">
      <c r="A1010" s="3">
        <v>43874.640127757935</v>
      </c>
      <c r="B1010" s="1" t="s">
        <v>1404</v>
      </c>
      <c r="C1010" t="s">
        <v>391</v>
      </c>
      <c r="D1010">
        <v>2</v>
      </c>
      <c r="E1010">
        <v>72</v>
      </c>
      <c r="F1010">
        <v>36</v>
      </c>
      <c r="G1010">
        <v>144</v>
      </c>
      <c r="H1010" s="4">
        <v>72</v>
      </c>
      <c r="I1010" s="4">
        <v>72</v>
      </c>
      <c r="J1010" t="s">
        <v>111</v>
      </c>
      <c r="K1010" t="s">
        <v>53</v>
      </c>
      <c r="L1010" s="4">
        <v>13.407340878370247</v>
      </c>
      <c r="M1010" s="1" t="s">
        <v>38</v>
      </c>
      <c r="N1010" s="11">
        <f t="shared" si="15"/>
        <v>5</v>
      </c>
    </row>
    <row r="1011" spans="1:14" ht="16" x14ac:dyDescent="0.2">
      <c r="A1011" s="3">
        <v>44054.038853900915</v>
      </c>
      <c r="B1011" s="1" t="s">
        <v>1405</v>
      </c>
      <c r="C1011" t="s">
        <v>583</v>
      </c>
      <c r="D1011">
        <v>11</v>
      </c>
      <c r="E1011">
        <v>57</v>
      </c>
      <c r="F1011">
        <v>19</v>
      </c>
      <c r="G1011">
        <v>627</v>
      </c>
      <c r="H1011" s="4">
        <v>209</v>
      </c>
      <c r="I1011" s="4">
        <v>418</v>
      </c>
      <c r="J1011" t="s">
        <v>253</v>
      </c>
      <c r="K1011" t="s">
        <v>53</v>
      </c>
      <c r="L1011" s="4">
        <v>13.918153610259502</v>
      </c>
      <c r="M1011" s="1" t="s">
        <v>38</v>
      </c>
      <c r="N1011" s="11">
        <f t="shared" si="15"/>
        <v>5</v>
      </c>
    </row>
    <row r="1012" spans="1:14" ht="16" x14ac:dyDescent="0.2">
      <c r="A1012" s="3">
        <v>43977.423036480388</v>
      </c>
      <c r="B1012" s="1" t="s">
        <v>1406</v>
      </c>
      <c r="C1012" t="s">
        <v>157</v>
      </c>
      <c r="D1012">
        <v>15</v>
      </c>
      <c r="E1012">
        <v>50</v>
      </c>
      <c r="F1012">
        <v>25</v>
      </c>
      <c r="G1012">
        <v>750</v>
      </c>
      <c r="H1012" s="4">
        <v>375</v>
      </c>
      <c r="I1012" s="4">
        <v>375</v>
      </c>
      <c r="J1012" t="s">
        <v>134</v>
      </c>
      <c r="K1012" t="s">
        <v>33</v>
      </c>
      <c r="L1012" s="4">
        <v>9.4200113153305907</v>
      </c>
      <c r="M1012" s="1" t="s">
        <v>38</v>
      </c>
      <c r="N1012" s="11">
        <f t="shared" si="15"/>
        <v>5</v>
      </c>
    </row>
    <row r="1013" spans="1:14" ht="16" x14ac:dyDescent="0.2">
      <c r="A1013" s="3">
        <v>43426.695759351758</v>
      </c>
      <c r="B1013" s="1" t="s">
        <v>1407</v>
      </c>
      <c r="C1013" t="s">
        <v>320</v>
      </c>
      <c r="D1013">
        <v>8</v>
      </c>
      <c r="E1013">
        <v>280</v>
      </c>
      <c r="F1013">
        <v>70</v>
      </c>
      <c r="G1013">
        <v>2240</v>
      </c>
      <c r="H1013" s="4">
        <v>560</v>
      </c>
      <c r="I1013" s="4">
        <v>1680</v>
      </c>
      <c r="J1013" t="s">
        <v>1022</v>
      </c>
      <c r="K1013" t="s">
        <v>49</v>
      </c>
      <c r="L1013" s="4">
        <v>15.268550004010105</v>
      </c>
      <c r="M1013" s="1" t="s">
        <v>38</v>
      </c>
      <c r="N1013" s="11">
        <f t="shared" si="15"/>
        <v>5</v>
      </c>
    </row>
    <row r="1014" spans="1:14" ht="16" x14ac:dyDescent="0.2">
      <c r="A1014" s="3">
        <v>43625.3801000893</v>
      </c>
      <c r="B1014" s="1" t="s">
        <v>1408</v>
      </c>
      <c r="C1014" t="s">
        <v>218</v>
      </c>
      <c r="D1014">
        <v>4</v>
      </c>
      <c r="E1014">
        <v>264</v>
      </c>
      <c r="F1014">
        <v>88</v>
      </c>
      <c r="G1014">
        <v>1056</v>
      </c>
      <c r="H1014" s="4">
        <v>352</v>
      </c>
      <c r="I1014" s="4">
        <v>704</v>
      </c>
      <c r="J1014" t="s">
        <v>194</v>
      </c>
      <c r="K1014" t="s">
        <v>42</v>
      </c>
      <c r="L1014" s="4">
        <v>14.573178107544177</v>
      </c>
      <c r="M1014" s="1" t="s">
        <v>34</v>
      </c>
      <c r="N1014" s="11">
        <f t="shared" si="15"/>
        <v>1</v>
      </c>
    </row>
    <row r="1015" spans="1:14" ht="16" x14ac:dyDescent="0.2">
      <c r="A1015" s="3">
        <v>43533.518939557456</v>
      </c>
      <c r="B1015" s="1" t="s">
        <v>1409</v>
      </c>
      <c r="C1015" t="s">
        <v>288</v>
      </c>
      <c r="D1015">
        <v>9</v>
      </c>
      <c r="E1015">
        <v>48</v>
      </c>
      <c r="F1015">
        <v>24</v>
      </c>
      <c r="G1015">
        <v>432</v>
      </c>
      <c r="H1015" s="4">
        <v>216</v>
      </c>
      <c r="I1015" s="4">
        <v>216</v>
      </c>
      <c r="J1015" t="s">
        <v>1107</v>
      </c>
      <c r="K1015" t="s">
        <v>53</v>
      </c>
      <c r="L1015" s="4">
        <v>10.28240320324797</v>
      </c>
      <c r="M1015" s="1" t="s">
        <v>54</v>
      </c>
      <c r="N1015" s="11">
        <f t="shared" si="15"/>
        <v>10</v>
      </c>
    </row>
    <row r="1016" spans="1:14" ht="16" x14ac:dyDescent="0.2">
      <c r="A1016" s="3">
        <v>44536.321733182791</v>
      </c>
      <c r="B1016" s="1" t="s">
        <v>1410</v>
      </c>
      <c r="C1016" t="s">
        <v>399</v>
      </c>
      <c r="D1016">
        <v>7</v>
      </c>
      <c r="E1016">
        <v>160</v>
      </c>
      <c r="F1016">
        <v>80</v>
      </c>
      <c r="G1016">
        <v>1120</v>
      </c>
      <c r="H1016" s="4">
        <v>560</v>
      </c>
      <c r="I1016" s="4">
        <v>560</v>
      </c>
      <c r="J1016" t="s">
        <v>426</v>
      </c>
      <c r="K1016" t="s">
        <v>53</v>
      </c>
      <c r="L1016" s="4">
        <v>13.923194761258239</v>
      </c>
      <c r="M1016" s="1" t="s">
        <v>38</v>
      </c>
      <c r="N1016" s="11">
        <f t="shared" si="15"/>
        <v>5</v>
      </c>
    </row>
    <row r="1017" spans="1:14" ht="16" x14ac:dyDescent="0.2">
      <c r="A1017" s="3">
        <v>43860.814285316432</v>
      </c>
      <c r="B1017" s="1" t="s">
        <v>1411</v>
      </c>
      <c r="C1017" t="s">
        <v>370</v>
      </c>
      <c r="D1017">
        <v>11</v>
      </c>
      <c r="E1017">
        <v>144</v>
      </c>
      <c r="F1017">
        <v>36</v>
      </c>
      <c r="G1017">
        <v>1584</v>
      </c>
      <c r="H1017" s="4">
        <v>396</v>
      </c>
      <c r="I1017" s="4">
        <v>1188</v>
      </c>
      <c r="J1017" t="s">
        <v>406</v>
      </c>
      <c r="K1017" t="s">
        <v>58</v>
      </c>
      <c r="L1017" s="4">
        <v>11.082295381980092</v>
      </c>
      <c r="M1017" s="1" t="s">
        <v>38</v>
      </c>
      <c r="N1017" s="11">
        <f t="shared" si="15"/>
        <v>5</v>
      </c>
    </row>
    <row r="1018" spans="1:14" ht="16" x14ac:dyDescent="0.2">
      <c r="A1018" s="3">
        <v>43426.068503770883</v>
      </c>
      <c r="B1018" s="1" t="s">
        <v>1412</v>
      </c>
      <c r="C1018" t="s">
        <v>538</v>
      </c>
      <c r="D1018">
        <v>8</v>
      </c>
      <c r="E1018">
        <v>261</v>
      </c>
      <c r="F1018">
        <v>87</v>
      </c>
      <c r="G1018">
        <v>2088</v>
      </c>
      <c r="H1018" s="4">
        <v>696</v>
      </c>
      <c r="I1018" s="4">
        <v>1392</v>
      </c>
      <c r="J1018" t="s">
        <v>435</v>
      </c>
      <c r="K1018" t="s">
        <v>33</v>
      </c>
      <c r="L1018" s="4">
        <v>5.9872353338051019</v>
      </c>
      <c r="M1018" s="1" t="s">
        <v>38</v>
      </c>
      <c r="N1018" s="11">
        <f t="shared" si="15"/>
        <v>5</v>
      </c>
    </row>
    <row r="1019" spans="1:14" ht="16" x14ac:dyDescent="0.2">
      <c r="A1019" s="3">
        <v>43714.181108373559</v>
      </c>
      <c r="B1019" s="1" t="s">
        <v>1413</v>
      </c>
      <c r="C1019" t="s">
        <v>154</v>
      </c>
      <c r="D1019">
        <v>7</v>
      </c>
      <c r="E1019">
        <v>308</v>
      </c>
      <c r="F1019">
        <v>77</v>
      </c>
      <c r="G1019">
        <v>2156</v>
      </c>
      <c r="H1019" s="4">
        <v>539</v>
      </c>
      <c r="I1019" s="4">
        <v>1617</v>
      </c>
      <c r="J1019" t="s">
        <v>1414</v>
      </c>
      <c r="K1019" t="s">
        <v>42</v>
      </c>
      <c r="L1019" s="4">
        <v>8.6625575824723242</v>
      </c>
      <c r="M1019" s="1" t="s">
        <v>38</v>
      </c>
      <c r="N1019" s="11">
        <f t="shared" si="15"/>
        <v>5</v>
      </c>
    </row>
    <row r="1020" spans="1:14" ht="16" x14ac:dyDescent="0.2">
      <c r="A1020" s="3">
        <v>44202.792894213148</v>
      </c>
      <c r="B1020" s="1" t="s">
        <v>1415</v>
      </c>
      <c r="C1020" t="s">
        <v>201</v>
      </c>
      <c r="D1020">
        <v>18</v>
      </c>
      <c r="E1020">
        <v>30</v>
      </c>
      <c r="F1020">
        <v>15</v>
      </c>
      <c r="G1020">
        <v>540</v>
      </c>
      <c r="H1020" s="4">
        <v>270</v>
      </c>
      <c r="I1020" s="4">
        <v>270</v>
      </c>
      <c r="J1020" t="s">
        <v>962</v>
      </c>
      <c r="K1020" t="s">
        <v>86</v>
      </c>
      <c r="L1020" s="4">
        <v>10.968401424454578</v>
      </c>
      <c r="M1020" s="1" t="s">
        <v>38</v>
      </c>
      <c r="N1020" s="11">
        <f t="shared" si="15"/>
        <v>5</v>
      </c>
    </row>
    <row r="1021" spans="1:14" ht="16" x14ac:dyDescent="0.2">
      <c r="A1021" s="3">
        <v>44573.235051601958</v>
      </c>
      <c r="B1021" s="1" t="s">
        <v>1416</v>
      </c>
      <c r="C1021" t="s">
        <v>56</v>
      </c>
      <c r="D1021">
        <v>14</v>
      </c>
      <c r="E1021">
        <v>38</v>
      </c>
      <c r="F1021">
        <v>19</v>
      </c>
      <c r="G1021">
        <v>532</v>
      </c>
      <c r="H1021" s="4">
        <v>266</v>
      </c>
      <c r="I1021" s="4">
        <v>266</v>
      </c>
      <c r="J1021" t="s">
        <v>469</v>
      </c>
      <c r="K1021" t="s">
        <v>64</v>
      </c>
      <c r="L1021" s="4">
        <v>7.9963422143733238</v>
      </c>
      <c r="M1021" s="1" t="s">
        <v>54</v>
      </c>
      <c r="N1021" s="11">
        <f t="shared" si="15"/>
        <v>10</v>
      </c>
    </row>
    <row r="1022" spans="1:14" ht="16" x14ac:dyDescent="0.2">
      <c r="A1022" s="3">
        <v>44475.596542711515</v>
      </c>
      <c r="B1022" s="1" t="s">
        <v>1417</v>
      </c>
      <c r="C1022" t="s">
        <v>178</v>
      </c>
      <c r="D1022">
        <v>9</v>
      </c>
      <c r="E1022">
        <v>189</v>
      </c>
      <c r="F1022">
        <v>63</v>
      </c>
      <c r="G1022">
        <v>1701</v>
      </c>
      <c r="H1022" s="4">
        <v>567</v>
      </c>
      <c r="I1022" s="4">
        <v>1134</v>
      </c>
      <c r="J1022" t="s">
        <v>626</v>
      </c>
      <c r="K1022" t="s">
        <v>58</v>
      </c>
      <c r="L1022" s="4">
        <v>13.259563298324382</v>
      </c>
      <c r="M1022" s="1" t="s">
        <v>54</v>
      </c>
      <c r="N1022" s="11">
        <f t="shared" si="15"/>
        <v>10</v>
      </c>
    </row>
    <row r="1023" spans="1:14" ht="16" x14ac:dyDescent="0.2">
      <c r="A1023" s="3">
        <v>44091.068365733459</v>
      </c>
      <c r="B1023" s="1" t="s">
        <v>1418</v>
      </c>
      <c r="C1023" t="s">
        <v>788</v>
      </c>
      <c r="D1023">
        <v>12</v>
      </c>
      <c r="E1023">
        <v>100</v>
      </c>
      <c r="F1023">
        <v>25</v>
      </c>
      <c r="G1023">
        <v>1200</v>
      </c>
      <c r="H1023" s="4">
        <v>300</v>
      </c>
      <c r="I1023" s="4">
        <v>900</v>
      </c>
      <c r="J1023" t="s">
        <v>418</v>
      </c>
      <c r="K1023" t="s">
        <v>42</v>
      </c>
      <c r="L1023" s="4">
        <v>11.644564584314265</v>
      </c>
      <c r="M1023" s="1" t="s">
        <v>38</v>
      </c>
      <c r="N1023" s="11">
        <f t="shared" si="15"/>
        <v>5</v>
      </c>
    </row>
    <row r="1024" spans="1:14" ht="16" x14ac:dyDescent="0.2">
      <c r="A1024" s="3">
        <v>43727.078356017242</v>
      </c>
      <c r="B1024" s="1" t="s">
        <v>1419</v>
      </c>
      <c r="C1024" t="s">
        <v>544</v>
      </c>
      <c r="D1024">
        <v>2</v>
      </c>
      <c r="E1024">
        <v>267</v>
      </c>
      <c r="F1024">
        <v>89</v>
      </c>
      <c r="G1024">
        <v>534</v>
      </c>
      <c r="H1024" s="4">
        <v>178</v>
      </c>
      <c r="I1024" s="4">
        <v>356</v>
      </c>
      <c r="J1024" t="s">
        <v>1195</v>
      </c>
      <c r="K1024" t="s">
        <v>33</v>
      </c>
      <c r="L1024" s="4">
        <v>11.971065679104063</v>
      </c>
      <c r="M1024" s="1" t="s">
        <v>54</v>
      </c>
      <c r="N1024" s="11">
        <f t="shared" si="15"/>
        <v>10</v>
      </c>
    </row>
    <row r="1025" spans="1:14" ht="16" x14ac:dyDescent="0.2">
      <c r="A1025" s="3">
        <v>43997.257259471851</v>
      </c>
      <c r="B1025" s="1" t="s">
        <v>1420</v>
      </c>
      <c r="C1025" t="s">
        <v>81</v>
      </c>
      <c r="D1025">
        <v>16</v>
      </c>
      <c r="E1025">
        <v>166</v>
      </c>
      <c r="F1025">
        <v>83</v>
      </c>
      <c r="G1025">
        <v>2656</v>
      </c>
      <c r="H1025" s="4">
        <v>1328</v>
      </c>
      <c r="I1025" s="4">
        <v>1328</v>
      </c>
      <c r="J1025" t="s">
        <v>495</v>
      </c>
      <c r="K1025" t="s">
        <v>64</v>
      </c>
      <c r="L1025" s="4">
        <v>8.8878868765808274</v>
      </c>
      <c r="M1025" s="1" t="s">
        <v>54</v>
      </c>
      <c r="N1025" s="11">
        <f t="shared" si="15"/>
        <v>10</v>
      </c>
    </row>
    <row r="1026" spans="1:14" ht="16" x14ac:dyDescent="0.2">
      <c r="A1026" s="3">
        <v>43894.050341818373</v>
      </c>
      <c r="B1026" s="1" t="s">
        <v>1421</v>
      </c>
      <c r="C1026" t="s">
        <v>544</v>
      </c>
      <c r="D1026">
        <v>5</v>
      </c>
      <c r="E1026">
        <v>267</v>
      </c>
      <c r="F1026">
        <v>89</v>
      </c>
      <c r="G1026">
        <v>1335</v>
      </c>
      <c r="H1026" s="4">
        <v>445</v>
      </c>
      <c r="I1026" s="4">
        <v>890</v>
      </c>
      <c r="J1026" t="s">
        <v>194</v>
      </c>
      <c r="K1026" t="s">
        <v>42</v>
      </c>
      <c r="L1026" s="4">
        <v>14.573178107544177</v>
      </c>
      <c r="M1026" s="1" t="s">
        <v>54</v>
      </c>
      <c r="N1026" s="11">
        <f t="shared" si="15"/>
        <v>10</v>
      </c>
    </row>
    <row r="1027" spans="1:14" ht="16" x14ac:dyDescent="0.2">
      <c r="A1027" s="3">
        <v>43375.049348293782</v>
      </c>
      <c r="B1027" s="1" t="s">
        <v>1422</v>
      </c>
      <c r="C1027" t="s">
        <v>523</v>
      </c>
      <c r="D1027">
        <v>10</v>
      </c>
      <c r="E1027">
        <v>92</v>
      </c>
      <c r="F1027">
        <v>46</v>
      </c>
      <c r="G1027">
        <v>920</v>
      </c>
      <c r="H1027" s="4">
        <v>460</v>
      </c>
      <c r="I1027" s="4">
        <v>460</v>
      </c>
      <c r="J1027" t="s">
        <v>622</v>
      </c>
      <c r="K1027" t="s">
        <v>49</v>
      </c>
      <c r="L1027" s="4">
        <v>8.3272837771733244</v>
      </c>
      <c r="M1027" s="1" t="s">
        <v>34</v>
      </c>
      <c r="N1027" s="11">
        <f t="shared" ref="N1027:N1090" si="16">+IF(M1027="Dissatisfied",1,IF(M1027="Satisfied",10,5))</f>
        <v>1</v>
      </c>
    </row>
    <row r="1028" spans="1:14" ht="16" x14ac:dyDescent="0.2">
      <c r="A1028" s="3">
        <v>44714.598579761769</v>
      </c>
      <c r="B1028" s="1" t="s">
        <v>1423</v>
      </c>
      <c r="C1028" t="s">
        <v>391</v>
      </c>
      <c r="D1028">
        <v>12</v>
      </c>
      <c r="E1028">
        <v>72</v>
      </c>
      <c r="F1028">
        <v>36</v>
      </c>
      <c r="G1028">
        <v>864</v>
      </c>
      <c r="H1028" s="4">
        <v>432</v>
      </c>
      <c r="I1028" s="4">
        <v>432</v>
      </c>
      <c r="J1028" t="s">
        <v>1358</v>
      </c>
      <c r="K1028" t="s">
        <v>86</v>
      </c>
      <c r="L1028" s="4">
        <v>13.811876869930865</v>
      </c>
      <c r="M1028" s="1" t="s">
        <v>38</v>
      </c>
      <c r="N1028" s="11">
        <f t="shared" si="16"/>
        <v>5</v>
      </c>
    </row>
    <row r="1029" spans="1:14" ht="16" x14ac:dyDescent="0.2">
      <c r="A1029" s="3">
        <v>43769.252279823602</v>
      </c>
      <c r="B1029" s="1" t="s">
        <v>1424</v>
      </c>
      <c r="C1029" t="s">
        <v>386</v>
      </c>
      <c r="D1029">
        <v>18</v>
      </c>
      <c r="E1029">
        <v>110</v>
      </c>
      <c r="F1029">
        <v>55</v>
      </c>
      <c r="G1029">
        <v>1980</v>
      </c>
      <c r="H1029" s="4">
        <v>990</v>
      </c>
      <c r="I1029" s="4">
        <v>990</v>
      </c>
      <c r="J1029" t="s">
        <v>244</v>
      </c>
      <c r="K1029" t="s">
        <v>86</v>
      </c>
      <c r="L1029" s="4">
        <v>15.458859683514467</v>
      </c>
      <c r="M1029" s="1" t="s">
        <v>38</v>
      </c>
      <c r="N1029" s="11">
        <f t="shared" si="16"/>
        <v>5</v>
      </c>
    </row>
    <row r="1030" spans="1:14" ht="16" x14ac:dyDescent="0.2">
      <c r="A1030" s="3">
        <v>43974.914333296278</v>
      </c>
      <c r="B1030" s="1" t="s">
        <v>1425</v>
      </c>
      <c r="C1030" t="s">
        <v>188</v>
      </c>
      <c r="D1030">
        <v>7</v>
      </c>
      <c r="E1030">
        <v>368</v>
      </c>
      <c r="F1030">
        <v>92</v>
      </c>
      <c r="G1030">
        <v>2576</v>
      </c>
      <c r="H1030" s="4">
        <v>644</v>
      </c>
      <c r="I1030" s="4">
        <v>1932</v>
      </c>
      <c r="J1030" t="s">
        <v>82</v>
      </c>
      <c r="K1030" t="s">
        <v>58</v>
      </c>
      <c r="L1030" s="4">
        <v>13.45980057156361</v>
      </c>
      <c r="M1030" s="1" t="s">
        <v>54</v>
      </c>
      <c r="N1030" s="11">
        <f t="shared" si="16"/>
        <v>10</v>
      </c>
    </row>
    <row r="1031" spans="1:14" ht="16" x14ac:dyDescent="0.2">
      <c r="A1031" s="3">
        <v>44215.79358297494</v>
      </c>
      <c r="B1031" s="1" t="s">
        <v>1426</v>
      </c>
      <c r="C1031" t="s">
        <v>317</v>
      </c>
      <c r="D1031">
        <v>2</v>
      </c>
      <c r="E1031">
        <v>352</v>
      </c>
      <c r="F1031">
        <v>88</v>
      </c>
      <c r="G1031">
        <v>704</v>
      </c>
      <c r="H1031" s="4">
        <v>176</v>
      </c>
      <c r="I1031" s="4">
        <v>528</v>
      </c>
      <c r="J1031" t="s">
        <v>123</v>
      </c>
      <c r="K1031" t="s">
        <v>53</v>
      </c>
      <c r="L1031" s="4">
        <v>10.42743035829395</v>
      </c>
      <c r="M1031" s="1" t="s">
        <v>38</v>
      </c>
      <c r="N1031" s="11">
        <f t="shared" si="16"/>
        <v>5</v>
      </c>
    </row>
    <row r="1032" spans="1:14" ht="16" x14ac:dyDescent="0.2">
      <c r="A1032" s="3">
        <v>43890.078833632266</v>
      </c>
      <c r="B1032" s="1" t="s">
        <v>1427</v>
      </c>
      <c r="C1032" t="s">
        <v>139</v>
      </c>
      <c r="D1032">
        <v>13</v>
      </c>
      <c r="E1032">
        <v>320</v>
      </c>
      <c r="F1032">
        <v>80</v>
      </c>
      <c r="G1032">
        <v>4160</v>
      </c>
      <c r="H1032" s="4">
        <v>1040</v>
      </c>
      <c r="I1032" s="4">
        <v>3120</v>
      </c>
      <c r="J1032" t="s">
        <v>450</v>
      </c>
      <c r="K1032" t="s">
        <v>49</v>
      </c>
      <c r="L1032" s="4">
        <v>13.332534707865639</v>
      </c>
      <c r="M1032" s="1" t="s">
        <v>38</v>
      </c>
      <c r="N1032" s="11">
        <f t="shared" si="16"/>
        <v>5</v>
      </c>
    </row>
    <row r="1033" spans="1:14" ht="16" x14ac:dyDescent="0.2">
      <c r="A1033" s="3">
        <v>44145.787899648036</v>
      </c>
      <c r="B1033" s="1" t="s">
        <v>1428</v>
      </c>
      <c r="C1033" t="s">
        <v>320</v>
      </c>
      <c r="D1033">
        <v>1</v>
      </c>
      <c r="E1033">
        <v>280</v>
      </c>
      <c r="F1033">
        <v>70</v>
      </c>
      <c r="G1033">
        <v>280</v>
      </c>
      <c r="H1033" s="4">
        <v>70</v>
      </c>
      <c r="I1033" s="4">
        <v>210</v>
      </c>
      <c r="J1033" t="s">
        <v>595</v>
      </c>
      <c r="K1033" t="s">
        <v>86</v>
      </c>
      <c r="L1033" s="4">
        <v>12.045339240427111</v>
      </c>
      <c r="M1033" s="1" t="s">
        <v>38</v>
      </c>
      <c r="N1033" s="11">
        <f t="shared" si="16"/>
        <v>5</v>
      </c>
    </row>
    <row r="1034" spans="1:14" ht="16" x14ac:dyDescent="0.2">
      <c r="A1034" s="3">
        <v>43939.728179710728</v>
      </c>
      <c r="B1034" s="1" t="s">
        <v>1429</v>
      </c>
      <c r="C1034" t="s">
        <v>312</v>
      </c>
      <c r="D1034">
        <v>4</v>
      </c>
      <c r="E1034">
        <v>240</v>
      </c>
      <c r="F1034">
        <v>80</v>
      </c>
      <c r="G1034">
        <v>960</v>
      </c>
      <c r="H1034" s="4">
        <v>320</v>
      </c>
      <c r="I1034" s="4">
        <v>640</v>
      </c>
      <c r="J1034" t="s">
        <v>207</v>
      </c>
      <c r="K1034" t="s">
        <v>42</v>
      </c>
      <c r="L1034" s="4">
        <v>12.177709716438097</v>
      </c>
      <c r="M1034" s="1" t="s">
        <v>54</v>
      </c>
      <c r="N1034" s="11">
        <f t="shared" si="16"/>
        <v>10</v>
      </c>
    </row>
    <row r="1035" spans="1:14" ht="16" x14ac:dyDescent="0.2">
      <c r="A1035" s="3">
        <v>44490.283484286527</v>
      </c>
      <c r="B1035" s="1" t="s">
        <v>1430</v>
      </c>
      <c r="C1035" t="s">
        <v>394</v>
      </c>
      <c r="D1035">
        <v>20</v>
      </c>
      <c r="E1035">
        <v>58</v>
      </c>
      <c r="F1035">
        <v>29</v>
      </c>
      <c r="G1035">
        <v>1160</v>
      </c>
      <c r="H1035" s="4">
        <v>580</v>
      </c>
      <c r="I1035" s="4">
        <v>580</v>
      </c>
      <c r="J1035" t="s">
        <v>85</v>
      </c>
      <c r="K1035" t="s">
        <v>86</v>
      </c>
      <c r="L1035" s="4">
        <v>11.631646244583138</v>
      </c>
      <c r="M1035" s="1" t="s">
        <v>54</v>
      </c>
      <c r="N1035" s="11">
        <f t="shared" si="16"/>
        <v>10</v>
      </c>
    </row>
    <row r="1036" spans="1:14" ht="16" x14ac:dyDescent="0.2">
      <c r="A1036" s="3">
        <v>43707.548875155408</v>
      </c>
      <c r="B1036" s="1" t="s">
        <v>1431</v>
      </c>
      <c r="C1036" t="s">
        <v>66</v>
      </c>
      <c r="D1036">
        <v>9</v>
      </c>
      <c r="E1036">
        <v>144</v>
      </c>
      <c r="F1036">
        <v>48</v>
      </c>
      <c r="G1036">
        <v>1296</v>
      </c>
      <c r="H1036" s="4">
        <v>432</v>
      </c>
      <c r="I1036" s="4">
        <v>864</v>
      </c>
      <c r="J1036" t="s">
        <v>1432</v>
      </c>
      <c r="K1036" t="s">
        <v>53</v>
      </c>
      <c r="L1036" s="4">
        <v>13.2671922973198</v>
      </c>
      <c r="M1036" s="1" t="s">
        <v>34</v>
      </c>
      <c r="N1036" s="11">
        <f t="shared" si="16"/>
        <v>1</v>
      </c>
    </row>
    <row r="1037" spans="1:14" ht="16" x14ac:dyDescent="0.2">
      <c r="A1037" s="3">
        <v>43572.05285010345</v>
      </c>
      <c r="B1037" s="1" t="s">
        <v>899</v>
      </c>
      <c r="C1037" t="s">
        <v>276</v>
      </c>
      <c r="D1037">
        <v>12</v>
      </c>
      <c r="E1037">
        <v>57</v>
      </c>
      <c r="F1037">
        <v>19</v>
      </c>
      <c r="G1037">
        <v>684</v>
      </c>
      <c r="H1037" s="4">
        <v>228</v>
      </c>
      <c r="I1037" s="4">
        <v>456</v>
      </c>
      <c r="J1037" t="s">
        <v>448</v>
      </c>
      <c r="K1037" t="s">
        <v>58</v>
      </c>
      <c r="L1037" s="4">
        <v>15.770846827234339</v>
      </c>
      <c r="M1037" s="1" t="s">
        <v>38</v>
      </c>
      <c r="N1037" s="11">
        <f t="shared" si="16"/>
        <v>5</v>
      </c>
    </row>
    <row r="1038" spans="1:14" ht="16" x14ac:dyDescent="0.2">
      <c r="A1038" s="3">
        <v>44324.054842719415</v>
      </c>
      <c r="B1038" s="1" t="s">
        <v>1433</v>
      </c>
      <c r="C1038" t="s">
        <v>266</v>
      </c>
      <c r="D1038">
        <v>18</v>
      </c>
      <c r="E1038">
        <v>50</v>
      </c>
      <c r="F1038">
        <v>25</v>
      </c>
      <c r="G1038">
        <v>900</v>
      </c>
      <c r="H1038" s="4">
        <v>450</v>
      </c>
      <c r="I1038" s="4">
        <v>450</v>
      </c>
      <c r="J1038" t="s">
        <v>1434</v>
      </c>
      <c r="K1038" t="s">
        <v>86</v>
      </c>
      <c r="L1038" s="4">
        <v>10.826646539963521</v>
      </c>
      <c r="M1038" s="1" t="s">
        <v>34</v>
      </c>
      <c r="N1038" s="11">
        <f t="shared" si="16"/>
        <v>1</v>
      </c>
    </row>
    <row r="1039" spans="1:14" ht="16" x14ac:dyDescent="0.2">
      <c r="A1039" s="3">
        <v>43324.93555925363</v>
      </c>
      <c r="B1039" s="1" t="s">
        <v>1435</v>
      </c>
      <c r="C1039" t="s">
        <v>320</v>
      </c>
      <c r="D1039">
        <v>16</v>
      </c>
      <c r="E1039">
        <v>280</v>
      </c>
      <c r="F1039">
        <v>70</v>
      </c>
      <c r="G1039">
        <v>4480</v>
      </c>
      <c r="H1039" s="4">
        <v>1120</v>
      </c>
      <c r="I1039" s="4">
        <v>3360</v>
      </c>
      <c r="J1039" t="s">
        <v>851</v>
      </c>
      <c r="K1039" t="s">
        <v>49</v>
      </c>
      <c r="L1039" s="4">
        <v>9.5176115401380308</v>
      </c>
      <c r="M1039" s="1" t="s">
        <v>38</v>
      </c>
      <c r="N1039" s="11">
        <f t="shared" si="16"/>
        <v>5</v>
      </c>
    </row>
    <row r="1040" spans="1:14" ht="16" x14ac:dyDescent="0.2">
      <c r="A1040" s="3">
        <v>43670.775687642112</v>
      </c>
      <c r="B1040" s="1" t="s">
        <v>1436</v>
      </c>
      <c r="C1040" t="s">
        <v>538</v>
      </c>
      <c r="D1040">
        <v>15</v>
      </c>
      <c r="E1040">
        <v>261</v>
      </c>
      <c r="F1040">
        <v>87</v>
      </c>
      <c r="G1040">
        <v>3915</v>
      </c>
      <c r="H1040" s="4">
        <v>1305</v>
      </c>
      <c r="I1040" s="4">
        <v>2610</v>
      </c>
      <c r="J1040" t="s">
        <v>1157</v>
      </c>
      <c r="K1040" t="s">
        <v>42</v>
      </c>
      <c r="L1040" s="4">
        <v>10.517826055804084</v>
      </c>
      <c r="M1040" s="1" t="s">
        <v>54</v>
      </c>
      <c r="N1040" s="11">
        <f t="shared" si="16"/>
        <v>10</v>
      </c>
    </row>
    <row r="1041" spans="1:14" ht="16" x14ac:dyDescent="0.2">
      <c r="A1041" s="3">
        <v>43900.806779623374</v>
      </c>
      <c r="B1041" s="1" t="s">
        <v>1437</v>
      </c>
      <c r="C1041" t="s">
        <v>160</v>
      </c>
      <c r="D1041">
        <v>10</v>
      </c>
      <c r="E1041">
        <v>132</v>
      </c>
      <c r="F1041">
        <v>33</v>
      </c>
      <c r="G1041">
        <v>1320</v>
      </c>
      <c r="H1041" s="4">
        <v>330</v>
      </c>
      <c r="I1041" s="4">
        <v>990</v>
      </c>
      <c r="J1041" t="s">
        <v>279</v>
      </c>
      <c r="K1041" t="s">
        <v>64</v>
      </c>
      <c r="L1041" s="4">
        <v>11.504886852416154</v>
      </c>
      <c r="M1041" s="1" t="s">
        <v>38</v>
      </c>
      <c r="N1041" s="11">
        <f t="shared" si="16"/>
        <v>5</v>
      </c>
    </row>
    <row r="1042" spans="1:14" ht="16" x14ac:dyDescent="0.2">
      <c r="A1042" s="3">
        <v>43796.269476502319</v>
      </c>
      <c r="B1042" s="1" t="s">
        <v>1438</v>
      </c>
      <c r="C1042" t="s">
        <v>212</v>
      </c>
      <c r="D1042">
        <v>4</v>
      </c>
      <c r="E1042">
        <v>300</v>
      </c>
      <c r="F1042">
        <v>75</v>
      </c>
      <c r="G1042">
        <v>1200</v>
      </c>
      <c r="H1042" s="4">
        <v>300</v>
      </c>
      <c r="I1042" s="4">
        <v>900</v>
      </c>
      <c r="J1042" t="s">
        <v>638</v>
      </c>
      <c r="K1042" t="s">
        <v>33</v>
      </c>
      <c r="L1042" s="4">
        <v>12.131375018945562</v>
      </c>
      <c r="M1042" s="1" t="s">
        <v>54</v>
      </c>
      <c r="N1042" s="11">
        <f t="shared" si="16"/>
        <v>10</v>
      </c>
    </row>
    <row r="1043" spans="1:14" ht="16" x14ac:dyDescent="0.2">
      <c r="A1043" s="3">
        <v>43832.28873946485</v>
      </c>
      <c r="B1043" s="1" t="s">
        <v>1439</v>
      </c>
      <c r="C1043" t="s">
        <v>503</v>
      </c>
      <c r="D1043">
        <v>16</v>
      </c>
      <c r="E1043">
        <v>50</v>
      </c>
      <c r="F1043">
        <v>25</v>
      </c>
      <c r="G1043">
        <v>800</v>
      </c>
      <c r="H1043" s="4">
        <v>400</v>
      </c>
      <c r="I1043" s="4">
        <v>400</v>
      </c>
      <c r="J1043" t="s">
        <v>595</v>
      </c>
      <c r="K1043" t="s">
        <v>86</v>
      </c>
      <c r="L1043" s="4">
        <v>12.045339240427111</v>
      </c>
      <c r="M1043" s="1" t="s">
        <v>34</v>
      </c>
      <c r="N1043" s="11">
        <f t="shared" si="16"/>
        <v>1</v>
      </c>
    </row>
    <row r="1044" spans="1:14" ht="16" x14ac:dyDescent="0.2">
      <c r="A1044" s="3">
        <v>44676.891661274574</v>
      </c>
      <c r="B1044" s="1" t="s">
        <v>1440</v>
      </c>
      <c r="C1044" t="s">
        <v>779</v>
      </c>
      <c r="D1044">
        <v>11</v>
      </c>
      <c r="E1044">
        <v>120</v>
      </c>
      <c r="F1044">
        <v>30</v>
      </c>
      <c r="G1044">
        <v>1320</v>
      </c>
      <c r="H1044" s="4">
        <v>330</v>
      </c>
      <c r="I1044" s="4">
        <v>990</v>
      </c>
      <c r="J1044" t="s">
        <v>1022</v>
      </c>
      <c r="K1044" t="s">
        <v>49</v>
      </c>
      <c r="L1044" s="4">
        <v>15.268550004010105</v>
      </c>
      <c r="M1044" s="1" t="s">
        <v>34</v>
      </c>
      <c r="N1044" s="11">
        <f t="shared" si="16"/>
        <v>1</v>
      </c>
    </row>
    <row r="1045" spans="1:14" ht="16" x14ac:dyDescent="0.2">
      <c r="A1045" s="3">
        <v>43474.505904925456</v>
      </c>
      <c r="B1045" s="1" t="s">
        <v>1441</v>
      </c>
      <c r="C1045" t="s">
        <v>163</v>
      </c>
      <c r="D1045">
        <v>19</v>
      </c>
      <c r="E1045">
        <v>108</v>
      </c>
      <c r="F1045">
        <v>36</v>
      </c>
      <c r="G1045">
        <v>2052</v>
      </c>
      <c r="H1045" s="4">
        <v>684</v>
      </c>
      <c r="I1045" s="4">
        <v>1368</v>
      </c>
      <c r="J1045" t="s">
        <v>862</v>
      </c>
      <c r="K1045" t="s">
        <v>58</v>
      </c>
      <c r="L1045" s="4">
        <v>13.827196127590291</v>
      </c>
      <c r="M1045" s="1" t="s">
        <v>38</v>
      </c>
      <c r="N1045" s="11">
        <f t="shared" si="16"/>
        <v>5</v>
      </c>
    </row>
    <row r="1046" spans="1:14" ht="16" x14ac:dyDescent="0.2">
      <c r="A1046" s="3">
        <v>43377.279690693416</v>
      </c>
      <c r="B1046" s="1" t="s">
        <v>1442</v>
      </c>
      <c r="C1046" t="s">
        <v>101</v>
      </c>
      <c r="D1046">
        <v>13</v>
      </c>
      <c r="E1046">
        <v>50</v>
      </c>
      <c r="F1046">
        <v>25</v>
      </c>
      <c r="G1046">
        <v>650</v>
      </c>
      <c r="H1046" s="4">
        <v>325</v>
      </c>
      <c r="I1046" s="4">
        <v>325</v>
      </c>
      <c r="J1046" t="s">
        <v>681</v>
      </c>
      <c r="K1046" t="s">
        <v>86</v>
      </c>
      <c r="L1046" s="4">
        <v>8.1628930629234038</v>
      </c>
      <c r="M1046" s="1" t="s">
        <v>38</v>
      </c>
      <c r="N1046" s="11">
        <f t="shared" si="16"/>
        <v>5</v>
      </c>
    </row>
    <row r="1047" spans="1:14" ht="16" x14ac:dyDescent="0.2">
      <c r="A1047" s="3">
        <v>44270.388099412055</v>
      </c>
      <c r="B1047" s="1" t="s">
        <v>1443</v>
      </c>
      <c r="C1047" t="s">
        <v>98</v>
      </c>
      <c r="D1047">
        <v>16</v>
      </c>
      <c r="E1047">
        <v>156</v>
      </c>
      <c r="F1047">
        <v>78</v>
      </c>
      <c r="G1047">
        <v>2496</v>
      </c>
      <c r="H1047" s="4">
        <v>1248</v>
      </c>
      <c r="I1047" s="4">
        <v>1248</v>
      </c>
      <c r="J1047" t="s">
        <v>1202</v>
      </c>
      <c r="K1047" t="s">
        <v>58</v>
      </c>
      <c r="L1047" s="4">
        <v>10.524491192521829</v>
      </c>
      <c r="M1047" s="1" t="s">
        <v>34</v>
      </c>
      <c r="N1047" s="11">
        <f t="shared" si="16"/>
        <v>1</v>
      </c>
    </row>
    <row r="1048" spans="1:14" ht="16" x14ac:dyDescent="0.2">
      <c r="A1048" s="3">
        <v>43732.06096621327</v>
      </c>
      <c r="B1048" s="1" t="s">
        <v>1444</v>
      </c>
      <c r="C1048" t="s">
        <v>283</v>
      </c>
      <c r="D1048">
        <v>8</v>
      </c>
      <c r="E1048">
        <v>144</v>
      </c>
      <c r="F1048">
        <v>36</v>
      </c>
      <c r="G1048">
        <v>1152</v>
      </c>
      <c r="H1048" s="4">
        <v>288</v>
      </c>
      <c r="I1048" s="4">
        <v>864</v>
      </c>
      <c r="J1048" t="s">
        <v>469</v>
      </c>
      <c r="K1048" t="s">
        <v>64</v>
      </c>
      <c r="L1048" s="4">
        <v>7.9963422143733238</v>
      </c>
      <c r="M1048" s="1" t="s">
        <v>38</v>
      </c>
      <c r="N1048" s="11">
        <f t="shared" si="16"/>
        <v>5</v>
      </c>
    </row>
    <row r="1049" spans="1:14" ht="16" x14ac:dyDescent="0.2">
      <c r="A1049" s="3">
        <v>42853.616010523096</v>
      </c>
      <c r="B1049" s="1" t="s">
        <v>1445</v>
      </c>
      <c r="C1049" t="s">
        <v>473</v>
      </c>
      <c r="D1049">
        <v>19</v>
      </c>
      <c r="E1049">
        <v>72</v>
      </c>
      <c r="F1049">
        <v>36</v>
      </c>
      <c r="G1049">
        <v>1368</v>
      </c>
      <c r="H1049" s="4">
        <v>684</v>
      </c>
      <c r="I1049" s="4">
        <v>684</v>
      </c>
      <c r="J1049" t="s">
        <v>94</v>
      </c>
      <c r="K1049" t="s">
        <v>49</v>
      </c>
      <c r="L1049" s="4">
        <v>9.8238489437106278</v>
      </c>
      <c r="M1049" s="1" t="s">
        <v>38</v>
      </c>
      <c r="N1049" s="11">
        <f t="shared" si="16"/>
        <v>5</v>
      </c>
    </row>
    <row r="1050" spans="1:14" ht="16" x14ac:dyDescent="0.2">
      <c r="A1050" s="3">
        <v>43572.166850928377</v>
      </c>
      <c r="B1050" s="1" t="s">
        <v>1446</v>
      </c>
      <c r="C1050" t="s">
        <v>561</v>
      </c>
      <c r="D1050">
        <v>11</v>
      </c>
      <c r="E1050">
        <v>384</v>
      </c>
      <c r="F1050">
        <v>96</v>
      </c>
      <c r="G1050">
        <v>4224</v>
      </c>
      <c r="H1050" s="4">
        <v>1056</v>
      </c>
      <c r="I1050" s="4">
        <v>3168</v>
      </c>
      <c r="J1050" t="s">
        <v>707</v>
      </c>
      <c r="K1050" t="s">
        <v>49</v>
      </c>
      <c r="L1050" s="4">
        <v>11.779256317174871</v>
      </c>
      <c r="M1050" s="1" t="s">
        <v>54</v>
      </c>
      <c r="N1050" s="11">
        <f t="shared" si="16"/>
        <v>10</v>
      </c>
    </row>
    <row r="1051" spans="1:14" ht="16" x14ac:dyDescent="0.2">
      <c r="A1051" s="3">
        <v>43520.398061958236</v>
      </c>
      <c r="B1051" s="1" t="s">
        <v>1447</v>
      </c>
      <c r="C1051" t="s">
        <v>561</v>
      </c>
      <c r="D1051">
        <v>20</v>
      </c>
      <c r="E1051">
        <v>384</v>
      </c>
      <c r="F1051">
        <v>96</v>
      </c>
      <c r="G1051">
        <v>7680</v>
      </c>
      <c r="H1051" s="4">
        <v>1920</v>
      </c>
      <c r="I1051" s="4">
        <v>5760</v>
      </c>
      <c r="J1051" t="s">
        <v>968</v>
      </c>
      <c r="K1051" t="s">
        <v>42</v>
      </c>
      <c r="L1051" s="4">
        <v>11.961761925704458</v>
      </c>
      <c r="M1051" s="1" t="s">
        <v>54</v>
      </c>
      <c r="N1051" s="11">
        <f t="shared" si="16"/>
        <v>10</v>
      </c>
    </row>
    <row r="1052" spans="1:14" ht="16" x14ac:dyDescent="0.2">
      <c r="A1052" s="3">
        <v>43592.183528007808</v>
      </c>
      <c r="B1052" s="1" t="s">
        <v>1448</v>
      </c>
      <c r="C1052" t="s">
        <v>283</v>
      </c>
      <c r="D1052">
        <v>6</v>
      </c>
      <c r="E1052">
        <v>144</v>
      </c>
      <c r="F1052">
        <v>36</v>
      </c>
      <c r="G1052">
        <v>864</v>
      </c>
      <c r="H1052" s="4">
        <v>216</v>
      </c>
      <c r="I1052" s="4">
        <v>648</v>
      </c>
      <c r="J1052" t="s">
        <v>126</v>
      </c>
      <c r="K1052" t="s">
        <v>64</v>
      </c>
      <c r="L1052" s="4">
        <v>11.006397834696006</v>
      </c>
      <c r="M1052" s="1" t="s">
        <v>38</v>
      </c>
      <c r="N1052" s="11">
        <f t="shared" si="16"/>
        <v>5</v>
      </c>
    </row>
    <row r="1053" spans="1:14" ht="16" x14ac:dyDescent="0.2">
      <c r="A1053" s="3">
        <v>44621.691624087776</v>
      </c>
      <c r="B1053" s="1" t="s">
        <v>1449</v>
      </c>
      <c r="C1053" t="s">
        <v>503</v>
      </c>
      <c r="D1053">
        <v>17</v>
      </c>
      <c r="E1053">
        <v>50</v>
      </c>
      <c r="F1053">
        <v>25</v>
      </c>
      <c r="G1053">
        <v>850</v>
      </c>
      <c r="H1053" s="4">
        <v>425</v>
      </c>
      <c r="I1053" s="4">
        <v>425</v>
      </c>
      <c r="J1053" t="s">
        <v>111</v>
      </c>
      <c r="K1053" t="s">
        <v>53</v>
      </c>
      <c r="L1053" s="4">
        <v>13.407340878370247</v>
      </c>
      <c r="M1053" s="1" t="s">
        <v>38</v>
      </c>
      <c r="N1053" s="11">
        <f t="shared" si="16"/>
        <v>5</v>
      </c>
    </row>
    <row r="1054" spans="1:14" ht="16" x14ac:dyDescent="0.2">
      <c r="A1054" s="3">
        <v>44294.811117255995</v>
      </c>
      <c r="B1054" s="1" t="s">
        <v>1450</v>
      </c>
      <c r="C1054" t="s">
        <v>101</v>
      </c>
      <c r="D1054">
        <v>18</v>
      </c>
      <c r="E1054">
        <v>50</v>
      </c>
      <c r="F1054">
        <v>25</v>
      </c>
      <c r="G1054">
        <v>900</v>
      </c>
      <c r="H1054" s="4">
        <v>450</v>
      </c>
      <c r="I1054" s="4">
        <v>450</v>
      </c>
      <c r="J1054" t="s">
        <v>562</v>
      </c>
      <c r="K1054" t="s">
        <v>49</v>
      </c>
      <c r="L1054" s="4">
        <v>11.808681852148307</v>
      </c>
      <c r="M1054" s="1" t="s">
        <v>38</v>
      </c>
      <c r="N1054" s="11">
        <f t="shared" si="16"/>
        <v>5</v>
      </c>
    </row>
    <row r="1055" spans="1:14" ht="16" x14ac:dyDescent="0.2">
      <c r="A1055" s="3">
        <v>44008.824204390861</v>
      </c>
      <c r="B1055" s="1" t="s">
        <v>1451</v>
      </c>
      <c r="C1055" t="s">
        <v>142</v>
      </c>
      <c r="D1055">
        <v>20</v>
      </c>
      <c r="E1055">
        <v>210</v>
      </c>
      <c r="F1055">
        <v>70</v>
      </c>
      <c r="G1055">
        <v>4200</v>
      </c>
      <c r="H1055" s="4">
        <v>1400</v>
      </c>
      <c r="I1055" s="4">
        <v>2800</v>
      </c>
      <c r="J1055" t="s">
        <v>665</v>
      </c>
      <c r="K1055" t="s">
        <v>33</v>
      </c>
      <c r="L1055" s="4">
        <v>6.9183250411917196</v>
      </c>
      <c r="M1055" s="1" t="s">
        <v>38</v>
      </c>
      <c r="N1055" s="11">
        <f t="shared" si="16"/>
        <v>5</v>
      </c>
    </row>
    <row r="1056" spans="1:14" ht="16" x14ac:dyDescent="0.2">
      <c r="A1056" s="3">
        <v>44227.365943081561</v>
      </c>
      <c r="B1056" s="1" t="s">
        <v>1452</v>
      </c>
      <c r="C1056" t="s">
        <v>62</v>
      </c>
      <c r="D1056">
        <v>19</v>
      </c>
      <c r="E1056">
        <v>80</v>
      </c>
      <c r="F1056">
        <v>20</v>
      </c>
      <c r="G1056">
        <v>1520</v>
      </c>
      <c r="H1056" s="4">
        <v>380</v>
      </c>
      <c r="I1056" s="4">
        <v>1140</v>
      </c>
      <c r="J1056" t="s">
        <v>70</v>
      </c>
      <c r="K1056" t="s">
        <v>49</v>
      </c>
      <c r="L1056" s="4">
        <v>12.957303170959879</v>
      </c>
      <c r="M1056" s="1" t="s">
        <v>54</v>
      </c>
      <c r="N1056" s="11">
        <f t="shared" si="16"/>
        <v>10</v>
      </c>
    </row>
    <row r="1057" spans="1:14" ht="16" x14ac:dyDescent="0.2">
      <c r="A1057" s="3">
        <v>43737.481158078343</v>
      </c>
      <c r="B1057" s="1" t="s">
        <v>1453</v>
      </c>
      <c r="C1057" t="s">
        <v>110</v>
      </c>
      <c r="D1057">
        <v>11</v>
      </c>
      <c r="E1057">
        <v>144</v>
      </c>
      <c r="F1057">
        <v>36</v>
      </c>
      <c r="G1057">
        <v>1584</v>
      </c>
      <c r="H1057" s="4">
        <v>396</v>
      </c>
      <c r="I1057" s="4">
        <v>1188</v>
      </c>
      <c r="J1057" t="s">
        <v>482</v>
      </c>
      <c r="K1057" t="s">
        <v>42</v>
      </c>
      <c r="L1057" s="4">
        <v>11.311040680082275</v>
      </c>
      <c r="M1057" s="1" t="s">
        <v>54</v>
      </c>
      <c r="N1057" s="11">
        <f t="shared" si="16"/>
        <v>10</v>
      </c>
    </row>
    <row r="1058" spans="1:14" ht="16" x14ac:dyDescent="0.2">
      <c r="A1058" s="3">
        <v>42995.679983077462</v>
      </c>
      <c r="B1058" s="1" t="s">
        <v>1454</v>
      </c>
      <c r="C1058" t="s">
        <v>40</v>
      </c>
      <c r="D1058">
        <v>6</v>
      </c>
      <c r="E1058">
        <v>46</v>
      </c>
      <c r="F1058">
        <v>23</v>
      </c>
      <c r="G1058">
        <v>276</v>
      </c>
      <c r="H1058" s="4">
        <v>138</v>
      </c>
      <c r="I1058" s="4">
        <v>138</v>
      </c>
      <c r="J1058" t="s">
        <v>557</v>
      </c>
      <c r="K1058" t="s">
        <v>64</v>
      </c>
      <c r="L1058" s="4">
        <v>10.037135914792184</v>
      </c>
      <c r="M1058" s="1" t="s">
        <v>54</v>
      </c>
      <c r="N1058" s="11">
        <f t="shared" si="16"/>
        <v>10</v>
      </c>
    </row>
    <row r="1059" spans="1:14" ht="16" x14ac:dyDescent="0.2">
      <c r="A1059" s="3">
        <v>43506.289480959975</v>
      </c>
      <c r="B1059" s="1" t="s">
        <v>1455</v>
      </c>
      <c r="C1059" t="s">
        <v>487</v>
      </c>
      <c r="D1059">
        <v>11</v>
      </c>
      <c r="E1059">
        <v>264</v>
      </c>
      <c r="F1059">
        <v>88</v>
      </c>
      <c r="G1059">
        <v>2904</v>
      </c>
      <c r="H1059" s="4">
        <v>968</v>
      </c>
      <c r="I1059" s="4">
        <v>1936</v>
      </c>
      <c r="J1059" t="s">
        <v>877</v>
      </c>
      <c r="K1059" t="s">
        <v>49</v>
      </c>
      <c r="L1059" s="4">
        <v>13.275355576494196</v>
      </c>
      <c r="M1059" s="1" t="s">
        <v>38</v>
      </c>
      <c r="N1059" s="11">
        <f t="shared" si="16"/>
        <v>5</v>
      </c>
    </row>
    <row r="1060" spans="1:14" ht="16" x14ac:dyDescent="0.2">
      <c r="A1060" s="3">
        <v>44357.748173532986</v>
      </c>
      <c r="B1060" s="1" t="s">
        <v>1456</v>
      </c>
      <c r="C1060" t="s">
        <v>188</v>
      </c>
      <c r="D1060">
        <v>10</v>
      </c>
      <c r="E1060">
        <v>368</v>
      </c>
      <c r="F1060">
        <v>92</v>
      </c>
      <c r="G1060">
        <v>3680</v>
      </c>
      <c r="H1060" s="4">
        <v>920</v>
      </c>
      <c r="I1060" s="4">
        <v>2760</v>
      </c>
      <c r="J1060" t="s">
        <v>323</v>
      </c>
      <c r="K1060" t="s">
        <v>53</v>
      </c>
      <c r="L1060" s="4">
        <v>11.221666113009938</v>
      </c>
      <c r="M1060" s="1" t="s">
        <v>34</v>
      </c>
      <c r="N1060" s="11">
        <f t="shared" si="16"/>
        <v>1</v>
      </c>
    </row>
    <row r="1061" spans="1:14" ht="16" x14ac:dyDescent="0.2">
      <c r="A1061" s="3">
        <v>45124.807120550679</v>
      </c>
      <c r="B1061" s="1" t="s">
        <v>1457</v>
      </c>
      <c r="C1061" t="s">
        <v>410</v>
      </c>
      <c r="D1061">
        <v>13</v>
      </c>
      <c r="E1061">
        <v>84</v>
      </c>
      <c r="F1061">
        <v>21</v>
      </c>
      <c r="G1061">
        <v>1092</v>
      </c>
      <c r="H1061" s="4">
        <v>273</v>
      </c>
      <c r="I1061" s="4">
        <v>819</v>
      </c>
      <c r="J1061" t="s">
        <v>1273</v>
      </c>
      <c r="K1061" t="s">
        <v>42</v>
      </c>
      <c r="L1061" s="4">
        <v>12.427459362224146</v>
      </c>
      <c r="M1061" s="1" t="s">
        <v>54</v>
      </c>
      <c r="N1061" s="11">
        <f t="shared" si="16"/>
        <v>10</v>
      </c>
    </row>
    <row r="1062" spans="1:14" ht="16" x14ac:dyDescent="0.2">
      <c r="A1062" s="3">
        <v>44330.944414073434</v>
      </c>
      <c r="B1062" s="1" t="s">
        <v>1458</v>
      </c>
      <c r="C1062" t="s">
        <v>779</v>
      </c>
      <c r="D1062">
        <v>6</v>
      </c>
      <c r="E1062">
        <v>120</v>
      </c>
      <c r="F1062">
        <v>30</v>
      </c>
      <c r="G1062">
        <v>720</v>
      </c>
      <c r="H1062" s="4">
        <v>180</v>
      </c>
      <c r="I1062" s="4">
        <v>540</v>
      </c>
      <c r="J1062" t="s">
        <v>244</v>
      </c>
      <c r="K1062" t="s">
        <v>86</v>
      </c>
      <c r="L1062" s="4">
        <v>15.458859683514467</v>
      </c>
      <c r="M1062" s="1" t="s">
        <v>54</v>
      </c>
      <c r="N1062" s="11">
        <f t="shared" si="16"/>
        <v>10</v>
      </c>
    </row>
    <row r="1063" spans="1:14" ht="16" x14ac:dyDescent="0.2">
      <c r="A1063" s="3">
        <v>44322.020298942312</v>
      </c>
      <c r="B1063" s="1" t="s">
        <v>1459</v>
      </c>
      <c r="C1063" t="s">
        <v>276</v>
      </c>
      <c r="D1063">
        <v>4</v>
      </c>
      <c r="E1063">
        <v>57</v>
      </c>
      <c r="F1063">
        <v>19</v>
      </c>
      <c r="G1063">
        <v>228</v>
      </c>
      <c r="H1063" s="4">
        <v>76</v>
      </c>
      <c r="I1063" s="4">
        <v>152</v>
      </c>
      <c r="J1063" t="s">
        <v>249</v>
      </c>
      <c r="K1063" t="s">
        <v>49</v>
      </c>
      <c r="L1063" s="4">
        <v>12.699346182652626</v>
      </c>
      <c r="M1063" s="1" t="s">
        <v>38</v>
      </c>
      <c r="N1063" s="11">
        <f t="shared" si="16"/>
        <v>5</v>
      </c>
    </row>
    <row r="1064" spans="1:14" ht="16" x14ac:dyDescent="0.2">
      <c r="A1064" s="3">
        <v>43947.162365935459</v>
      </c>
      <c r="B1064" s="1" t="s">
        <v>1460</v>
      </c>
      <c r="C1064" t="s">
        <v>431</v>
      </c>
      <c r="D1064">
        <v>7</v>
      </c>
      <c r="E1064">
        <v>356</v>
      </c>
      <c r="F1064">
        <v>89</v>
      </c>
      <c r="G1064">
        <v>2492</v>
      </c>
      <c r="H1064" s="4">
        <v>623</v>
      </c>
      <c r="I1064" s="4">
        <v>1869</v>
      </c>
      <c r="J1064" t="s">
        <v>79</v>
      </c>
      <c r="K1064" t="s">
        <v>64</v>
      </c>
      <c r="L1064" s="4">
        <v>12.163730387337393</v>
      </c>
      <c r="M1064" s="1" t="s">
        <v>54</v>
      </c>
      <c r="N1064" s="11">
        <f t="shared" si="16"/>
        <v>10</v>
      </c>
    </row>
    <row r="1065" spans="1:14" ht="16" x14ac:dyDescent="0.2">
      <c r="A1065" s="3">
        <v>44208.047013452109</v>
      </c>
      <c r="B1065" s="1" t="s">
        <v>1461</v>
      </c>
      <c r="C1065" t="s">
        <v>130</v>
      </c>
      <c r="D1065">
        <v>10</v>
      </c>
      <c r="E1065">
        <v>144</v>
      </c>
      <c r="F1065">
        <v>48</v>
      </c>
      <c r="G1065">
        <v>1440</v>
      </c>
      <c r="H1065" s="4">
        <v>480</v>
      </c>
      <c r="I1065" s="4">
        <v>960</v>
      </c>
      <c r="J1065" t="s">
        <v>517</v>
      </c>
      <c r="K1065" t="s">
        <v>86</v>
      </c>
      <c r="L1065" s="4">
        <v>13.57003172959007</v>
      </c>
      <c r="M1065" s="1" t="s">
        <v>54</v>
      </c>
      <c r="N1065" s="11">
        <f t="shared" si="16"/>
        <v>10</v>
      </c>
    </row>
    <row r="1066" spans="1:14" ht="16" x14ac:dyDescent="0.2">
      <c r="A1066" s="3">
        <v>44640.48350559656</v>
      </c>
      <c r="B1066" s="1" t="s">
        <v>1462</v>
      </c>
      <c r="C1066" t="s">
        <v>72</v>
      </c>
      <c r="D1066">
        <v>3</v>
      </c>
      <c r="E1066">
        <v>352</v>
      </c>
      <c r="F1066">
        <v>88</v>
      </c>
      <c r="G1066">
        <v>1056</v>
      </c>
      <c r="H1066" s="4">
        <v>264</v>
      </c>
      <c r="I1066" s="4">
        <v>792</v>
      </c>
      <c r="J1066" t="s">
        <v>341</v>
      </c>
      <c r="K1066" t="s">
        <v>64</v>
      </c>
      <c r="L1066" s="4">
        <v>10.816866337473218</v>
      </c>
      <c r="M1066" s="1" t="s">
        <v>38</v>
      </c>
      <c r="N1066" s="11">
        <f t="shared" si="16"/>
        <v>5</v>
      </c>
    </row>
    <row r="1067" spans="1:14" ht="16" x14ac:dyDescent="0.2">
      <c r="A1067" s="3">
        <v>44011.32557109413</v>
      </c>
      <c r="B1067" s="1" t="s">
        <v>1463</v>
      </c>
      <c r="C1067" t="s">
        <v>561</v>
      </c>
      <c r="D1067">
        <v>8</v>
      </c>
      <c r="E1067">
        <v>384</v>
      </c>
      <c r="F1067">
        <v>96</v>
      </c>
      <c r="G1067">
        <v>3072</v>
      </c>
      <c r="H1067" s="4">
        <v>768</v>
      </c>
      <c r="I1067" s="4">
        <v>2304</v>
      </c>
      <c r="J1067" t="s">
        <v>1136</v>
      </c>
      <c r="K1067" t="s">
        <v>49</v>
      </c>
      <c r="L1067" s="4">
        <v>14.129095302641241</v>
      </c>
      <c r="M1067" s="1" t="s">
        <v>38</v>
      </c>
      <c r="N1067" s="11">
        <f t="shared" si="16"/>
        <v>5</v>
      </c>
    </row>
    <row r="1068" spans="1:14" ht="16" x14ac:dyDescent="0.2">
      <c r="A1068" s="3">
        <v>43398.24476298385</v>
      </c>
      <c r="B1068" s="1" t="s">
        <v>1464</v>
      </c>
      <c r="C1068" t="s">
        <v>317</v>
      </c>
      <c r="D1068">
        <v>17</v>
      </c>
      <c r="E1068">
        <v>352</v>
      </c>
      <c r="F1068">
        <v>88</v>
      </c>
      <c r="G1068">
        <v>5984</v>
      </c>
      <c r="H1068" s="4">
        <v>1496</v>
      </c>
      <c r="I1068" s="4">
        <v>4488</v>
      </c>
      <c r="J1068" t="s">
        <v>416</v>
      </c>
      <c r="K1068" t="s">
        <v>58</v>
      </c>
      <c r="L1068" s="4">
        <v>12.399050786131125</v>
      </c>
      <c r="M1068" s="1" t="s">
        <v>54</v>
      </c>
      <c r="N1068" s="11">
        <f t="shared" si="16"/>
        <v>10</v>
      </c>
    </row>
    <row r="1069" spans="1:14" ht="16" x14ac:dyDescent="0.2">
      <c r="A1069" s="3">
        <v>43262.775374428333</v>
      </c>
      <c r="B1069" s="1" t="s">
        <v>1465</v>
      </c>
      <c r="C1069" t="s">
        <v>391</v>
      </c>
      <c r="D1069">
        <v>1</v>
      </c>
      <c r="E1069">
        <v>72</v>
      </c>
      <c r="F1069">
        <v>36</v>
      </c>
      <c r="G1069">
        <v>72</v>
      </c>
      <c r="H1069" s="4">
        <v>36</v>
      </c>
      <c r="I1069" s="4">
        <v>36</v>
      </c>
      <c r="J1069" t="s">
        <v>1085</v>
      </c>
      <c r="K1069" t="s">
        <v>49</v>
      </c>
      <c r="L1069" s="4">
        <v>10.818241047231139</v>
      </c>
      <c r="M1069" s="1" t="s">
        <v>34</v>
      </c>
      <c r="N1069" s="11">
        <f t="shared" si="16"/>
        <v>1</v>
      </c>
    </row>
    <row r="1070" spans="1:14" ht="16" x14ac:dyDescent="0.2">
      <c r="A1070" s="3">
        <v>43535.205073475416</v>
      </c>
      <c r="B1070" s="1" t="s">
        <v>403</v>
      </c>
      <c r="C1070" t="s">
        <v>81</v>
      </c>
      <c r="D1070">
        <v>15</v>
      </c>
      <c r="E1070">
        <v>166</v>
      </c>
      <c r="F1070">
        <v>83</v>
      </c>
      <c r="G1070">
        <v>2490</v>
      </c>
      <c r="H1070" s="4">
        <v>1245</v>
      </c>
      <c r="I1070" s="4">
        <v>1245</v>
      </c>
      <c r="J1070" t="s">
        <v>595</v>
      </c>
      <c r="K1070" t="s">
        <v>86</v>
      </c>
      <c r="L1070" s="4">
        <v>12.045339240427111</v>
      </c>
      <c r="M1070" s="1" t="s">
        <v>38</v>
      </c>
      <c r="N1070" s="11">
        <f t="shared" si="16"/>
        <v>5</v>
      </c>
    </row>
    <row r="1071" spans="1:14" ht="16" x14ac:dyDescent="0.2">
      <c r="A1071" s="3">
        <v>43572.750461716263</v>
      </c>
      <c r="B1071" s="1" t="s">
        <v>1466</v>
      </c>
      <c r="C1071" t="s">
        <v>317</v>
      </c>
      <c r="D1071">
        <v>3</v>
      </c>
      <c r="E1071">
        <v>352</v>
      </c>
      <c r="F1071">
        <v>88</v>
      </c>
      <c r="G1071">
        <v>1056</v>
      </c>
      <c r="H1071" s="4">
        <v>264</v>
      </c>
      <c r="I1071" s="4">
        <v>792</v>
      </c>
      <c r="J1071" t="s">
        <v>236</v>
      </c>
      <c r="K1071" t="s">
        <v>53</v>
      </c>
      <c r="L1071" s="4">
        <v>9.3014286057233697</v>
      </c>
      <c r="M1071" s="1" t="s">
        <v>38</v>
      </c>
      <c r="N1071" s="11">
        <f t="shared" si="16"/>
        <v>5</v>
      </c>
    </row>
    <row r="1072" spans="1:14" ht="16" x14ac:dyDescent="0.2">
      <c r="A1072" s="3">
        <v>43987.931137761327</v>
      </c>
      <c r="B1072" s="1" t="s">
        <v>1467</v>
      </c>
      <c r="C1072" t="s">
        <v>84</v>
      </c>
      <c r="D1072">
        <v>17</v>
      </c>
      <c r="E1072">
        <v>126</v>
      </c>
      <c r="F1072">
        <v>42</v>
      </c>
      <c r="G1072">
        <v>2142</v>
      </c>
      <c r="H1072" s="4">
        <v>714</v>
      </c>
      <c r="I1072" s="4">
        <v>1428</v>
      </c>
      <c r="J1072" t="s">
        <v>650</v>
      </c>
      <c r="K1072" t="s">
        <v>86</v>
      </c>
      <c r="L1072" s="4">
        <v>12.679725647708608</v>
      </c>
      <c r="M1072" s="1" t="s">
        <v>38</v>
      </c>
      <c r="N1072" s="11">
        <f t="shared" si="16"/>
        <v>5</v>
      </c>
    </row>
    <row r="1073" spans="1:14" ht="16" x14ac:dyDescent="0.2">
      <c r="A1073" s="3">
        <v>44013.604258337931</v>
      </c>
      <c r="B1073" s="1" t="s">
        <v>1468</v>
      </c>
      <c r="C1073" t="s">
        <v>257</v>
      </c>
      <c r="D1073">
        <v>16</v>
      </c>
      <c r="E1073">
        <v>160</v>
      </c>
      <c r="F1073">
        <v>80</v>
      </c>
      <c r="G1073">
        <v>2560</v>
      </c>
      <c r="H1073" s="4">
        <v>1280</v>
      </c>
      <c r="I1073" s="4">
        <v>1280</v>
      </c>
      <c r="J1073" t="s">
        <v>643</v>
      </c>
      <c r="K1073" t="s">
        <v>33</v>
      </c>
      <c r="L1073" s="4">
        <v>12.275875773922367</v>
      </c>
      <c r="M1073" s="1" t="s">
        <v>54</v>
      </c>
      <c r="N1073" s="11">
        <f t="shared" si="16"/>
        <v>10</v>
      </c>
    </row>
    <row r="1074" spans="1:14" ht="16" x14ac:dyDescent="0.2">
      <c r="A1074" s="3">
        <v>44278.868988162663</v>
      </c>
      <c r="B1074" s="1" t="s">
        <v>1469</v>
      </c>
      <c r="C1074" t="s">
        <v>160</v>
      </c>
      <c r="D1074">
        <v>14</v>
      </c>
      <c r="E1074">
        <v>132</v>
      </c>
      <c r="F1074">
        <v>33</v>
      </c>
      <c r="G1074">
        <v>1848</v>
      </c>
      <c r="H1074" s="4">
        <v>462</v>
      </c>
      <c r="I1074" s="4">
        <v>1386</v>
      </c>
      <c r="J1074" t="s">
        <v>506</v>
      </c>
      <c r="K1074" t="s">
        <v>33</v>
      </c>
      <c r="L1074" s="4">
        <v>13.917704159139552</v>
      </c>
      <c r="M1074" s="1" t="s">
        <v>38</v>
      </c>
      <c r="N1074" s="11">
        <f t="shared" si="16"/>
        <v>5</v>
      </c>
    </row>
    <row r="1075" spans="1:14" ht="16" x14ac:dyDescent="0.2">
      <c r="A1075" s="3">
        <v>44594.30847109067</v>
      </c>
      <c r="B1075" s="1" t="s">
        <v>1470</v>
      </c>
      <c r="C1075" t="s">
        <v>193</v>
      </c>
      <c r="D1075">
        <v>17</v>
      </c>
      <c r="E1075">
        <v>348</v>
      </c>
      <c r="F1075">
        <v>87</v>
      </c>
      <c r="G1075">
        <v>5916</v>
      </c>
      <c r="H1075" s="4">
        <v>1479</v>
      </c>
      <c r="I1075" s="4">
        <v>4437</v>
      </c>
      <c r="J1075" t="s">
        <v>307</v>
      </c>
      <c r="K1075" t="s">
        <v>53</v>
      </c>
      <c r="L1075" s="4">
        <v>7.0114620475168028</v>
      </c>
      <c r="M1075" s="1" t="s">
        <v>38</v>
      </c>
      <c r="N1075" s="11">
        <f t="shared" si="16"/>
        <v>5</v>
      </c>
    </row>
    <row r="1076" spans="1:14" ht="16" x14ac:dyDescent="0.2">
      <c r="A1076" s="3">
        <v>44596.68658138156</v>
      </c>
      <c r="B1076" s="1" t="s">
        <v>1471</v>
      </c>
      <c r="C1076" t="s">
        <v>101</v>
      </c>
      <c r="D1076">
        <v>18</v>
      </c>
      <c r="E1076">
        <v>50</v>
      </c>
      <c r="F1076">
        <v>25</v>
      </c>
      <c r="G1076">
        <v>900</v>
      </c>
      <c r="H1076" s="4">
        <v>450</v>
      </c>
      <c r="I1076" s="4">
        <v>450</v>
      </c>
      <c r="J1076" t="s">
        <v>361</v>
      </c>
      <c r="K1076" t="s">
        <v>64</v>
      </c>
      <c r="L1076" s="4">
        <v>13.092530646074781</v>
      </c>
      <c r="M1076" s="1" t="s">
        <v>38</v>
      </c>
      <c r="N1076" s="11">
        <f t="shared" si="16"/>
        <v>5</v>
      </c>
    </row>
    <row r="1077" spans="1:14" ht="16" x14ac:dyDescent="0.2">
      <c r="A1077" s="3">
        <v>43559.965636946938</v>
      </c>
      <c r="B1077" s="1" t="s">
        <v>1472</v>
      </c>
      <c r="C1077" t="s">
        <v>261</v>
      </c>
      <c r="D1077">
        <v>8</v>
      </c>
      <c r="E1077">
        <v>92</v>
      </c>
      <c r="F1077">
        <v>46</v>
      </c>
      <c r="G1077">
        <v>736</v>
      </c>
      <c r="H1077" s="4">
        <v>368</v>
      </c>
      <c r="I1077" s="4">
        <v>368</v>
      </c>
      <c r="J1077" t="s">
        <v>236</v>
      </c>
      <c r="K1077" t="s">
        <v>53</v>
      </c>
      <c r="L1077" s="4">
        <v>9.3014286057233697</v>
      </c>
      <c r="M1077" s="1" t="s">
        <v>34</v>
      </c>
      <c r="N1077" s="11">
        <f t="shared" si="16"/>
        <v>1</v>
      </c>
    </row>
    <row r="1078" spans="1:14" ht="16" x14ac:dyDescent="0.2">
      <c r="A1078" s="3">
        <v>43606.800292282023</v>
      </c>
      <c r="B1078" s="1" t="s">
        <v>1473</v>
      </c>
      <c r="C1078" t="s">
        <v>386</v>
      </c>
      <c r="D1078">
        <v>13</v>
      </c>
      <c r="E1078">
        <v>110</v>
      </c>
      <c r="F1078">
        <v>55</v>
      </c>
      <c r="G1078">
        <v>1430</v>
      </c>
      <c r="H1078" s="4">
        <v>715</v>
      </c>
      <c r="I1078" s="4">
        <v>715</v>
      </c>
      <c r="J1078" t="s">
        <v>933</v>
      </c>
      <c r="K1078" t="s">
        <v>58</v>
      </c>
      <c r="L1078" s="4">
        <v>11.130819205617987</v>
      </c>
      <c r="M1078" s="1" t="s">
        <v>34</v>
      </c>
      <c r="N1078" s="11">
        <f t="shared" si="16"/>
        <v>1</v>
      </c>
    </row>
    <row r="1079" spans="1:14" ht="16" x14ac:dyDescent="0.2">
      <c r="A1079" s="3">
        <v>43866.756943407941</v>
      </c>
      <c r="B1079" s="1" t="s">
        <v>1282</v>
      </c>
      <c r="C1079" t="s">
        <v>286</v>
      </c>
      <c r="D1079">
        <v>9</v>
      </c>
      <c r="E1079">
        <v>34</v>
      </c>
      <c r="F1079">
        <v>17</v>
      </c>
      <c r="G1079">
        <v>306</v>
      </c>
      <c r="H1079" s="4">
        <v>153</v>
      </c>
      <c r="I1079" s="4">
        <v>153</v>
      </c>
      <c r="J1079" t="s">
        <v>223</v>
      </c>
      <c r="K1079" t="s">
        <v>64</v>
      </c>
      <c r="L1079" s="4">
        <v>14.030594525378042</v>
      </c>
      <c r="M1079" s="1" t="s">
        <v>34</v>
      </c>
      <c r="N1079" s="11">
        <f t="shared" si="16"/>
        <v>1</v>
      </c>
    </row>
    <row r="1080" spans="1:14" ht="16" x14ac:dyDescent="0.2">
      <c r="A1080" s="3">
        <v>44477.900093320102</v>
      </c>
      <c r="B1080" s="1" t="s">
        <v>1474</v>
      </c>
      <c r="C1080" t="s">
        <v>218</v>
      </c>
      <c r="D1080">
        <v>15</v>
      </c>
      <c r="E1080">
        <v>264</v>
      </c>
      <c r="F1080">
        <v>88</v>
      </c>
      <c r="G1080">
        <v>3960</v>
      </c>
      <c r="H1080" s="4">
        <v>1320</v>
      </c>
      <c r="I1080" s="4">
        <v>2640</v>
      </c>
      <c r="J1080" t="s">
        <v>351</v>
      </c>
      <c r="K1080" t="s">
        <v>33</v>
      </c>
      <c r="L1080" s="4">
        <v>11.070908141213383</v>
      </c>
      <c r="M1080" s="1" t="s">
        <v>38</v>
      </c>
      <c r="N1080" s="11">
        <f t="shared" si="16"/>
        <v>5</v>
      </c>
    </row>
    <row r="1081" spans="1:14" ht="16" x14ac:dyDescent="0.2">
      <c r="A1081" s="3">
        <v>43329.775899677254</v>
      </c>
      <c r="B1081" s="1" t="s">
        <v>1475</v>
      </c>
      <c r="C1081" t="s">
        <v>36</v>
      </c>
      <c r="D1081">
        <v>17</v>
      </c>
      <c r="E1081">
        <v>102</v>
      </c>
      <c r="F1081">
        <v>51</v>
      </c>
      <c r="G1081">
        <v>1734</v>
      </c>
      <c r="H1081" s="4">
        <v>867</v>
      </c>
      <c r="I1081" s="4">
        <v>867</v>
      </c>
      <c r="J1081" t="s">
        <v>1157</v>
      </c>
      <c r="K1081" t="s">
        <v>42</v>
      </c>
      <c r="L1081" s="4">
        <v>10.517826055804084</v>
      </c>
      <c r="M1081" s="1" t="s">
        <v>38</v>
      </c>
      <c r="N1081" s="11">
        <f t="shared" si="16"/>
        <v>5</v>
      </c>
    </row>
    <row r="1082" spans="1:14" ht="16" x14ac:dyDescent="0.2">
      <c r="A1082" s="3">
        <v>43362.055520505448</v>
      </c>
      <c r="B1082" s="1" t="s">
        <v>1476</v>
      </c>
      <c r="C1082" t="s">
        <v>547</v>
      </c>
      <c r="D1082">
        <v>13</v>
      </c>
      <c r="E1082">
        <v>300</v>
      </c>
      <c r="F1082">
        <v>75</v>
      </c>
      <c r="G1082">
        <v>3900</v>
      </c>
      <c r="H1082" s="4">
        <v>975</v>
      </c>
      <c r="I1082" s="4">
        <v>2925</v>
      </c>
      <c r="J1082" t="s">
        <v>274</v>
      </c>
      <c r="K1082" t="s">
        <v>86</v>
      </c>
      <c r="L1082" s="4">
        <v>9.821882845934784</v>
      </c>
      <c r="M1082" s="1" t="s">
        <v>54</v>
      </c>
      <c r="N1082" s="11">
        <f t="shared" si="16"/>
        <v>10</v>
      </c>
    </row>
    <row r="1083" spans="1:14" ht="16" x14ac:dyDescent="0.2">
      <c r="A1083" s="3">
        <v>43550.412260368728</v>
      </c>
      <c r="B1083" s="1" t="s">
        <v>1477</v>
      </c>
      <c r="C1083" t="s">
        <v>259</v>
      </c>
      <c r="D1083">
        <v>10</v>
      </c>
      <c r="E1083">
        <v>270</v>
      </c>
      <c r="F1083">
        <v>90</v>
      </c>
      <c r="G1083">
        <v>2700</v>
      </c>
      <c r="H1083" s="4">
        <v>900</v>
      </c>
      <c r="I1083" s="4">
        <v>1800</v>
      </c>
      <c r="J1083" t="s">
        <v>228</v>
      </c>
      <c r="K1083" t="s">
        <v>53</v>
      </c>
      <c r="L1083" s="4">
        <v>14.377134310720955</v>
      </c>
      <c r="M1083" s="1" t="s">
        <v>38</v>
      </c>
      <c r="N1083" s="11">
        <f t="shared" si="16"/>
        <v>5</v>
      </c>
    </row>
    <row r="1084" spans="1:14" ht="16" x14ac:dyDescent="0.2">
      <c r="A1084" s="3">
        <v>44180.162595211936</v>
      </c>
      <c r="B1084" s="1" t="s">
        <v>1478</v>
      </c>
      <c r="C1084" t="s">
        <v>370</v>
      </c>
      <c r="D1084">
        <v>16</v>
      </c>
      <c r="E1084">
        <v>144</v>
      </c>
      <c r="F1084">
        <v>36</v>
      </c>
      <c r="G1084">
        <v>2304</v>
      </c>
      <c r="H1084" s="4">
        <v>576</v>
      </c>
      <c r="I1084" s="4">
        <v>1728</v>
      </c>
      <c r="J1084" t="s">
        <v>877</v>
      </c>
      <c r="K1084" t="s">
        <v>49</v>
      </c>
      <c r="L1084" s="4">
        <v>13.275355576494196</v>
      </c>
      <c r="M1084" s="1" t="s">
        <v>34</v>
      </c>
      <c r="N1084" s="11">
        <f t="shared" si="16"/>
        <v>1</v>
      </c>
    </row>
    <row r="1085" spans="1:14" ht="16" x14ac:dyDescent="0.2">
      <c r="A1085" s="3">
        <v>43872.766819425306</v>
      </c>
      <c r="B1085" s="1" t="s">
        <v>1479</v>
      </c>
      <c r="C1085" t="s">
        <v>215</v>
      </c>
      <c r="D1085">
        <v>13</v>
      </c>
      <c r="E1085">
        <v>176</v>
      </c>
      <c r="F1085">
        <v>88</v>
      </c>
      <c r="G1085">
        <v>2288</v>
      </c>
      <c r="H1085" s="4">
        <v>1144</v>
      </c>
      <c r="I1085" s="4">
        <v>1144</v>
      </c>
      <c r="J1085" t="s">
        <v>232</v>
      </c>
      <c r="K1085" t="s">
        <v>86</v>
      </c>
      <c r="L1085" s="4">
        <v>11.346510807401776</v>
      </c>
      <c r="M1085" s="1" t="s">
        <v>38</v>
      </c>
      <c r="N1085" s="11">
        <f t="shared" si="16"/>
        <v>5</v>
      </c>
    </row>
    <row r="1086" spans="1:14" ht="16" x14ac:dyDescent="0.2">
      <c r="A1086" s="3">
        <v>43803.683710707046</v>
      </c>
      <c r="B1086" s="1" t="s">
        <v>1480</v>
      </c>
      <c r="C1086" t="s">
        <v>163</v>
      </c>
      <c r="D1086">
        <v>18</v>
      </c>
      <c r="E1086">
        <v>108</v>
      </c>
      <c r="F1086">
        <v>36</v>
      </c>
      <c r="G1086">
        <v>1944</v>
      </c>
      <c r="H1086" s="4">
        <v>648</v>
      </c>
      <c r="I1086" s="4">
        <v>1296</v>
      </c>
      <c r="J1086" t="s">
        <v>421</v>
      </c>
      <c r="K1086" t="s">
        <v>53</v>
      </c>
      <c r="L1086" s="4">
        <v>10.96230865592911</v>
      </c>
      <c r="M1086" s="1" t="s">
        <v>38</v>
      </c>
      <c r="N1086" s="11">
        <f t="shared" si="16"/>
        <v>5</v>
      </c>
    </row>
    <row r="1087" spans="1:14" ht="16" x14ac:dyDescent="0.2">
      <c r="A1087" s="3">
        <v>44309.503503992244</v>
      </c>
      <c r="B1087" s="1" t="s">
        <v>1481</v>
      </c>
      <c r="C1087" t="s">
        <v>56</v>
      </c>
      <c r="D1087">
        <v>12</v>
      </c>
      <c r="E1087">
        <v>38</v>
      </c>
      <c r="F1087">
        <v>19</v>
      </c>
      <c r="G1087">
        <v>456</v>
      </c>
      <c r="H1087" s="4">
        <v>228</v>
      </c>
      <c r="I1087" s="4">
        <v>228</v>
      </c>
      <c r="J1087" t="s">
        <v>315</v>
      </c>
      <c r="K1087" t="s">
        <v>42</v>
      </c>
      <c r="L1087" s="4">
        <v>10.966283117837653</v>
      </c>
      <c r="M1087" s="1" t="s">
        <v>54</v>
      </c>
      <c r="N1087" s="11">
        <f t="shared" si="16"/>
        <v>10</v>
      </c>
    </row>
    <row r="1088" spans="1:14" ht="16" x14ac:dyDescent="0.2">
      <c r="A1088" s="3">
        <v>44531.397225935543</v>
      </c>
      <c r="B1088" s="1" t="s">
        <v>1482</v>
      </c>
      <c r="C1088" t="s">
        <v>62</v>
      </c>
      <c r="D1088">
        <v>13</v>
      </c>
      <c r="E1088">
        <v>80</v>
      </c>
      <c r="F1088">
        <v>20</v>
      </c>
      <c r="G1088">
        <v>1040</v>
      </c>
      <c r="H1088" s="4">
        <v>260</v>
      </c>
      <c r="I1088" s="4">
        <v>780</v>
      </c>
      <c r="J1088" t="s">
        <v>440</v>
      </c>
      <c r="K1088" t="s">
        <v>33</v>
      </c>
      <c r="L1088" s="4">
        <v>10.408704992688252</v>
      </c>
      <c r="M1088" s="1" t="s">
        <v>38</v>
      </c>
      <c r="N1088" s="11">
        <f t="shared" si="16"/>
        <v>5</v>
      </c>
    </row>
    <row r="1089" spans="1:14" ht="16" x14ac:dyDescent="0.2">
      <c r="A1089" s="3">
        <v>44013.375722849101</v>
      </c>
      <c r="B1089" s="1" t="s">
        <v>1483</v>
      </c>
      <c r="C1089" t="s">
        <v>36</v>
      </c>
      <c r="D1089">
        <v>7</v>
      </c>
      <c r="E1089">
        <v>102</v>
      </c>
      <c r="F1089">
        <v>51</v>
      </c>
      <c r="G1089">
        <v>714</v>
      </c>
      <c r="H1089" s="4">
        <v>357</v>
      </c>
      <c r="I1089" s="4">
        <v>357</v>
      </c>
      <c r="J1089" t="s">
        <v>903</v>
      </c>
      <c r="K1089" t="s">
        <v>58</v>
      </c>
      <c r="L1089" s="4">
        <v>11.952554704438674</v>
      </c>
      <c r="M1089" s="1" t="s">
        <v>38</v>
      </c>
      <c r="N1089" s="11">
        <f t="shared" si="16"/>
        <v>5</v>
      </c>
    </row>
    <row r="1090" spans="1:14" ht="16" x14ac:dyDescent="0.2">
      <c r="A1090" s="3">
        <v>44148.530868711729</v>
      </c>
      <c r="B1090" s="1" t="s">
        <v>1484</v>
      </c>
      <c r="C1090" t="s">
        <v>113</v>
      </c>
      <c r="D1090">
        <v>20</v>
      </c>
      <c r="E1090">
        <v>66</v>
      </c>
      <c r="F1090">
        <v>33</v>
      </c>
      <c r="G1090">
        <v>1320</v>
      </c>
      <c r="H1090" s="4">
        <v>660</v>
      </c>
      <c r="I1090" s="4">
        <v>660</v>
      </c>
      <c r="J1090" t="s">
        <v>264</v>
      </c>
      <c r="K1090" t="s">
        <v>42</v>
      </c>
      <c r="L1090" s="4">
        <v>12.514998090845811</v>
      </c>
      <c r="M1090" s="1" t="s">
        <v>34</v>
      </c>
      <c r="N1090" s="11">
        <f t="shared" si="16"/>
        <v>1</v>
      </c>
    </row>
    <row r="1091" spans="1:14" ht="16" x14ac:dyDescent="0.2">
      <c r="A1091" s="3">
        <v>44394.2727986014</v>
      </c>
      <c r="B1091" s="1" t="s">
        <v>1143</v>
      </c>
      <c r="C1091" t="s">
        <v>145</v>
      </c>
      <c r="D1091">
        <v>17</v>
      </c>
      <c r="E1091">
        <v>207</v>
      </c>
      <c r="F1091">
        <v>69</v>
      </c>
      <c r="G1091">
        <v>3519</v>
      </c>
      <c r="H1091" s="4">
        <v>1173</v>
      </c>
      <c r="I1091" s="4">
        <v>2346</v>
      </c>
      <c r="J1091" t="s">
        <v>45</v>
      </c>
      <c r="K1091" t="s">
        <v>42</v>
      </c>
      <c r="L1091" s="4">
        <v>10.06992029407844</v>
      </c>
      <c r="M1091" s="1" t="s">
        <v>38</v>
      </c>
      <c r="N1091" s="11">
        <f t="shared" ref="N1091:N1154" si="17">+IF(M1091="Dissatisfied",1,IF(M1091="Satisfied",10,5))</f>
        <v>5</v>
      </c>
    </row>
    <row r="1092" spans="1:14" ht="16" x14ac:dyDescent="0.2">
      <c r="A1092" s="3">
        <v>43988.741579615926</v>
      </c>
      <c r="B1092" s="1" t="s">
        <v>1485</v>
      </c>
      <c r="C1092" t="s">
        <v>317</v>
      </c>
      <c r="D1092">
        <v>7</v>
      </c>
      <c r="E1092">
        <v>352</v>
      </c>
      <c r="F1092">
        <v>88</v>
      </c>
      <c r="G1092">
        <v>2464</v>
      </c>
      <c r="H1092" s="4">
        <v>616</v>
      </c>
      <c r="I1092" s="4">
        <v>1848</v>
      </c>
      <c r="J1092" t="s">
        <v>678</v>
      </c>
      <c r="K1092" t="s">
        <v>86</v>
      </c>
      <c r="L1092" s="4">
        <v>12.460490918487697</v>
      </c>
      <c r="M1092" s="1" t="s">
        <v>38</v>
      </c>
      <c r="N1092" s="11">
        <f t="shared" si="17"/>
        <v>5</v>
      </c>
    </row>
    <row r="1093" spans="1:14" ht="16" x14ac:dyDescent="0.2">
      <c r="A1093" s="3">
        <v>43549.760762098085</v>
      </c>
      <c r="B1093" s="1" t="s">
        <v>1486</v>
      </c>
      <c r="C1093" t="s">
        <v>320</v>
      </c>
      <c r="D1093">
        <v>2</v>
      </c>
      <c r="E1093">
        <v>280</v>
      </c>
      <c r="F1093">
        <v>70</v>
      </c>
      <c r="G1093">
        <v>560</v>
      </c>
      <c r="H1093" s="4">
        <v>140</v>
      </c>
      <c r="I1093" s="4">
        <v>420</v>
      </c>
      <c r="J1093" t="s">
        <v>137</v>
      </c>
      <c r="K1093" t="s">
        <v>42</v>
      </c>
      <c r="L1093" s="4">
        <v>11.410471033945758</v>
      </c>
      <c r="M1093" s="1" t="s">
        <v>38</v>
      </c>
      <c r="N1093" s="11">
        <f t="shared" si="17"/>
        <v>5</v>
      </c>
    </row>
    <row r="1094" spans="1:14" ht="16" x14ac:dyDescent="0.2">
      <c r="A1094" s="3">
        <v>45162.107201395695</v>
      </c>
      <c r="B1094" s="1" t="s">
        <v>1487</v>
      </c>
      <c r="C1094" t="s">
        <v>286</v>
      </c>
      <c r="D1094">
        <v>9</v>
      </c>
      <c r="E1094">
        <v>34</v>
      </c>
      <c r="F1094">
        <v>17</v>
      </c>
      <c r="G1094">
        <v>306</v>
      </c>
      <c r="H1094" s="4">
        <v>153</v>
      </c>
      <c r="I1094" s="4">
        <v>153</v>
      </c>
      <c r="J1094" t="s">
        <v>176</v>
      </c>
      <c r="K1094" t="s">
        <v>64</v>
      </c>
      <c r="L1094" s="4">
        <v>12.1334991293512</v>
      </c>
      <c r="M1094" s="1" t="s">
        <v>38</v>
      </c>
      <c r="N1094" s="11">
        <f t="shared" si="17"/>
        <v>5</v>
      </c>
    </row>
    <row r="1095" spans="1:14" ht="16" x14ac:dyDescent="0.2">
      <c r="A1095" s="3">
        <v>43474.698311987668</v>
      </c>
      <c r="B1095" s="1" t="s">
        <v>1488</v>
      </c>
      <c r="C1095" t="s">
        <v>193</v>
      </c>
      <c r="D1095">
        <v>10</v>
      </c>
      <c r="E1095">
        <v>348</v>
      </c>
      <c r="F1095">
        <v>87</v>
      </c>
      <c r="G1095">
        <v>3480</v>
      </c>
      <c r="H1095" s="4">
        <v>870</v>
      </c>
      <c r="I1095" s="4">
        <v>2610</v>
      </c>
      <c r="J1095" t="s">
        <v>495</v>
      </c>
      <c r="K1095" t="s">
        <v>64</v>
      </c>
      <c r="L1095" s="4">
        <v>8.8878868765808274</v>
      </c>
      <c r="M1095" s="1" t="s">
        <v>38</v>
      </c>
      <c r="N1095" s="11">
        <f t="shared" si="17"/>
        <v>5</v>
      </c>
    </row>
    <row r="1096" spans="1:14" ht="16" x14ac:dyDescent="0.2">
      <c r="A1096" s="3">
        <v>43796.017964698214</v>
      </c>
      <c r="B1096" s="1" t="s">
        <v>1489</v>
      </c>
      <c r="C1096" t="s">
        <v>317</v>
      </c>
      <c r="D1096">
        <v>16</v>
      </c>
      <c r="E1096">
        <v>352</v>
      </c>
      <c r="F1096">
        <v>88</v>
      </c>
      <c r="G1096">
        <v>5632</v>
      </c>
      <c r="H1096" s="4">
        <v>1408</v>
      </c>
      <c r="I1096" s="4">
        <v>4224</v>
      </c>
      <c r="J1096" t="s">
        <v>63</v>
      </c>
      <c r="K1096" t="s">
        <v>64</v>
      </c>
      <c r="L1096" s="4">
        <v>10.988762477277161</v>
      </c>
      <c r="M1096" s="1" t="s">
        <v>34</v>
      </c>
      <c r="N1096" s="11">
        <f t="shared" si="17"/>
        <v>1</v>
      </c>
    </row>
    <row r="1097" spans="1:14" ht="16" x14ac:dyDescent="0.2">
      <c r="A1097" s="3">
        <v>44321.33719367718</v>
      </c>
      <c r="B1097" s="1" t="s">
        <v>1490</v>
      </c>
      <c r="C1097" t="s">
        <v>340</v>
      </c>
      <c r="D1097">
        <v>11</v>
      </c>
      <c r="E1097">
        <v>180</v>
      </c>
      <c r="F1097">
        <v>45</v>
      </c>
      <c r="G1097">
        <v>1980</v>
      </c>
      <c r="H1097" s="4">
        <v>495</v>
      </c>
      <c r="I1097" s="4">
        <v>1485</v>
      </c>
      <c r="J1097" t="s">
        <v>202</v>
      </c>
      <c r="K1097" t="s">
        <v>58</v>
      </c>
      <c r="L1097" s="4">
        <v>13.765798454641494</v>
      </c>
      <c r="M1097" s="1" t="s">
        <v>34</v>
      </c>
      <c r="N1097" s="11">
        <f t="shared" si="17"/>
        <v>1</v>
      </c>
    </row>
    <row r="1098" spans="1:14" ht="16" x14ac:dyDescent="0.2">
      <c r="A1098" s="3">
        <v>43712.005265200321</v>
      </c>
      <c r="B1098" s="1" t="s">
        <v>1491</v>
      </c>
      <c r="C1098" t="s">
        <v>201</v>
      </c>
      <c r="D1098">
        <v>13</v>
      </c>
      <c r="E1098">
        <v>30</v>
      </c>
      <c r="F1098">
        <v>15</v>
      </c>
      <c r="G1098">
        <v>390</v>
      </c>
      <c r="H1098" s="4">
        <v>195</v>
      </c>
      <c r="I1098" s="4">
        <v>195</v>
      </c>
      <c r="J1098" t="s">
        <v>376</v>
      </c>
      <c r="K1098" t="s">
        <v>86</v>
      </c>
      <c r="L1098" s="4">
        <v>11.655355879643379</v>
      </c>
      <c r="M1098" s="1" t="s">
        <v>38</v>
      </c>
      <c r="N1098" s="11">
        <f t="shared" si="17"/>
        <v>5</v>
      </c>
    </row>
    <row r="1099" spans="1:14" ht="16" x14ac:dyDescent="0.2">
      <c r="A1099" s="3">
        <v>44935.832862759577</v>
      </c>
      <c r="B1099" s="1" t="s">
        <v>1492</v>
      </c>
      <c r="C1099" t="s">
        <v>93</v>
      </c>
      <c r="D1099">
        <v>11</v>
      </c>
      <c r="E1099">
        <v>204</v>
      </c>
      <c r="F1099">
        <v>51</v>
      </c>
      <c r="G1099">
        <v>2244</v>
      </c>
      <c r="H1099" s="4">
        <v>561</v>
      </c>
      <c r="I1099" s="4">
        <v>1683</v>
      </c>
      <c r="J1099" t="s">
        <v>295</v>
      </c>
      <c r="K1099" t="s">
        <v>42</v>
      </c>
      <c r="L1099" s="4">
        <v>14.906846445071711</v>
      </c>
      <c r="M1099" s="1" t="s">
        <v>34</v>
      </c>
      <c r="N1099" s="11">
        <f t="shared" si="17"/>
        <v>1</v>
      </c>
    </row>
    <row r="1100" spans="1:14" ht="16" x14ac:dyDescent="0.2">
      <c r="A1100" s="3">
        <v>43721.903190746074</v>
      </c>
      <c r="B1100" s="1" t="s">
        <v>1493</v>
      </c>
      <c r="C1100" t="s">
        <v>204</v>
      </c>
      <c r="D1100">
        <v>19</v>
      </c>
      <c r="E1100">
        <v>57</v>
      </c>
      <c r="F1100">
        <v>19</v>
      </c>
      <c r="G1100">
        <v>1083</v>
      </c>
      <c r="H1100" s="4">
        <v>361</v>
      </c>
      <c r="I1100" s="4">
        <v>722</v>
      </c>
      <c r="J1100" t="s">
        <v>707</v>
      </c>
      <c r="K1100" t="s">
        <v>49</v>
      </c>
      <c r="L1100" s="4">
        <v>11.779256317174871</v>
      </c>
      <c r="M1100" s="1" t="s">
        <v>54</v>
      </c>
      <c r="N1100" s="11">
        <f t="shared" si="17"/>
        <v>10</v>
      </c>
    </row>
    <row r="1101" spans="1:14" ht="16" x14ac:dyDescent="0.2">
      <c r="A1101" s="3">
        <v>43590.001840655874</v>
      </c>
      <c r="B1101" s="1" t="s">
        <v>1494</v>
      </c>
      <c r="C1101" t="s">
        <v>386</v>
      </c>
      <c r="D1101">
        <v>11</v>
      </c>
      <c r="E1101">
        <v>110</v>
      </c>
      <c r="F1101">
        <v>55</v>
      </c>
      <c r="G1101">
        <v>1210</v>
      </c>
      <c r="H1101" s="4">
        <v>605</v>
      </c>
      <c r="I1101" s="4">
        <v>605</v>
      </c>
      <c r="J1101" t="s">
        <v>221</v>
      </c>
      <c r="K1101" t="s">
        <v>49</v>
      </c>
      <c r="L1101" s="4">
        <v>12.396052160428608</v>
      </c>
      <c r="M1101" s="1" t="s">
        <v>34</v>
      </c>
      <c r="N1101" s="11">
        <f t="shared" si="17"/>
        <v>1</v>
      </c>
    </row>
    <row r="1102" spans="1:14" ht="16" x14ac:dyDescent="0.2">
      <c r="A1102" s="3">
        <v>43644.492392254331</v>
      </c>
      <c r="B1102" s="1" t="s">
        <v>242</v>
      </c>
      <c r="C1102" t="s">
        <v>252</v>
      </c>
      <c r="D1102">
        <v>9</v>
      </c>
      <c r="E1102">
        <v>252</v>
      </c>
      <c r="F1102">
        <v>63</v>
      </c>
      <c r="G1102">
        <v>2268</v>
      </c>
      <c r="H1102" s="4">
        <v>567</v>
      </c>
      <c r="I1102" s="4">
        <v>1701</v>
      </c>
      <c r="J1102" t="s">
        <v>1022</v>
      </c>
      <c r="K1102" t="s">
        <v>49</v>
      </c>
      <c r="L1102" s="4">
        <v>15.268550004010105</v>
      </c>
      <c r="M1102" s="1" t="s">
        <v>54</v>
      </c>
      <c r="N1102" s="11">
        <f t="shared" si="17"/>
        <v>10</v>
      </c>
    </row>
    <row r="1103" spans="1:14" ht="16" x14ac:dyDescent="0.2">
      <c r="A1103" s="3">
        <v>43974.298909647638</v>
      </c>
      <c r="B1103" s="1" t="s">
        <v>1133</v>
      </c>
      <c r="C1103" t="s">
        <v>40</v>
      </c>
      <c r="D1103">
        <v>13</v>
      </c>
      <c r="E1103">
        <v>46</v>
      </c>
      <c r="F1103">
        <v>23</v>
      </c>
      <c r="G1103">
        <v>598</v>
      </c>
      <c r="H1103" s="4">
        <v>299</v>
      </c>
      <c r="I1103" s="4">
        <v>299</v>
      </c>
      <c r="J1103" t="s">
        <v>79</v>
      </c>
      <c r="K1103" t="s">
        <v>64</v>
      </c>
      <c r="L1103" s="4">
        <v>12.163730387337393</v>
      </c>
      <c r="M1103" s="1" t="s">
        <v>34</v>
      </c>
      <c r="N1103" s="11">
        <f t="shared" si="17"/>
        <v>1</v>
      </c>
    </row>
    <row r="1104" spans="1:14" ht="16" x14ac:dyDescent="0.2">
      <c r="A1104" s="3">
        <v>43647.644811396342</v>
      </c>
      <c r="B1104" s="1" t="s">
        <v>1495</v>
      </c>
      <c r="C1104" t="s">
        <v>218</v>
      </c>
      <c r="D1104">
        <v>3</v>
      </c>
      <c r="E1104">
        <v>264</v>
      </c>
      <c r="F1104">
        <v>88</v>
      </c>
      <c r="G1104">
        <v>792</v>
      </c>
      <c r="H1104" s="4">
        <v>264</v>
      </c>
      <c r="I1104" s="4">
        <v>528</v>
      </c>
      <c r="J1104" t="s">
        <v>660</v>
      </c>
      <c r="K1104" t="s">
        <v>86</v>
      </c>
      <c r="L1104" s="4">
        <v>10.163794912095831</v>
      </c>
      <c r="M1104" s="1" t="s">
        <v>38</v>
      </c>
      <c r="N1104" s="11">
        <f t="shared" si="17"/>
        <v>5</v>
      </c>
    </row>
    <row r="1105" spans="1:14" ht="16" x14ac:dyDescent="0.2">
      <c r="A1105" s="3">
        <v>43365.558750921897</v>
      </c>
      <c r="B1105" s="1" t="s">
        <v>1496</v>
      </c>
      <c r="C1105" t="s">
        <v>120</v>
      </c>
      <c r="D1105">
        <v>1</v>
      </c>
      <c r="E1105">
        <v>252</v>
      </c>
      <c r="F1105">
        <v>63</v>
      </c>
      <c r="G1105">
        <v>252</v>
      </c>
      <c r="H1105" s="4">
        <v>63</v>
      </c>
      <c r="I1105" s="4">
        <v>189</v>
      </c>
      <c r="J1105" t="s">
        <v>123</v>
      </c>
      <c r="K1105" t="s">
        <v>53</v>
      </c>
      <c r="L1105" s="4">
        <v>10.42743035829395</v>
      </c>
      <c r="M1105" s="1" t="s">
        <v>38</v>
      </c>
      <c r="N1105" s="11">
        <f t="shared" si="17"/>
        <v>5</v>
      </c>
    </row>
    <row r="1106" spans="1:14" ht="16" x14ac:dyDescent="0.2">
      <c r="A1106" s="3">
        <v>43069.717140807108</v>
      </c>
      <c r="B1106" s="1" t="s">
        <v>1497</v>
      </c>
      <c r="C1106" t="s">
        <v>283</v>
      </c>
      <c r="D1106">
        <v>13</v>
      </c>
      <c r="E1106">
        <v>144</v>
      </c>
      <c r="F1106">
        <v>36</v>
      </c>
      <c r="G1106">
        <v>1872</v>
      </c>
      <c r="H1106" s="4">
        <v>468</v>
      </c>
      <c r="I1106" s="4">
        <v>1404</v>
      </c>
      <c r="J1106" t="s">
        <v>681</v>
      </c>
      <c r="K1106" t="s">
        <v>86</v>
      </c>
      <c r="L1106" s="4">
        <v>8.1628930629234038</v>
      </c>
      <c r="M1106" s="1" t="s">
        <v>34</v>
      </c>
      <c r="N1106" s="11">
        <f t="shared" si="17"/>
        <v>1</v>
      </c>
    </row>
    <row r="1107" spans="1:14" ht="16" x14ac:dyDescent="0.2">
      <c r="A1107" s="3">
        <v>43971.541962585288</v>
      </c>
      <c r="B1107" s="1" t="s">
        <v>519</v>
      </c>
      <c r="C1107" t="s">
        <v>40</v>
      </c>
      <c r="D1107">
        <v>10</v>
      </c>
      <c r="E1107">
        <v>46</v>
      </c>
      <c r="F1107">
        <v>23</v>
      </c>
      <c r="G1107">
        <v>460</v>
      </c>
      <c r="H1107" s="4">
        <v>230</v>
      </c>
      <c r="I1107" s="4">
        <v>230</v>
      </c>
      <c r="J1107" t="s">
        <v>665</v>
      </c>
      <c r="K1107" t="s">
        <v>33</v>
      </c>
      <c r="L1107" s="4">
        <v>6.9183250411917196</v>
      </c>
      <c r="M1107" s="1" t="s">
        <v>38</v>
      </c>
      <c r="N1107" s="11">
        <f t="shared" si="17"/>
        <v>5</v>
      </c>
    </row>
    <row r="1108" spans="1:14" ht="16" x14ac:dyDescent="0.2">
      <c r="A1108" s="3">
        <v>43847.447947648368</v>
      </c>
      <c r="B1108" s="1" t="s">
        <v>1357</v>
      </c>
      <c r="C1108" t="s">
        <v>410</v>
      </c>
      <c r="D1108">
        <v>8</v>
      </c>
      <c r="E1108">
        <v>84</v>
      </c>
      <c r="F1108">
        <v>21</v>
      </c>
      <c r="G1108">
        <v>672</v>
      </c>
      <c r="H1108" s="4">
        <v>168</v>
      </c>
      <c r="I1108" s="4">
        <v>504</v>
      </c>
      <c r="J1108" t="s">
        <v>161</v>
      </c>
      <c r="K1108" t="s">
        <v>33</v>
      </c>
      <c r="L1108" s="4">
        <v>14.370283356317486</v>
      </c>
      <c r="M1108" s="1" t="s">
        <v>54</v>
      </c>
      <c r="N1108" s="11">
        <f t="shared" si="17"/>
        <v>10</v>
      </c>
    </row>
    <row r="1109" spans="1:14" ht="16" x14ac:dyDescent="0.2">
      <c r="A1109" s="3">
        <v>44751.990228663475</v>
      </c>
      <c r="B1109" s="1" t="s">
        <v>1498</v>
      </c>
      <c r="C1109" t="s">
        <v>78</v>
      </c>
      <c r="D1109">
        <v>4</v>
      </c>
      <c r="E1109">
        <v>94</v>
      </c>
      <c r="F1109">
        <v>47</v>
      </c>
      <c r="G1109">
        <v>376</v>
      </c>
      <c r="H1109" s="4">
        <v>188</v>
      </c>
      <c r="I1109" s="4">
        <v>188</v>
      </c>
      <c r="J1109" t="s">
        <v>397</v>
      </c>
      <c r="K1109" t="s">
        <v>49</v>
      </c>
      <c r="L1109" s="4">
        <v>9.4239783062860578</v>
      </c>
      <c r="M1109" s="1" t="s">
        <v>38</v>
      </c>
      <c r="N1109" s="11">
        <f t="shared" si="17"/>
        <v>5</v>
      </c>
    </row>
    <row r="1110" spans="1:14" ht="16" x14ac:dyDescent="0.2">
      <c r="A1110" s="3">
        <v>45302.250170749641</v>
      </c>
      <c r="B1110" s="1" t="s">
        <v>1499</v>
      </c>
      <c r="C1110" t="s">
        <v>78</v>
      </c>
      <c r="D1110">
        <v>6</v>
      </c>
      <c r="E1110">
        <v>94</v>
      </c>
      <c r="F1110">
        <v>47</v>
      </c>
      <c r="G1110">
        <v>564</v>
      </c>
      <c r="H1110" s="4">
        <v>282</v>
      </c>
      <c r="I1110" s="4">
        <v>282</v>
      </c>
      <c r="J1110" t="s">
        <v>804</v>
      </c>
      <c r="K1110" t="s">
        <v>53</v>
      </c>
      <c r="L1110" s="4">
        <v>9.4608554813364627</v>
      </c>
      <c r="M1110" s="1" t="s">
        <v>38</v>
      </c>
      <c r="N1110" s="11">
        <f t="shared" si="17"/>
        <v>5</v>
      </c>
    </row>
    <row r="1111" spans="1:14" ht="16" x14ac:dyDescent="0.2">
      <c r="A1111" s="3">
        <v>44297.397315708244</v>
      </c>
      <c r="B1111" s="1" t="s">
        <v>1500</v>
      </c>
      <c r="C1111" t="s">
        <v>130</v>
      </c>
      <c r="D1111">
        <v>12</v>
      </c>
      <c r="E1111">
        <v>144</v>
      </c>
      <c r="F1111">
        <v>48</v>
      </c>
      <c r="G1111">
        <v>1728</v>
      </c>
      <c r="H1111" s="4">
        <v>576</v>
      </c>
      <c r="I1111" s="4">
        <v>1152</v>
      </c>
      <c r="J1111" t="s">
        <v>681</v>
      </c>
      <c r="K1111" t="s">
        <v>86</v>
      </c>
      <c r="L1111" s="4">
        <v>8.1628930629234038</v>
      </c>
      <c r="M1111" s="1" t="s">
        <v>54</v>
      </c>
      <c r="N1111" s="11">
        <f t="shared" si="17"/>
        <v>10</v>
      </c>
    </row>
    <row r="1112" spans="1:14" ht="16" x14ac:dyDescent="0.2">
      <c r="A1112" s="3">
        <v>44701.467449637632</v>
      </c>
      <c r="B1112" s="1" t="s">
        <v>1501</v>
      </c>
      <c r="C1112" t="s">
        <v>328</v>
      </c>
      <c r="D1112">
        <v>17</v>
      </c>
      <c r="E1112">
        <v>124</v>
      </c>
      <c r="F1112">
        <v>62</v>
      </c>
      <c r="G1112">
        <v>2108</v>
      </c>
      <c r="H1112" s="4">
        <v>1054</v>
      </c>
      <c r="I1112" s="4">
        <v>1054</v>
      </c>
      <c r="J1112" t="s">
        <v>281</v>
      </c>
      <c r="K1112" t="s">
        <v>33</v>
      </c>
      <c r="L1112" s="4">
        <v>11.428575823958646</v>
      </c>
      <c r="M1112" s="1" t="s">
        <v>38</v>
      </c>
      <c r="N1112" s="11">
        <f t="shared" si="17"/>
        <v>5</v>
      </c>
    </row>
    <row r="1113" spans="1:14" ht="16" x14ac:dyDescent="0.2">
      <c r="A1113" s="3">
        <v>44475.338491358707</v>
      </c>
      <c r="B1113" s="1" t="s">
        <v>1502</v>
      </c>
      <c r="C1113" t="s">
        <v>328</v>
      </c>
      <c r="D1113">
        <v>2</v>
      </c>
      <c r="E1113">
        <v>124</v>
      </c>
      <c r="F1113">
        <v>62</v>
      </c>
      <c r="G1113">
        <v>248</v>
      </c>
      <c r="H1113" s="4">
        <v>124</v>
      </c>
      <c r="I1113" s="4">
        <v>124</v>
      </c>
      <c r="J1113" t="s">
        <v>720</v>
      </c>
      <c r="K1113" t="s">
        <v>53</v>
      </c>
      <c r="L1113" s="4">
        <v>13.106678263594747</v>
      </c>
      <c r="M1113" s="1" t="s">
        <v>38</v>
      </c>
      <c r="N1113" s="11">
        <f t="shared" si="17"/>
        <v>5</v>
      </c>
    </row>
    <row r="1114" spans="1:14" ht="16" x14ac:dyDescent="0.2">
      <c r="A1114" s="3">
        <v>43627.740066481703</v>
      </c>
      <c r="B1114" s="1" t="s">
        <v>1503</v>
      </c>
      <c r="C1114" t="s">
        <v>204</v>
      </c>
      <c r="D1114">
        <v>16</v>
      </c>
      <c r="E1114">
        <v>57</v>
      </c>
      <c r="F1114">
        <v>19</v>
      </c>
      <c r="G1114">
        <v>912</v>
      </c>
      <c r="H1114" s="4">
        <v>304</v>
      </c>
      <c r="I1114" s="4">
        <v>608</v>
      </c>
      <c r="J1114" t="s">
        <v>176</v>
      </c>
      <c r="K1114" t="s">
        <v>64</v>
      </c>
      <c r="L1114" s="4">
        <v>12.1334991293512</v>
      </c>
      <c r="M1114" s="1" t="s">
        <v>34</v>
      </c>
      <c r="N1114" s="11">
        <f t="shared" si="17"/>
        <v>1</v>
      </c>
    </row>
    <row r="1115" spans="1:14" ht="16" x14ac:dyDescent="0.2">
      <c r="A1115" s="3">
        <v>42915.116737297503</v>
      </c>
      <c r="B1115" s="1" t="s">
        <v>1504</v>
      </c>
      <c r="C1115" t="s">
        <v>196</v>
      </c>
      <c r="D1115">
        <v>18</v>
      </c>
      <c r="E1115">
        <v>192</v>
      </c>
      <c r="F1115">
        <v>96</v>
      </c>
      <c r="G1115">
        <v>3456</v>
      </c>
      <c r="H1115" s="4">
        <v>1728</v>
      </c>
      <c r="I1115" s="4">
        <v>1728</v>
      </c>
      <c r="J1115" t="s">
        <v>1012</v>
      </c>
      <c r="K1115" t="s">
        <v>33</v>
      </c>
      <c r="L1115" s="4">
        <v>14.538471643780088</v>
      </c>
      <c r="M1115" s="1" t="s">
        <v>34</v>
      </c>
      <c r="N1115" s="11">
        <f t="shared" si="17"/>
        <v>1</v>
      </c>
    </row>
    <row r="1116" spans="1:14" ht="16" x14ac:dyDescent="0.2">
      <c r="A1116" s="3">
        <v>44230.444507102475</v>
      </c>
      <c r="B1116" s="1" t="s">
        <v>1505</v>
      </c>
      <c r="C1116" t="s">
        <v>607</v>
      </c>
      <c r="D1116">
        <v>5</v>
      </c>
      <c r="E1116">
        <v>225</v>
      </c>
      <c r="F1116">
        <v>75</v>
      </c>
      <c r="G1116">
        <v>1125</v>
      </c>
      <c r="H1116" s="4">
        <v>375</v>
      </c>
      <c r="I1116" s="4">
        <v>750</v>
      </c>
      <c r="J1116" t="s">
        <v>1126</v>
      </c>
      <c r="K1116" t="s">
        <v>64</v>
      </c>
      <c r="L1116" s="4">
        <v>11.593991859287692</v>
      </c>
      <c r="M1116" s="1" t="s">
        <v>38</v>
      </c>
      <c r="N1116" s="11">
        <f t="shared" si="17"/>
        <v>5</v>
      </c>
    </row>
    <row r="1117" spans="1:14" ht="16" x14ac:dyDescent="0.2">
      <c r="A1117" s="3">
        <v>43332.996949287641</v>
      </c>
      <c r="B1117" s="1" t="s">
        <v>1506</v>
      </c>
      <c r="C1117" t="s">
        <v>193</v>
      </c>
      <c r="D1117">
        <v>2</v>
      </c>
      <c r="E1117">
        <v>348</v>
      </c>
      <c r="F1117">
        <v>87</v>
      </c>
      <c r="G1117">
        <v>696</v>
      </c>
      <c r="H1117" s="4">
        <v>174</v>
      </c>
      <c r="I1117" s="4">
        <v>522</v>
      </c>
      <c r="J1117" t="s">
        <v>313</v>
      </c>
      <c r="K1117" t="s">
        <v>49</v>
      </c>
      <c r="L1117" s="4">
        <v>11.99399163482429</v>
      </c>
      <c r="M1117" s="1" t="s">
        <v>34</v>
      </c>
      <c r="N1117" s="11">
        <f t="shared" si="17"/>
        <v>1</v>
      </c>
    </row>
    <row r="1118" spans="1:14" ht="16" x14ac:dyDescent="0.2">
      <c r="A1118" s="3">
        <v>43631.373989220345</v>
      </c>
      <c r="B1118" s="1" t="s">
        <v>1507</v>
      </c>
      <c r="C1118" t="s">
        <v>125</v>
      </c>
      <c r="D1118">
        <v>18</v>
      </c>
      <c r="E1118">
        <v>176</v>
      </c>
      <c r="F1118">
        <v>88</v>
      </c>
      <c r="G1118">
        <v>3168</v>
      </c>
      <c r="H1118" s="4">
        <v>1584</v>
      </c>
      <c r="I1118" s="4">
        <v>1584</v>
      </c>
      <c r="J1118" t="s">
        <v>745</v>
      </c>
      <c r="K1118" t="s">
        <v>33</v>
      </c>
      <c r="L1118" s="4">
        <v>9.1057685343725456</v>
      </c>
      <c r="M1118" s="1" t="s">
        <v>54</v>
      </c>
      <c r="N1118" s="11">
        <f t="shared" si="17"/>
        <v>10</v>
      </c>
    </row>
    <row r="1119" spans="1:14" ht="16" x14ac:dyDescent="0.2">
      <c r="A1119" s="3">
        <v>43378.082301760696</v>
      </c>
      <c r="B1119" s="1" t="s">
        <v>1508</v>
      </c>
      <c r="C1119" t="s">
        <v>259</v>
      </c>
      <c r="D1119">
        <v>13</v>
      </c>
      <c r="E1119">
        <v>270</v>
      </c>
      <c r="F1119">
        <v>90</v>
      </c>
      <c r="G1119">
        <v>3510</v>
      </c>
      <c r="H1119" s="4">
        <v>1170</v>
      </c>
      <c r="I1119" s="4">
        <v>2340</v>
      </c>
      <c r="J1119" t="s">
        <v>290</v>
      </c>
      <c r="K1119" t="s">
        <v>86</v>
      </c>
      <c r="L1119" s="4">
        <v>12.758430621858414</v>
      </c>
      <c r="M1119" s="1" t="s">
        <v>34</v>
      </c>
      <c r="N1119" s="11">
        <f t="shared" si="17"/>
        <v>1</v>
      </c>
    </row>
    <row r="1120" spans="1:14" ht="16" x14ac:dyDescent="0.2">
      <c r="A1120" s="3">
        <v>43730.212170282881</v>
      </c>
      <c r="B1120" s="1" t="s">
        <v>1509</v>
      </c>
      <c r="C1120" t="s">
        <v>78</v>
      </c>
      <c r="D1120">
        <v>19</v>
      </c>
      <c r="E1120">
        <v>94</v>
      </c>
      <c r="F1120">
        <v>47</v>
      </c>
      <c r="G1120">
        <v>1786</v>
      </c>
      <c r="H1120" s="4">
        <v>893</v>
      </c>
      <c r="I1120" s="4">
        <v>893</v>
      </c>
      <c r="J1120" t="s">
        <v>89</v>
      </c>
      <c r="K1120" t="s">
        <v>64</v>
      </c>
      <c r="L1120" s="4">
        <v>12.865074657680612</v>
      </c>
      <c r="M1120" s="1" t="s">
        <v>38</v>
      </c>
      <c r="N1120" s="11">
        <f t="shared" si="17"/>
        <v>5</v>
      </c>
    </row>
    <row r="1121" spans="1:14" ht="16" x14ac:dyDescent="0.2">
      <c r="A1121" s="3">
        <v>43565.879321121072</v>
      </c>
      <c r="B1121" s="1" t="s">
        <v>1510</v>
      </c>
      <c r="C1121" t="s">
        <v>142</v>
      </c>
      <c r="D1121">
        <v>20</v>
      </c>
      <c r="E1121">
        <v>210</v>
      </c>
      <c r="F1121">
        <v>70</v>
      </c>
      <c r="G1121">
        <v>4200</v>
      </c>
      <c r="H1121" s="4">
        <v>1400</v>
      </c>
      <c r="I1121" s="4">
        <v>2800</v>
      </c>
      <c r="J1121" t="s">
        <v>123</v>
      </c>
      <c r="K1121" t="s">
        <v>53</v>
      </c>
      <c r="L1121" s="4">
        <v>10.42743035829395</v>
      </c>
      <c r="M1121" s="1" t="s">
        <v>38</v>
      </c>
      <c r="N1121" s="11">
        <f t="shared" si="17"/>
        <v>5</v>
      </c>
    </row>
    <row r="1122" spans="1:14" ht="16" x14ac:dyDescent="0.2">
      <c r="A1122" s="3">
        <v>44778.855651875674</v>
      </c>
      <c r="B1122" s="1" t="s">
        <v>1511</v>
      </c>
      <c r="C1122" t="s">
        <v>547</v>
      </c>
      <c r="D1122">
        <v>4</v>
      </c>
      <c r="E1122">
        <v>300</v>
      </c>
      <c r="F1122">
        <v>75</v>
      </c>
      <c r="G1122">
        <v>1200</v>
      </c>
      <c r="H1122" s="4">
        <v>300</v>
      </c>
      <c r="I1122" s="4">
        <v>900</v>
      </c>
      <c r="J1122" t="s">
        <v>172</v>
      </c>
      <c r="K1122" t="s">
        <v>33</v>
      </c>
      <c r="L1122" s="4">
        <v>9.9311000381363836</v>
      </c>
      <c r="M1122" s="1" t="s">
        <v>38</v>
      </c>
      <c r="N1122" s="11">
        <f t="shared" si="17"/>
        <v>5</v>
      </c>
    </row>
    <row r="1123" spans="1:14" ht="16" x14ac:dyDescent="0.2">
      <c r="A1123" s="3">
        <v>44496.163151768211</v>
      </c>
      <c r="B1123" s="1" t="s">
        <v>1512</v>
      </c>
      <c r="C1123" t="s">
        <v>301</v>
      </c>
      <c r="D1123">
        <v>11</v>
      </c>
      <c r="E1123">
        <v>188</v>
      </c>
      <c r="F1123">
        <v>94</v>
      </c>
      <c r="G1123">
        <v>2068</v>
      </c>
      <c r="H1123" s="4">
        <v>1034</v>
      </c>
      <c r="I1123" s="4">
        <v>1034</v>
      </c>
      <c r="J1123" t="s">
        <v>207</v>
      </c>
      <c r="K1123" t="s">
        <v>42</v>
      </c>
      <c r="L1123" s="4">
        <v>12.177709716438097</v>
      </c>
      <c r="M1123" s="1" t="s">
        <v>38</v>
      </c>
      <c r="N1123" s="11">
        <f t="shared" si="17"/>
        <v>5</v>
      </c>
    </row>
    <row r="1124" spans="1:14" ht="16" x14ac:dyDescent="0.2">
      <c r="A1124" s="3">
        <v>43965.502933624222</v>
      </c>
      <c r="B1124" s="1" t="s">
        <v>1513</v>
      </c>
      <c r="C1124" t="s">
        <v>317</v>
      </c>
      <c r="D1124">
        <v>3</v>
      </c>
      <c r="E1124">
        <v>352</v>
      </c>
      <c r="F1124">
        <v>88</v>
      </c>
      <c r="G1124">
        <v>1056</v>
      </c>
      <c r="H1124" s="4">
        <v>264</v>
      </c>
      <c r="I1124" s="4">
        <v>792</v>
      </c>
      <c r="J1124" t="s">
        <v>401</v>
      </c>
      <c r="K1124" t="s">
        <v>58</v>
      </c>
      <c r="L1124" s="4">
        <v>11.394777319422785</v>
      </c>
      <c r="M1124" s="1" t="s">
        <v>54</v>
      </c>
      <c r="N1124" s="11">
        <f t="shared" si="17"/>
        <v>10</v>
      </c>
    </row>
    <row r="1125" spans="1:14" ht="16" x14ac:dyDescent="0.2">
      <c r="A1125" s="3">
        <v>43532.642559415443</v>
      </c>
      <c r="B1125" s="1" t="s">
        <v>1514</v>
      </c>
      <c r="C1125" t="s">
        <v>473</v>
      </c>
      <c r="D1125">
        <v>1</v>
      </c>
      <c r="E1125">
        <v>72</v>
      </c>
      <c r="F1125">
        <v>36</v>
      </c>
      <c r="G1125">
        <v>72</v>
      </c>
      <c r="H1125" s="4">
        <v>36</v>
      </c>
      <c r="I1125" s="4">
        <v>36</v>
      </c>
      <c r="J1125" t="s">
        <v>221</v>
      </c>
      <c r="K1125" t="s">
        <v>49</v>
      </c>
      <c r="L1125" s="4">
        <v>12.396052160428608</v>
      </c>
      <c r="M1125" s="1" t="s">
        <v>54</v>
      </c>
      <c r="N1125" s="11">
        <f t="shared" si="17"/>
        <v>10</v>
      </c>
    </row>
    <row r="1126" spans="1:14" ht="16" x14ac:dyDescent="0.2">
      <c r="A1126" s="3">
        <v>43790.642158530041</v>
      </c>
      <c r="B1126" s="1" t="s">
        <v>1515</v>
      </c>
      <c r="C1126" t="s">
        <v>788</v>
      </c>
      <c r="D1126">
        <v>18</v>
      </c>
      <c r="E1126">
        <v>100</v>
      </c>
      <c r="F1126">
        <v>25</v>
      </c>
      <c r="G1126">
        <v>1800</v>
      </c>
      <c r="H1126" s="4">
        <v>450</v>
      </c>
      <c r="I1126" s="4">
        <v>1350</v>
      </c>
      <c r="J1126" t="s">
        <v>241</v>
      </c>
      <c r="K1126" t="s">
        <v>33</v>
      </c>
      <c r="L1126" s="4">
        <v>11.274864741138284</v>
      </c>
      <c r="M1126" s="1" t="s">
        <v>54</v>
      </c>
      <c r="N1126" s="11">
        <f t="shared" si="17"/>
        <v>10</v>
      </c>
    </row>
    <row r="1127" spans="1:14" ht="16" x14ac:dyDescent="0.2">
      <c r="A1127" s="3">
        <v>45283.016598028269</v>
      </c>
      <c r="B1127" s="1" t="s">
        <v>1516</v>
      </c>
      <c r="C1127" t="s">
        <v>394</v>
      </c>
      <c r="D1127">
        <v>14</v>
      </c>
      <c r="E1127">
        <v>58</v>
      </c>
      <c r="F1127">
        <v>29</v>
      </c>
      <c r="G1127">
        <v>812</v>
      </c>
      <c r="H1127" s="4">
        <v>406</v>
      </c>
      <c r="I1127" s="4">
        <v>406</v>
      </c>
      <c r="J1127" t="s">
        <v>202</v>
      </c>
      <c r="K1127" t="s">
        <v>58</v>
      </c>
      <c r="L1127" s="4">
        <v>13.765798454641494</v>
      </c>
      <c r="M1127" s="1" t="s">
        <v>54</v>
      </c>
      <c r="N1127" s="11">
        <f t="shared" si="17"/>
        <v>10</v>
      </c>
    </row>
    <row r="1128" spans="1:14" ht="16" x14ac:dyDescent="0.2">
      <c r="A1128" s="3">
        <v>43738.321815849042</v>
      </c>
      <c r="B1128" s="1" t="s">
        <v>1517</v>
      </c>
      <c r="C1128" t="s">
        <v>261</v>
      </c>
      <c r="D1128">
        <v>3</v>
      </c>
      <c r="E1128">
        <v>92</v>
      </c>
      <c r="F1128">
        <v>46</v>
      </c>
      <c r="G1128">
        <v>276</v>
      </c>
      <c r="H1128" s="4">
        <v>138</v>
      </c>
      <c r="I1128" s="4">
        <v>138</v>
      </c>
      <c r="J1128" t="s">
        <v>1253</v>
      </c>
      <c r="K1128" t="s">
        <v>49</v>
      </c>
      <c r="L1128" s="4">
        <v>10.518436853046438</v>
      </c>
      <c r="M1128" s="1" t="s">
        <v>54</v>
      </c>
      <c r="N1128" s="11">
        <f t="shared" si="17"/>
        <v>10</v>
      </c>
    </row>
    <row r="1129" spans="1:14" ht="16" x14ac:dyDescent="0.2">
      <c r="A1129" s="3">
        <v>43762.113056966104</v>
      </c>
      <c r="B1129" s="1" t="s">
        <v>1518</v>
      </c>
      <c r="C1129" t="s">
        <v>297</v>
      </c>
      <c r="D1129">
        <v>12</v>
      </c>
      <c r="E1129">
        <v>108</v>
      </c>
      <c r="F1129">
        <v>36</v>
      </c>
      <c r="G1129">
        <v>1296</v>
      </c>
      <c r="H1129" s="4">
        <v>432</v>
      </c>
      <c r="I1129" s="4">
        <v>864</v>
      </c>
      <c r="J1129" t="s">
        <v>277</v>
      </c>
      <c r="K1129" t="s">
        <v>58</v>
      </c>
      <c r="L1129" s="4">
        <v>11.883396013219548</v>
      </c>
      <c r="M1129" s="1" t="s">
        <v>38</v>
      </c>
      <c r="N1129" s="11">
        <f t="shared" si="17"/>
        <v>5</v>
      </c>
    </row>
    <row r="1130" spans="1:14" ht="16" x14ac:dyDescent="0.2">
      <c r="A1130" s="3">
        <v>43814.918059080388</v>
      </c>
      <c r="B1130" s="1" t="s">
        <v>1519</v>
      </c>
      <c r="C1130" t="s">
        <v>88</v>
      </c>
      <c r="D1130">
        <v>12</v>
      </c>
      <c r="E1130">
        <v>210</v>
      </c>
      <c r="F1130">
        <v>70</v>
      </c>
      <c r="G1130">
        <v>2520</v>
      </c>
      <c r="H1130" s="4">
        <v>840</v>
      </c>
      <c r="I1130" s="4">
        <v>1680</v>
      </c>
      <c r="J1130" t="s">
        <v>118</v>
      </c>
      <c r="K1130" t="s">
        <v>64</v>
      </c>
      <c r="L1130" s="4">
        <v>11.128721898968678</v>
      </c>
      <c r="M1130" s="1" t="s">
        <v>38</v>
      </c>
      <c r="N1130" s="11">
        <f t="shared" si="17"/>
        <v>5</v>
      </c>
    </row>
    <row r="1131" spans="1:14" ht="16" x14ac:dyDescent="0.2">
      <c r="A1131" s="3">
        <v>43928.117748587421</v>
      </c>
      <c r="B1131" s="1" t="s">
        <v>1520</v>
      </c>
      <c r="C1131" t="s">
        <v>243</v>
      </c>
      <c r="D1131">
        <v>20</v>
      </c>
      <c r="E1131">
        <v>90</v>
      </c>
      <c r="F1131">
        <v>45</v>
      </c>
      <c r="G1131">
        <v>1800</v>
      </c>
      <c r="H1131" s="4">
        <v>900</v>
      </c>
      <c r="I1131" s="4">
        <v>900</v>
      </c>
      <c r="J1131" t="s">
        <v>539</v>
      </c>
      <c r="K1131" t="s">
        <v>49</v>
      </c>
      <c r="L1131" s="4">
        <v>10.954865572729823</v>
      </c>
      <c r="M1131" s="1" t="s">
        <v>54</v>
      </c>
      <c r="N1131" s="11">
        <f t="shared" si="17"/>
        <v>10</v>
      </c>
    </row>
    <row r="1132" spans="1:14" ht="16" x14ac:dyDescent="0.2">
      <c r="A1132" s="3">
        <v>44289.743672989265</v>
      </c>
      <c r="B1132" s="1" t="s">
        <v>1521</v>
      </c>
      <c r="C1132" t="s">
        <v>304</v>
      </c>
      <c r="D1132">
        <v>12</v>
      </c>
      <c r="E1132">
        <v>116</v>
      </c>
      <c r="F1132">
        <v>29</v>
      </c>
      <c r="G1132">
        <v>1392</v>
      </c>
      <c r="H1132" s="4">
        <v>348</v>
      </c>
      <c r="I1132" s="4">
        <v>1044</v>
      </c>
      <c r="J1132" t="s">
        <v>854</v>
      </c>
      <c r="K1132" t="s">
        <v>58</v>
      </c>
      <c r="L1132" s="4">
        <v>12.990345718839325</v>
      </c>
      <c r="M1132" s="1" t="s">
        <v>38</v>
      </c>
      <c r="N1132" s="11">
        <f t="shared" si="17"/>
        <v>5</v>
      </c>
    </row>
    <row r="1133" spans="1:14" ht="16" x14ac:dyDescent="0.2">
      <c r="A1133" s="3">
        <v>44297.606590282172</v>
      </c>
      <c r="B1133" s="1" t="s">
        <v>1522</v>
      </c>
      <c r="C1133" t="s">
        <v>328</v>
      </c>
      <c r="D1133">
        <v>8</v>
      </c>
      <c r="E1133">
        <v>124</v>
      </c>
      <c r="F1133">
        <v>62</v>
      </c>
      <c r="G1133">
        <v>992</v>
      </c>
      <c r="H1133" s="4">
        <v>496</v>
      </c>
      <c r="I1133" s="4">
        <v>496</v>
      </c>
      <c r="J1133" t="s">
        <v>914</v>
      </c>
      <c r="K1133" t="s">
        <v>42</v>
      </c>
      <c r="L1133" s="4">
        <v>13.853438793083487</v>
      </c>
      <c r="M1133" s="1" t="s">
        <v>38</v>
      </c>
      <c r="N1133" s="11">
        <f t="shared" si="17"/>
        <v>5</v>
      </c>
    </row>
    <row r="1134" spans="1:14" ht="16" x14ac:dyDescent="0.2">
      <c r="A1134" s="3">
        <v>43672.131482607292</v>
      </c>
      <c r="B1134" s="1" t="s">
        <v>1523</v>
      </c>
      <c r="C1134" t="s">
        <v>31</v>
      </c>
      <c r="D1134">
        <v>2</v>
      </c>
      <c r="E1134">
        <v>280</v>
      </c>
      <c r="F1134">
        <v>70</v>
      </c>
      <c r="G1134">
        <v>560</v>
      </c>
      <c r="H1134" s="4">
        <v>140</v>
      </c>
      <c r="I1134" s="4">
        <v>420</v>
      </c>
      <c r="J1134" t="s">
        <v>146</v>
      </c>
      <c r="K1134" t="s">
        <v>64</v>
      </c>
      <c r="L1134" s="4">
        <v>12.487915239531313</v>
      </c>
      <c r="M1134" s="1" t="s">
        <v>34</v>
      </c>
      <c r="N1134" s="11">
        <f t="shared" si="17"/>
        <v>1</v>
      </c>
    </row>
    <row r="1135" spans="1:14" ht="16" x14ac:dyDescent="0.2">
      <c r="A1135" s="3">
        <v>44753.093989952911</v>
      </c>
      <c r="B1135" s="1" t="s">
        <v>1524</v>
      </c>
      <c r="C1135" t="s">
        <v>261</v>
      </c>
      <c r="D1135">
        <v>2</v>
      </c>
      <c r="E1135">
        <v>92</v>
      </c>
      <c r="F1135">
        <v>46</v>
      </c>
      <c r="G1135">
        <v>184</v>
      </c>
      <c r="H1135" s="4">
        <v>92</v>
      </c>
      <c r="I1135" s="4">
        <v>92</v>
      </c>
      <c r="J1135" t="s">
        <v>1022</v>
      </c>
      <c r="K1135" t="s">
        <v>49</v>
      </c>
      <c r="L1135" s="4">
        <v>15.268550004010105</v>
      </c>
      <c r="M1135" s="1" t="s">
        <v>38</v>
      </c>
      <c r="N1135" s="11">
        <f t="shared" si="17"/>
        <v>5</v>
      </c>
    </row>
    <row r="1136" spans="1:14" ht="16" x14ac:dyDescent="0.2">
      <c r="A1136" s="3">
        <v>43136.963888007456</v>
      </c>
      <c r="B1136" s="1" t="s">
        <v>1525</v>
      </c>
      <c r="C1136" t="s">
        <v>31</v>
      </c>
      <c r="D1136">
        <v>13</v>
      </c>
      <c r="E1136">
        <v>280</v>
      </c>
      <c r="F1136">
        <v>70</v>
      </c>
      <c r="G1136">
        <v>3640</v>
      </c>
      <c r="H1136" s="4">
        <v>910</v>
      </c>
      <c r="I1136" s="4">
        <v>2730</v>
      </c>
      <c r="J1136" t="s">
        <v>958</v>
      </c>
      <c r="K1136" t="s">
        <v>58</v>
      </c>
      <c r="L1136" s="4">
        <v>9.1591412531773226</v>
      </c>
      <c r="M1136" s="1" t="s">
        <v>34</v>
      </c>
      <c r="N1136" s="11">
        <f t="shared" si="17"/>
        <v>1</v>
      </c>
    </row>
    <row r="1137" spans="1:14" ht="16" x14ac:dyDescent="0.2">
      <c r="A1137" s="3">
        <v>43389.862413306582</v>
      </c>
      <c r="B1137" s="1" t="s">
        <v>1526</v>
      </c>
      <c r="C1137" t="s">
        <v>218</v>
      </c>
      <c r="D1137">
        <v>12</v>
      </c>
      <c r="E1137">
        <v>264</v>
      </c>
      <c r="F1137">
        <v>88</v>
      </c>
      <c r="G1137">
        <v>3168</v>
      </c>
      <c r="H1137" s="4">
        <v>1056</v>
      </c>
      <c r="I1137" s="4">
        <v>2112</v>
      </c>
      <c r="J1137" t="s">
        <v>426</v>
      </c>
      <c r="K1137" t="s">
        <v>53</v>
      </c>
      <c r="L1137" s="4">
        <v>13.923194761258239</v>
      </c>
      <c r="M1137" s="1" t="s">
        <v>54</v>
      </c>
      <c r="N1137" s="11">
        <f t="shared" si="17"/>
        <v>10</v>
      </c>
    </row>
    <row r="1138" spans="1:14" ht="16" x14ac:dyDescent="0.2">
      <c r="A1138" s="3">
        <v>43281.41735477811</v>
      </c>
      <c r="B1138" s="1" t="s">
        <v>1527</v>
      </c>
      <c r="C1138" t="s">
        <v>91</v>
      </c>
      <c r="D1138">
        <v>5</v>
      </c>
      <c r="E1138">
        <v>300</v>
      </c>
      <c r="F1138">
        <v>75</v>
      </c>
      <c r="G1138">
        <v>1500</v>
      </c>
      <c r="H1138" s="4">
        <v>375</v>
      </c>
      <c r="I1138" s="4">
        <v>1125</v>
      </c>
      <c r="J1138" t="s">
        <v>691</v>
      </c>
      <c r="K1138" t="s">
        <v>33</v>
      </c>
      <c r="L1138" s="4">
        <v>10.248947386022252</v>
      </c>
      <c r="M1138" s="1" t="s">
        <v>38</v>
      </c>
      <c r="N1138" s="11">
        <f t="shared" si="17"/>
        <v>5</v>
      </c>
    </row>
    <row r="1139" spans="1:14" ht="16" x14ac:dyDescent="0.2">
      <c r="A1139" s="3">
        <v>43970.195603331507</v>
      </c>
      <c r="B1139" s="1" t="s">
        <v>1528</v>
      </c>
      <c r="C1139" t="s">
        <v>259</v>
      </c>
      <c r="D1139">
        <v>15</v>
      </c>
      <c r="E1139">
        <v>270</v>
      </c>
      <c r="F1139">
        <v>90</v>
      </c>
      <c r="G1139">
        <v>4050</v>
      </c>
      <c r="H1139" s="4">
        <v>1350</v>
      </c>
      <c r="I1139" s="4">
        <v>2700</v>
      </c>
      <c r="J1139" t="s">
        <v>535</v>
      </c>
      <c r="K1139" t="s">
        <v>33</v>
      </c>
      <c r="L1139" s="4">
        <v>14.554851510602212</v>
      </c>
      <c r="M1139" s="1" t="s">
        <v>38</v>
      </c>
      <c r="N1139" s="11">
        <f t="shared" si="17"/>
        <v>5</v>
      </c>
    </row>
    <row r="1140" spans="1:14" ht="16" x14ac:dyDescent="0.2">
      <c r="A1140" s="3">
        <v>43886.414659906295</v>
      </c>
      <c r="B1140" s="1" t="s">
        <v>1529</v>
      </c>
      <c r="C1140" t="s">
        <v>78</v>
      </c>
      <c r="D1140">
        <v>7</v>
      </c>
      <c r="E1140">
        <v>94</v>
      </c>
      <c r="F1140">
        <v>47</v>
      </c>
      <c r="G1140">
        <v>658</v>
      </c>
      <c r="H1140" s="4">
        <v>329</v>
      </c>
      <c r="I1140" s="4">
        <v>329</v>
      </c>
      <c r="J1140" t="s">
        <v>616</v>
      </c>
      <c r="K1140" t="s">
        <v>49</v>
      </c>
      <c r="L1140" s="4">
        <v>13.466362789017223</v>
      </c>
      <c r="M1140" s="1" t="s">
        <v>34</v>
      </c>
      <c r="N1140" s="11">
        <f t="shared" si="17"/>
        <v>1</v>
      </c>
    </row>
    <row r="1141" spans="1:14" ht="16" x14ac:dyDescent="0.2">
      <c r="A1141" s="3">
        <v>44070.371749303085</v>
      </c>
      <c r="B1141" s="1" t="s">
        <v>1530</v>
      </c>
      <c r="C1141" t="s">
        <v>240</v>
      </c>
      <c r="D1141">
        <v>16</v>
      </c>
      <c r="E1141">
        <v>108</v>
      </c>
      <c r="F1141">
        <v>54</v>
      </c>
      <c r="G1141">
        <v>1728</v>
      </c>
      <c r="H1141" s="4">
        <v>864</v>
      </c>
      <c r="I1141" s="4">
        <v>864</v>
      </c>
      <c r="J1141" t="s">
        <v>318</v>
      </c>
      <c r="K1141" t="s">
        <v>33</v>
      </c>
      <c r="L1141" s="4">
        <v>9.0350666811770921</v>
      </c>
      <c r="M1141" s="1" t="s">
        <v>38</v>
      </c>
      <c r="N1141" s="11">
        <f t="shared" si="17"/>
        <v>5</v>
      </c>
    </row>
    <row r="1142" spans="1:14" ht="16" x14ac:dyDescent="0.2">
      <c r="A1142" s="3">
        <v>44589.513947706786</v>
      </c>
      <c r="B1142" s="1" t="s">
        <v>1531</v>
      </c>
      <c r="C1142" t="s">
        <v>130</v>
      </c>
      <c r="D1142">
        <v>17</v>
      </c>
      <c r="E1142">
        <v>144</v>
      </c>
      <c r="F1142">
        <v>48</v>
      </c>
      <c r="G1142">
        <v>2448</v>
      </c>
      <c r="H1142" s="4">
        <v>816</v>
      </c>
      <c r="I1142" s="4">
        <v>1632</v>
      </c>
      <c r="J1142" t="s">
        <v>704</v>
      </c>
      <c r="K1142" t="s">
        <v>86</v>
      </c>
      <c r="L1142" s="4">
        <v>12.699042739101285</v>
      </c>
      <c r="M1142" s="1" t="s">
        <v>38</v>
      </c>
      <c r="N1142" s="11">
        <f t="shared" si="17"/>
        <v>5</v>
      </c>
    </row>
    <row r="1143" spans="1:14" ht="16" x14ac:dyDescent="0.2">
      <c r="A1143" s="3">
        <v>44438.870845591518</v>
      </c>
      <c r="B1143" s="1" t="s">
        <v>1532</v>
      </c>
      <c r="C1143" t="s">
        <v>365</v>
      </c>
      <c r="D1143">
        <v>5</v>
      </c>
      <c r="E1143">
        <v>255</v>
      </c>
      <c r="F1143">
        <v>85</v>
      </c>
      <c r="G1143">
        <v>1275</v>
      </c>
      <c r="H1143" s="4">
        <v>425</v>
      </c>
      <c r="I1143" s="4">
        <v>850</v>
      </c>
      <c r="J1143" t="s">
        <v>305</v>
      </c>
      <c r="K1143" t="s">
        <v>86</v>
      </c>
      <c r="L1143" s="4">
        <v>10.317615395419679</v>
      </c>
      <c r="M1143" s="1" t="s">
        <v>38</v>
      </c>
      <c r="N1143" s="11">
        <f t="shared" si="17"/>
        <v>5</v>
      </c>
    </row>
    <row r="1144" spans="1:14" ht="16" x14ac:dyDescent="0.2">
      <c r="A1144" s="3">
        <v>44691.87577668926</v>
      </c>
      <c r="B1144" s="1" t="s">
        <v>1533</v>
      </c>
      <c r="C1144" t="s">
        <v>157</v>
      </c>
      <c r="D1144">
        <v>8</v>
      </c>
      <c r="E1144">
        <v>50</v>
      </c>
      <c r="F1144">
        <v>25</v>
      </c>
      <c r="G1144">
        <v>400</v>
      </c>
      <c r="H1144" s="4">
        <v>200</v>
      </c>
      <c r="I1144" s="4">
        <v>200</v>
      </c>
      <c r="J1144" t="s">
        <v>321</v>
      </c>
      <c r="K1144" t="s">
        <v>42</v>
      </c>
      <c r="L1144" s="4">
        <v>7.7337149713827413</v>
      </c>
      <c r="M1144" s="1" t="s">
        <v>38</v>
      </c>
      <c r="N1144" s="11">
        <f t="shared" si="17"/>
        <v>5</v>
      </c>
    </row>
    <row r="1145" spans="1:14" ht="16" x14ac:dyDescent="0.2">
      <c r="A1145" s="3">
        <v>44116.104019835788</v>
      </c>
      <c r="B1145" s="1" t="s">
        <v>1534</v>
      </c>
      <c r="C1145" t="s">
        <v>40</v>
      </c>
      <c r="D1145">
        <v>17</v>
      </c>
      <c r="E1145">
        <v>46</v>
      </c>
      <c r="F1145">
        <v>23</v>
      </c>
      <c r="G1145">
        <v>782</v>
      </c>
      <c r="H1145" s="4">
        <v>391</v>
      </c>
      <c r="I1145" s="4">
        <v>391</v>
      </c>
      <c r="J1145" t="s">
        <v>305</v>
      </c>
      <c r="K1145" t="s">
        <v>86</v>
      </c>
      <c r="L1145" s="4">
        <v>10.317615395419679</v>
      </c>
      <c r="M1145" s="1" t="s">
        <v>34</v>
      </c>
      <c r="N1145" s="11">
        <f t="shared" si="17"/>
        <v>1</v>
      </c>
    </row>
    <row r="1146" spans="1:14" ht="16" x14ac:dyDescent="0.2">
      <c r="A1146" s="3">
        <v>44184.07651112364</v>
      </c>
      <c r="B1146" s="1" t="s">
        <v>1535</v>
      </c>
      <c r="C1146" t="s">
        <v>391</v>
      </c>
      <c r="D1146">
        <v>14</v>
      </c>
      <c r="E1146">
        <v>72</v>
      </c>
      <c r="F1146">
        <v>36</v>
      </c>
      <c r="G1146">
        <v>1008</v>
      </c>
      <c r="H1146" s="4">
        <v>504</v>
      </c>
      <c r="I1146" s="4">
        <v>504</v>
      </c>
      <c r="J1146" t="s">
        <v>638</v>
      </c>
      <c r="K1146" t="s">
        <v>33</v>
      </c>
      <c r="L1146" s="4">
        <v>12.131375018945562</v>
      </c>
      <c r="M1146" s="1" t="s">
        <v>54</v>
      </c>
      <c r="N1146" s="11">
        <f t="shared" si="17"/>
        <v>10</v>
      </c>
    </row>
    <row r="1147" spans="1:14" ht="16" x14ac:dyDescent="0.2">
      <c r="A1147" s="3">
        <v>43890.359082028903</v>
      </c>
      <c r="B1147" s="1" t="s">
        <v>1536</v>
      </c>
      <c r="C1147" t="s">
        <v>115</v>
      </c>
      <c r="D1147">
        <v>14</v>
      </c>
      <c r="E1147">
        <v>81</v>
      </c>
      <c r="F1147">
        <v>27</v>
      </c>
      <c r="G1147">
        <v>1134</v>
      </c>
      <c r="H1147" s="4">
        <v>378</v>
      </c>
      <c r="I1147" s="4">
        <v>756</v>
      </c>
      <c r="J1147" t="s">
        <v>63</v>
      </c>
      <c r="K1147" t="s">
        <v>64</v>
      </c>
      <c r="L1147" s="4">
        <v>10.988762477277161</v>
      </c>
      <c r="M1147" s="1" t="s">
        <v>54</v>
      </c>
      <c r="N1147" s="11">
        <f t="shared" si="17"/>
        <v>10</v>
      </c>
    </row>
    <row r="1148" spans="1:14" ht="16" x14ac:dyDescent="0.2">
      <c r="A1148" s="3">
        <v>43520.734927817088</v>
      </c>
      <c r="B1148" s="1" t="s">
        <v>1537</v>
      </c>
      <c r="C1148" t="s">
        <v>56</v>
      </c>
      <c r="D1148">
        <v>4</v>
      </c>
      <c r="E1148">
        <v>38</v>
      </c>
      <c r="F1148">
        <v>19</v>
      </c>
      <c r="G1148">
        <v>152</v>
      </c>
      <c r="H1148" s="4">
        <v>76</v>
      </c>
      <c r="I1148" s="4">
        <v>76</v>
      </c>
      <c r="J1148" t="s">
        <v>234</v>
      </c>
      <c r="K1148" t="s">
        <v>64</v>
      </c>
      <c r="L1148" s="4">
        <v>12.200533931675887</v>
      </c>
      <c r="M1148" s="1" t="s">
        <v>54</v>
      </c>
      <c r="N1148" s="11">
        <f t="shared" si="17"/>
        <v>10</v>
      </c>
    </row>
    <row r="1149" spans="1:14" ht="16" x14ac:dyDescent="0.2">
      <c r="A1149" s="3">
        <v>43483.30504098333</v>
      </c>
      <c r="B1149" s="1" t="s">
        <v>1538</v>
      </c>
      <c r="C1149" t="s">
        <v>160</v>
      </c>
      <c r="D1149">
        <v>18</v>
      </c>
      <c r="E1149">
        <v>132</v>
      </c>
      <c r="F1149">
        <v>33</v>
      </c>
      <c r="G1149">
        <v>2376</v>
      </c>
      <c r="H1149" s="4">
        <v>594</v>
      </c>
      <c r="I1149" s="4">
        <v>1782</v>
      </c>
      <c r="J1149" t="s">
        <v>246</v>
      </c>
      <c r="K1149" t="s">
        <v>58</v>
      </c>
      <c r="L1149" s="4">
        <v>15.234329552872023</v>
      </c>
      <c r="M1149" s="1" t="s">
        <v>38</v>
      </c>
      <c r="N1149" s="11">
        <f t="shared" si="17"/>
        <v>5</v>
      </c>
    </row>
    <row r="1150" spans="1:14" ht="16" x14ac:dyDescent="0.2">
      <c r="A1150" s="3">
        <v>44944.798136056248</v>
      </c>
      <c r="B1150" s="1" t="s">
        <v>1539</v>
      </c>
      <c r="C1150" t="s">
        <v>255</v>
      </c>
      <c r="D1150">
        <v>4</v>
      </c>
      <c r="E1150">
        <v>140</v>
      </c>
      <c r="F1150">
        <v>70</v>
      </c>
      <c r="G1150">
        <v>560</v>
      </c>
      <c r="H1150" s="4">
        <v>280</v>
      </c>
      <c r="I1150" s="4">
        <v>280</v>
      </c>
      <c r="J1150" t="s">
        <v>161</v>
      </c>
      <c r="K1150" t="s">
        <v>33</v>
      </c>
      <c r="L1150" s="4">
        <v>14.370283356317486</v>
      </c>
      <c r="M1150" s="1" t="s">
        <v>54</v>
      </c>
      <c r="N1150" s="11">
        <f t="shared" si="17"/>
        <v>10</v>
      </c>
    </row>
    <row r="1151" spans="1:14" ht="16" x14ac:dyDescent="0.2">
      <c r="A1151" s="3">
        <v>43716.33113021202</v>
      </c>
      <c r="B1151" s="1" t="s">
        <v>1540</v>
      </c>
      <c r="C1151" t="s">
        <v>142</v>
      </c>
      <c r="D1151">
        <v>14</v>
      </c>
      <c r="E1151">
        <v>210</v>
      </c>
      <c r="F1151">
        <v>70</v>
      </c>
      <c r="G1151">
        <v>2940</v>
      </c>
      <c r="H1151" s="4">
        <v>980</v>
      </c>
      <c r="I1151" s="4">
        <v>1960</v>
      </c>
      <c r="J1151" t="s">
        <v>466</v>
      </c>
      <c r="K1151" t="s">
        <v>49</v>
      </c>
      <c r="L1151" s="4">
        <v>16.368863536738775</v>
      </c>
      <c r="M1151" s="1" t="s">
        <v>38</v>
      </c>
      <c r="N1151" s="11">
        <f t="shared" si="17"/>
        <v>5</v>
      </c>
    </row>
    <row r="1152" spans="1:14" ht="16" x14ac:dyDescent="0.2">
      <c r="A1152" s="3">
        <v>43904.661373429008</v>
      </c>
      <c r="B1152" s="1" t="s">
        <v>1541</v>
      </c>
      <c r="C1152" t="s">
        <v>299</v>
      </c>
      <c r="D1152">
        <v>5</v>
      </c>
      <c r="E1152">
        <v>225</v>
      </c>
      <c r="F1152">
        <v>75</v>
      </c>
      <c r="G1152">
        <v>1125</v>
      </c>
      <c r="H1152" s="4">
        <v>375</v>
      </c>
      <c r="I1152" s="4">
        <v>750</v>
      </c>
      <c r="J1152" t="s">
        <v>279</v>
      </c>
      <c r="K1152" t="s">
        <v>64</v>
      </c>
      <c r="L1152" s="4">
        <v>11.504886852416154</v>
      </c>
      <c r="M1152" s="1" t="s">
        <v>38</v>
      </c>
      <c r="N1152" s="11">
        <f t="shared" si="17"/>
        <v>5</v>
      </c>
    </row>
    <row r="1153" spans="1:14" ht="16" x14ac:dyDescent="0.2">
      <c r="A1153" s="3">
        <v>42930.419932203346</v>
      </c>
      <c r="B1153" s="1" t="s">
        <v>1542</v>
      </c>
      <c r="C1153" t="s">
        <v>215</v>
      </c>
      <c r="D1153">
        <v>9</v>
      </c>
      <c r="E1153">
        <v>176</v>
      </c>
      <c r="F1153">
        <v>88</v>
      </c>
      <c r="G1153">
        <v>1584</v>
      </c>
      <c r="H1153" s="4">
        <v>792</v>
      </c>
      <c r="I1153" s="4">
        <v>792</v>
      </c>
      <c r="J1153" t="s">
        <v>67</v>
      </c>
      <c r="K1153" t="s">
        <v>64</v>
      </c>
      <c r="L1153" s="4">
        <v>15.602184182549776</v>
      </c>
      <c r="M1153" s="1" t="s">
        <v>34</v>
      </c>
      <c r="N1153" s="11">
        <f t="shared" si="17"/>
        <v>1</v>
      </c>
    </row>
    <row r="1154" spans="1:14" ht="16" x14ac:dyDescent="0.2">
      <c r="A1154" s="3">
        <v>44316.584441881314</v>
      </c>
      <c r="B1154" s="1" t="s">
        <v>1532</v>
      </c>
      <c r="C1154" t="s">
        <v>370</v>
      </c>
      <c r="D1154">
        <v>1</v>
      </c>
      <c r="E1154">
        <v>144</v>
      </c>
      <c r="F1154">
        <v>36</v>
      </c>
      <c r="G1154">
        <v>144</v>
      </c>
      <c r="H1154" s="4">
        <v>36</v>
      </c>
      <c r="I1154" s="4">
        <v>108</v>
      </c>
      <c r="J1154" t="s">
        <v>643</v>
      </c>
      <c r="K1154" t="s">
        <v>33</v>
      </c>
      <c r="L1154" s="4">
        <v>12.275875773922367</v>
      </c>
      <c r="M1154" s="1" t="s">
        <v>38</v>
      </c>
      <c r="N1154" s="11">
        <f t="shared" si="17"/>
        <v>5</v>
      </c>
    </row>
    <row r="1155" spans="1:14" ht="16" x14ac:dyDescent="0.2">
      <c r="A1155" s="3">
        <v>43461.575100297734</v>
      </c>
      <c r="B1155" s="1" t="s">
        <v>1543</v>
      </c>
      <c r="C1155" t="s">
        <v>196</v>
      </c>
      <c r="D1155">
        <v>20</v>
      </c>
      <c r="E1155">
        <v>192</v>
      </c>
      <c r="F1155">
        <v>96</v>
      </c>
      <c r="G1155">
        <v>3840</v>
      </c>
      <c r="H1155" s="4">
        <v>1920</v>
      </c>
      <c r="I1155" s="4">
        <v>1920</v>
      </c>
      <c r="J1155" t="s">
        <v>875</v>
      </c>
      <c r="K1155" t="s">
        <v>58</v>
      </c>
      <c r="L1155" s="4">
        <v>11.485823039755857</v>
      </c>
      <c r="M1155" s="1" t="s">
        <v>34</v>
      </c>
      <c r="N1155" s="11">
        <f t="shared" ref="N1155:N1218" si="18">+IF(M1155="Dissatisfied",1,IF(M1155="Satisfied",10,5))</f>
        <v>1</v>
      </c>
    </row>
    <row r="1156" spans="1:14" ht="16" x14ac:dyDescent="0.2">
      <c r="A1156" s="3">
        <v>43304.919984149536</v>
      </c>
      <c r="B1156" s="1" t="s">
        <v>1544</v>
      </c>
      <c r="C1156" t="s">
        <v>473</v>
      </c>
      <c r="D1156">
        <v>1</v>
      </c>
      <c r="E1156">
        <v>72</v>
      </c>
      <c r="F1156">
        <v>36</v>
      </c>
      <c r="G1156">
        <v>72</v>
      </c>
      <c r="H1156" s="4">
        <v>36</v>
      </c>
      <c r="I1156" s="4">
        <v>36</v>
      </c>
      <c r="J1156" t="s">
        <v>851</v>
      </c>
      <c r="K1156" t="s">
        <v>49</v>
      </c>
      <c r="L1156" s="4">
        <v>9.5176115401380308</v>
      </c>
      <c r="M1156" s="1" t="s">
        <v>38</v>
      </c>
      <c r="N1156" s="11">
        <f t="shared" si="18"/>
        <v>5</v>
      </c>
    </row>
    <row r="1157" spans="1:14" ht="16" x14ac:dyDescent="0.2">
      <c r="A1157" s="3">
        <v>43768.715069361751</v>
      </c>
      <c r="B1157" s="1" t="s">
        <v>1545</v>
      </c>
      <c r="C1157" t="s">
        <v>248</v>
      </c>
      <c r="D1157">
        <v>10</v>
      </c>
      <c r="E1157">
        <v>132</v>
      </c>
      <c r="F1157">
        <v>44</v>
      </c>
      <c r="G1157">
        <v>1320</v>
      </c>
      <c r="H1157" s="4">
        <v>440</v>
      </c>
      <c r="I1157" s="4">
        <v>880</v>
      </c>
      <c r="J1157" t="s">
        <v>79</v>
      </c>
      <c r="K1157" t="s">
        <v>64</v>
      </c>
      <c r="L1157" s="4">
        <v>12.163730387337393</v>
      </c>
      <c r="M1157" s="1" t="s">
        <v>34</v>
      </c>
      <c r="N1157" s="11">
        <f t="shared" si="18"/>
        <v>1</v>
      </c>
    </row>
    <row r="1158" spans="1:14" ht="16" x14ac:dyDescent="0.2">
      <c r="A1158" s="3">
        <v>44316.954123149721</v>
      </c>
      <c r="B1158" s="1" t="s">
        <v>751</v>
      </c>
      <c r="C1158" t="s">
        <v>276</v>
      </c>
      <c r="D1158">
        <v>17</v>
      </c>
      <c r="E1158">
        <v>57</v>
      </c>
      <c r="F1158">
        <v>19</v>
      </c>
      <c r="G1158">
        <v>969</v>
      </c>
      <c r="H1158" s="4">
        <v>323</v>
      </c>
      <c r="I1158" s="4">
        <v>646</v>
      </c>
      <c r="J1158" t="s">
        <v>202</v>
      </c>
      <c r="K1158" t="s">
        <v>58</v>
      </c>
      <c r="L1158" s="4">
        <v>13.765798454641494</v>
      </c>
      <c r="M1158" s="1" t="s">
        <v>34</v>
      </c>
      <c r="N1158" s="11">
        <f t="shared" si="18"/>
        <v>1</v>
      </c>
    </row>
    <row r="1159" spans="1:14" ht="16" x14ac:dyDescent="0.2">
      <c r="A1159" s="3">
        <v>44361.347754450777</v>
      </c>
      <c r="B1159" s="1" t="s">
        <v>1546</v>
      </c>
      <c r="C1159" t="s">
        <v>157</v>
      </c>
      <c r="D1159">
        <v>8</v>
      </c>
      <c r="E1159">
        <v>50</v>
      </c>
      <c r="F1159">
        <v>25</v>
      </c>
      <c r="G1159">
        <v>400</v>
      </c>
      <c r="H1159" s="4">
        <v>200</v>
      </c>
      <c r="I1159" s="4">
        <v>200</v>
      </c>
      <c r="J1159" t="s">
        <v>76</v>
      </c>
      <c r="K1159" t="s">
        <v>58</v>
      </c>
      <c r="L1159" s="4">
        <v>9.8384363471888783</v>
      </c>
      <c r="M1159" s="1" t="s">
        <v>38</v>
      </c>
      <c r="N1159" s="11">
        <f t="shared" si="18"/>
        <v>5</v>
      </c>
    </row>
    <row r="1160" spans="1:14" ht="16" x14ac:dyDescent="0.2">
      <c r="A1160" s="3">
        <v>44082.573867734522</v>
      </c>
      <c r="B1160" s="1" t="s">
        <v>1547</v>
      </c>
      <c r="C1160" t="s">
        <v>154</v>
      </c>
      <c r="D1160">
        <v>7</v>
      </c>
      <c r="E1160">
        <v>308</v>
      </c>
      <c r="F1160">
        <v>77</v>
      </c>
      <c r="G1160">
        <v>2156</v>
      </c>
      <c r="H1160" s="4">
        <v>539</v>
      </c>
      <c r="I1160" s="4">
        <v>1617</v>
      </c>
      <c r="J1160" t="s">
        <v>387</v>
      </c>
      <c r="K1160" t="s">
        <v>86</v>
      </c>
      <c r="L1160" s="4">
        <v>15.60430546146185</v>
      </c>
      <c r="M1160" s="1" t="s">
        <v>54</v>
      </c>
      <c r="N1160" s="11">
        <f t="shared" si="18"/>
        <v>10</v>
      </c>
    </row>
    <row r="1161" spans="1:14" ht="16" x14ac:dyDescent="0.2">
      <c r="A1161" s="3">
        <v>44430.790264706702</v>
      </c>
      <c r="B1161" s="1" t="s">
        <v>1548</v>
      </c>
      <c r="C1161" t="s">
        <v>115</v>
      </c>
      <c r="D1161">
        <v>7</v>
      </c>
      <c r="E1161">
        <v>81</v>
      </c>
      <c r="F1161">
        <v>27</v>
      </c>
      <c r="G1161">
        <v>567</v>
      </c>
      <c r="H1161" s="4">
        <v>189</v>
      </c>
      <c r="I1161" s="4">
        <v>378</v>
      </c>
      <c r="J1161" t="s">
        <v>462</v>
      </c>
      <c r="K1161" t="s">
        <v>86</v>
      </c>
      <c r="L1161" s="4">
        <v>12.732640267350657</v>
      </c>
      <c r="M1161" s="1" t="s">
        <v>38</v>
      </c>
      <c r="N1161" s="11">
        <f t="shared" si="18"/>
        <v>5</v>
      </c>
    </row>
    <row r="1162" spans="1:14" ht="16" x14ac:dyDescent="0.2">
      <c r="A1162" s="3">
        <v>44264.344457952255</v>
      </c>
      <c r="B1162" s="1" t="s">
        <v>1549</v>
      </c>
      <c r="C1162" t="s">
        <v>56</v>
      </c>
      <c r="D1162">
        <v>7</v>
      </c>
      <c r="E1162">
        <v>38</v>
      </c>
      <c r="F1162">
        <v>19</v>
      </c>
      <c r="G1162">
        <v>266</v>
      </c>
      <c r="H1162" s="4">
        <v>133</v>
      </c>
      <c r="I1162" s="4">
        <v>133</v>
      </c>
      <c r="J1162" t="s">
        <v>786</v>
      </c>
      <c r="K1162" t="s">
        <v>86</v>
      </c>
      <c r="L1162" s="4">
        <v>13.095446915421235</v>
      </c>
      <c r="M1162" s="1" t="s">
        <v>38</v>
      </c>
      <c r="N1162" s="11">
        <f t="shared" si="18"/>
        <v>5</v>
      </c>
    </row>
    <row r="1163" spans="1:14" ht="16" x14ac:dyDescent="0.2">
      <c r="A1163" s="3">
        <v>43794.343408978151</v>
      </c>
      <c r="B1163" s="1" t="s">
        <v>1550</v>
      </c>
      <c r="C1163" t="s">
        <v>410</v>
      </c>
      <c r="D1163">
        <v>7</v>
      </c>
      <c r="E1163">
        <v>84</v>
      </c>
      <c r="F1163">
        <v>21</v>
      </c>
      <c r="G1163">
        <v>588</v>
      </c>
      <c r="H1163" s="4">
        <v>147</v>
      </c>
      <c r="I1163" s="4">
        <v>441</v>
      </c>
      <c r="J1163" t="s">
        <v>574</v>
      </c>
      <c r="K1163" t="s">
        <v>58</v>
      </c>
      <c r="L1163" s="4">
        <v>13.150536103258979</v>
      </c>
      <c r="M1163" s="1" t="s">
        <v>54</v>
      </c>
      <c r="N1163" s="11">
        <f t="shared" si="18"/>
        <v>10</v>
      </c>
    </row>
    <row r="1164" spans="1:14" ht="16" x14ac:dyDescent="0.2">
      <c r="A1164" s="3">
        <v>44124.574679230966</v>
      </c>
      <c r="B1164" s="1" t="s">
        <v>1551</v>
      </c>
      <c r="C1164" t="s">
        <v>779</v>
      </c>
      <c r="D1164">
        <v>16</v>
      </c>
      <c r="E1164">
        <v>120</v>
      </c>
      <c r="F1164">
        <v>30</v>
      </c>
      <c r="G1164">
        <v>1920</v>
      </c>
      <c r="H1164" s="4">
        <v>480</v>
      </c>
      <c r="I1164" s="4">
        <v>1440</v>
      </c>
      <c r="J1164" t="s">
        <v>940</v>
      </c>
      <c r="K1164" t="s">
        <v>86</v>
      </c>
      <c r="L1164" s="4">
        <v>9.2053706474810433</v>
      </c>
      <c r="M1164" s="1" t="s">
        <v>38</v>
      </c>
      <c r="N1164" s="11">
        <f t="shared" si="18"/>
        <v>5</v>
      </c>
    </row>
    <row r="1165" spans="1:14" ht="16" x14ac:dyDescent="0.2">
      <c r="A1165" s="3">
        <v>43794.249013096116</v>
      </c>
      <c r="B1165" s="1" t="s">
        <v>1552</v>
      </c>
      <c r="C1165" t="s">
        <v>105</v>
      </c>
      <c r="D1165">
        <v>2</v>
      </c>
      <c r="E1165">
        <v>201</v>
      </c>
      <c r="F1165">
        <v>67</v>
      </c>
      <c r="G1165">
        <v>402</v>
      </c>
      <c r="H1165" s="4">
        <v>134</v>
      </c>
      <c r="I1165" s="4">
        <v>268</v>
      </c>
      <c r="J1165" t="s">
        <v>795</v>
      </c>
      <c r="K1165" t="s">
        <v>49</v>
      </c>
      <c r="L1165" s="4">
        <v>11.661237375491201</v>
      </c>
      <c r="M1165" s="1" t="s">
        <v>38</v>
      </c>
      <c r="N1165" s="11">
        <f t="shared" si="18"/>
        <v>5</v>
      </c>
    </row>
    <row r="1166" spans="1:14" ht="16" x14ac:dyDescent="0.2">
      <c r="A1166" s="3">
        <v>44252.334655306629</v>
      </c>
      <c r="B1166" s="1" t="s">
        <v>1553</v>
      </c>
      <c r="C1166" t="s">
        <v>561</v>
      </c>
      <c r="D1166">
        <v>15</v>
      </c>
      <c r="E1166">
        <v>384</v>
      </c>
      <c r="F1166">
        <v>96</v>
      </c>
      <c r="G1166">
        <v>5760</v>
      </c>
      <c r="H1166" s="4">
        <v>1440</v>
      </c>
      <c r="I1166" s="4">
        <v>4320</v>
      </c>
      <c r="J1166" t="s">
        <v>1432</v>
      </c>
      <c r="K1166" t="s">
        <v>53</v>
      </c>
      <c r="L1166" s="4">
        <v>13.2671922973198</v>
      </c>
      <c r="M1166" s="1" t="s">
        <v>38</v>
      </c>
      <c r="N1166" s="11">
        <f t="shared" si="18"/>
        <v>5</v>
      </c>
    </row>
    <row r="1167" spans="1:14" ht="16" x14ac:dyDescent="0.2">
      <c r="A1167" s="3">
        <v>44185.073938062531</v>
      </c>
      <c r="B1167" s="1" t="s">
        <v>1554</v>
      </c>
      <c r="C1167" t="s">
        <v>163</v>
      </c>
      <c r="D1167">
        <v>13</v>
      </c>
      <c r="E1167">
        <v>108</v>
      </c>
      <c r="F1167">
        <v>36</v>
      </c>
      <c r="G1167">
        <v>1404</v>
      </c>
      <c r="H1167" s="4">
        <v>468</v>
      </c>
      <c r="I1167" s="4">
        <v>936</v>
      </c>
      <c r="J1167" t="s">
        <v>281</v>
      </c>
      <c r="K1167" t="s">
        <v>33</v>
      </c>
      <c r="L1167" s="4">
        <v>11.428575823958646</v>
      </c>
      <c r="M1167" s="1" t="s">
        <v>34</v>
      </c>
      <c r="N1167" s="11">
        <f t="shared" si="18"/>
        <v>1</v>
      </c>
    </row>
    <row r="1168" spans="1:14" ht="16" x14ac:dyDescent="0.2">
      <c r="A1168" s="3">
        <v>45078.020476154481</v>
      </c>
      <c r="B1168" s="1" t="s">
        <v>1555</v>
      </c>
      <c r="C1168" t="s">
        <v>44</v>
      </c>
      <c r="D1168">
        <v>17</v>
      </c>
      <c r="E1168">
        <v>114</v>
      </c>
      <c r="F1168">
        <v>57</v>
      </c>
      <c r="G1168">
        <v>1938</v>
      </c>
      <c r="H1168" s="4">
        <v>969</v>
      </c>
      <c r="I1168" s="4">
        <v>969</v>
      </c>
      <c r="J1168" t="s">
        <v>246</v>
      </c>
      <c r="K1168" t="s">
        <v>58</v>
      </c>
      <c r="L1168" s="4">
        <v>15.234329552872023</v>
      </c>
      <c r="M1168" s="1" t="s">
        <v>54</v>
      </c>
      <c r="N1168" s="11">
        <f t="shared" si="18"/>
        <v>10</v>
      </c>
    </row>
    <row r="1169" spans="1:14" ht="16" x14ac:dyDescent="0.2">
      <c r="A1169" s="3">
        <v>43854.482446597482</v>
      </c>
      <c r="B1169" s="1" t="s">
        <v>1556</v>
      </c>
      <c r="C1169" t="s">
        <v>88</v>
      </c>
      <c r="D1169">
        <v>18</v>
      </c>
      <c r="E1169">
        <v>210</v>
      </c>
      <c r="F1169">
        <v>70</v>
      </c>
      <c r="G1169">
        <v>3780</v>
      </c>
      <c r="H1169" s="4">
        <v>1260</v>
      </c>
      <c r="I1169" s="4">
        <v>2520</v>
      </c>
      <c r="J1169" t="s">
        <v>76</v>
      </c>
      <c r="K1169" t="s">
        <v>58</v>
      </c>
      <c r="L1169" s="4">
        <v>9.8384363471888783</v>
      </c>
      <c r="M1169" s="1" t="s">
        <v>38</v>
      </c>
      <c r="N1169" s="11">
        <f t="shared" si="18"/>
        <v>5</v>
      </c>
    </row>
    <row r="1170" spans="1:14" ht="16" x14ac:dyDescent="0.2">
      <c r="A1170" s="3">
        <v>43879.457016730674</v>
      </c>
      <c r="B1170" s="1" t="s">
        <v>1557</v>
      </c>
      <c r="C1170" t="s">
        <v>340</v>
      </c>
      <c r="D1170">
        <v>17</v>
      </c>
      <c r="E1170">
        <v>180</v>
      </c>
      <c r="F1170">
        <v>45</v>
      </c>
      <c r="G1170">
        <v>3060</v>
      </c>
      <c r="H1170" s="4">
        <v>765</v>
      </c>
      <c r="I1170" s="4">
        <v>2295</v>
      </c>
      <c r="J1170" t="s">
        <v>495</v>
      </c>
      <c r="K1170" t="s">
        <v>64</v>
      </c>
      <c r="L1170" s="4">
        <v>8.8878868765808274</v>
      </c>
      <c r="M1170" s="1" t="s">
        <v>38</v>
      </c>
      <c r="N1170" s="11">
        <f t="shared" si="18"/>
        <v>5</v>
      </c>
    </row>
    <row r="1171" spans="1:14" ht="16" x14ac:dyDescent="0.2">
      <c r="A1171" s="3">
        <v>43461.087855888596</v>
      </c>
      <c r="B1171" s="1" t="s">
        <v>1558</v>
      </c>
      <c r="C1171" t="s">
        <v>356</v>
      </c>
      <c r="D1171">
        <v>19</v>
      </c>
      <c r="E1171">
        <v>356</v>
      </c>
      <c r="F1171">
        <v>89</v>
      </c>
      <c r="G1171">
        <v>6764</v>
      </c>
      <c r="H1171" s="4">
        <v>1691</v>
      </c>
      <c r="I1171" s="4">
        <v>5073</v>
      </c>
      <c r="J1171" t="s">
        <v>444</v>
      </c>
      <c r="K1171" t="s">
        <v>42</v>
      </c>
      <c r="L1171" s="4">
        <v>15.861056998489449</v>
      </c>
      <c r="M1171" s="1" t="s">
        <v>54</v>
      </c>
      <c r="N1171" s="11">
        <f t="shared" si="18"/>
        <v>10</v>
      </c>
    </row>
    <row r="1172" spans="1:14" ht="16" x14ac:dyDescent="0.2">
      <c r="A1172" s="3">
        <v>43717.916307197054</v>
      </c>
      <c r="B1172" s="1" t="s">
        <v>1559</v>
      </c>
      <c r="C1172" t="s">
        <v>178</v>
      </c>
      <c r="D1172">
        <v>12</v>
      </c>
      <c r="E1172">
        <v>189</v>
      </c>
      <c r="F1172">
        <v>63</v>
      </c>
      <c r="G1172">
        <v>2268</v>
      </c>
      <c r="H1172" s="4">
        <v>756</v>
      </c>
      <c r="I1172" s="4">
        <v>1512</v>
      </c>
      <c r="J1172" t="s">
        <v>1560</v>
      </c>
      <c r="K1172" t="s">
        <v>86</v>
      </c>
      <c r="L1172" s="4">
        <v>14.412865837260112</v>
      </c>
      <c r="M1172" s="1" t="s">
        <v>38</v>
      </c>
      <c r="N1172" s="11">
        <f t="shared" si="18"/>
        <v>5</v>
      </c>
    </row>
    <row r="1173" spans="1:14" ht="16" x14ac:dyDescent="0.2">
      <c r="A1173" s="3">
        <v>44618.655338641132</v>
      </c>
      <c r="B1173" s="1" t="s">
        <v>1561</v>
      </c>
      <c r="C1173" t="s">
        <v>391</v>
      </c>
      <c r="D1173">
        <v>8</v>
      </c>
      <c r="E1173">
        <v>72</v>
      </c>
      <c r="F1173">
        <v>36</v>
      </c>
      <c r="G1173">
        <v>576</v>
      </c>
      <c r="H1173" s="4">
        <v>288</v>
      </c>
      <c r="I1173" s="4">
        <v>288</v>
      </c>
      <c r="J1173" t="s">
        <v>191</v>
      </c>
      <c r="K1173" t="s">
        <v>42</v>
      </c>
      <c r="L1173" s="4">
        <v>10.523527521613014</v>
      </c>
      <c r="M1173" s="1" t="s">
        <v>38</v>
      </c>
      <c r="N1173" s="11">
        <f t="shared" si="18"/>
        <v>5</v>
      </c>
    </row>
    <row r="1174" spans="1:14" ht="16" x14ac:dyDescent="0.2">
      <c r="A1174" s="3">
        <v>45229.985326591581</v>
      </c>
      <c r="B1174" s="1" t="s">
        <v>1562</v>
      </c>
      <c r="C1174" t="s">
        <v>139</v>
      </c>
      <c r="D1174">
        <v>1</v>
      </c>
      <c r="E1174">
        <v>320</v>
      </c>
      <c r="F1174">
        <v>80</v>
      </c>
      <c r="G1174">
        <v>320</v>
      </c>
      <c r="H1174" s="4">
        <v>80</v>
      </c>
      <c r="I1174" s="4">
        <v>240</v>
      </c>
      <c r="J1174" t="s">
        <v>32</v>
      </c>
      <c r="K1174" t="s">
        <v>33</v>
      </c>
      <c r="L1174" s="4">
        <v>10.278063859084313</v>
      </c>
      <c r="M1174" s="1" t="s">
        <v>38</v>
      </c>
      <c r="N1174" s="11">
        <f t="shared" si="18"/>
        <v>5</v>
      </c>
    </row>
    <row r="1175" spans="1:14" ht="16" x14ac:dyDescent="0.2">
      <c r="A1175" s="3">
        <v>43785.422113441491</v>
      </c>
      <c r="B1175" s="1" t="s">
        <v>1563</v>
      </c>
      <c r="C1175" t="s">
        <v>299</v>
      </c>
      <c r="D1175">
        <v>18</v>
      </c>
      <c r="E1175">
        <v>225</v>
      </c>
      <c r="F1175">
        <v>75</v>
      </c>
      <c r="G1175">
        <v>4050</v>
      </c>
      <c r="H1175" s="4">
        <v>1350</v>
      </c>
      <c r="I1175" s="4">
        <v>2700</v>
      </c>
      <c r="J1175" t="s">
        <v>1022</v>
      </c>
      <c r="K1175" t="s">
        <v>49</v>
      </c>
      <c r="L1175" s="4">
        <v>15.268550004010105</v>
      </c>
      <c r="M1175" s="1" t="s">
        <v>54</v>
      </c>
      <c r="N1175" s="11">
        <f t="shared" si="18"/>
        <v>10</v>
      </c>
    </row>
    <row r="1176" spans="1:14" ht="16" x14ac:dyDescent="0.2">
      <c r="A1176" s="3">
        <v>43689.111534655509</v>
      </c>
      <c r="B1176" s="1" t="s">
        <v>1564</v>
      </c>
      <c r="C1176" t="s">
        <v>538</v>
      </c>
      <c r="D1176">
        <v>20</v>
      </c>
      <c r="E1176">
        <v>261</v>
      </c>
      <c r="F1176">
        <v>87</v>
      </c>
      <c r="G1176">
        <v>5220</v>
      </c>
      <c r="H1176" s="4">
        <v>1740</v>
      </c>
      <c r="I1176" s="4">
        <v>3480</v>
      </c>
      <c r="J1176" t="s">
        <v>574</v>
      </c>
      <c r="K1176" t="s">
        <v>58</v>
      </c>
      <c r="L1176" s="4">
        <v>13.150536103258979</v>
      </c>
      <c r="M1176" s="1" t="s">
        <v>38</v>
      </c>
      <c r="N1176" s="11">
        <f t="shared" si="18"/>
        <v>5</v>
      </c>
    </row>
    <row r="1177" spans="1:14" ht="16" x14ac:dyDescent="0.2">
      <c r="A1177" s="3">
        <v>43683.350573789176</v>
      </c>
      <c r="B1177" s="1" t="s">
        <v>1503</v>
      </c>
      <c r="C1177" t="s">
        <v>133</v>
      </c>
      <c r="D1177">
        <v>16</v>
      </c>
      <c r="E1177">
        <v>189</v>
      </c>
      <c r="F1177">
        <v>63</v>
      </c>
      <c r="G1177">
        <v>3024</v>
      </c>
      <c r="H1177" s="4">
        <v>1008</v>
      </c>
      <c r="I1177" s="4">
        <v>2016</v>
      </c>
      <c r="J1177" t="s">
        <v>401</v>
      </c>
      <c r="K1177" t="s">
        <v>58</v>
      </c>
      <c r="L1177" s="4">
        <v>11.394777319422785</v>
      </c>
      <c r="M1177" s="1" t="s">
        <v>38</v>
      </c>
      <c r="N1177" s="11">
        <f t="shared" si="18"/>
        <v>5</v>
      </c>
    </row>
    <row r="1178" spans="1:14" ht="16" x14ac:dyDescent="0.2">
      <c r="A1178" s="3">
        <v>44482.630812510295</v>
      </c>
      <c r="B1178" s="1" t="s">
        <v>1565</v>
      </c>
      <c r="C1178" t="s">
        <v>157</v>
      </c>
      <c r="D1178">
        <v>13</v>
      </c>
      <c r="E1178">
        <v>50</v>
      </c>
      <c r="F1178">
        <v>25</v>
      </c>
      <c r="G1178">
        <v>650</v>
      </c>
      <c r="H1178" s="4">
        <v>325</v>
      </c>
      <c r="I1178" s="4">
        <v>325</v>
      </c>
      <c r="J1178" t="s">
        <v>228</v>
      </c>
      <c r="K1178" t="s">
        <v>53</v>
      </c>
      <c r="L1178" s="4">
        <v>14.377134310720955</v>
      </c>
      <c r="M1178" s="1" t="s">
        <v>38</v>
      </c>
      <c r="N1178" s="11">
        <f t="shared" si="18"/>
        <v>5</v>
      </c>
    </row>
    <row r="1179" spans="1:14" ht="16" x14ac:dyDescent="0.2">
      <c r="A1179" s="3">
        <v>43810.881263009796</v>
      </c>
      <c r="B1179" s="1" t="s">
        <v>1566</v>
      </c>
      <c r="C1179" t="s">
        <v>66</v>
      </c>
      <c r="D1179">
        <v>12</v>
      </c>
      <c r="E1179">
        <v>144</v>
      </c>
      <c r="F1179">
        <v>48</v>
      </c>
      <c r="G1179">
        <v>1728</v>
      </c>
      <c r="H1179" s="4">
        <v>576</v>
      </c>
      <c r="I1179" s="4">
        <v>1152</v>
      </c>
      <c r="J1179" t="s">
        <v>1129</v>
      </c>
      <c r="K1179" t="s">
        <v>33</v>
      </c>
      <c r="L1179" s="4">
        <v>10.585251392347548</v>
      </c>
      <c r="M1179" s="1" t="s">
        <v>54</v>
      </c>
      <c r="N1179" s="11">
        <f t="shared" si="18"/>
        <v>10</v>
      </c>
    </row>
    <row r="1180" spans="1:14" ht="16" x14ac:dyDescent="0.2">
      <c r="A1180" s="3">
        <v>44004.964020205625</v>
      </c>
      <c r="B1180" s="1" t="s">
        <v>1567</v>
      </c>
      <c r="C1180" t="s">
        <v>592</v>
      </c>
      <c r="D1180">
        <v>7</v>
      </c>
      <c r="E1180">
        <v>312</v>
      </c>
      <c r="F1180">
        <v>78</v>
      </c>
      <c r="G1180">
        <v>2184</v>
      </c>
      <c r="H1180" s="4">
        <v>546</v>
      </c>
      <c r="I1180" s="4">
        <v>1638</v>
      </c>
      <c r="J1180" t="s">
        <v>521</v>
      </c>
      <c r="K1180" t="s">
        <v>58</v>
      </c>
      <c r="L1180" s="4">
        <v>8.8514729234790472</v>
      </c>
      <c r="M1180" s="1" t="s">
        <v>54</v>
      </c>
      <c r="N1180" s="11">
        <f t="shared" si="18"/>
        <v>10</v>
      </c>
    </row>
    <row r="1181" spans="1:14" ht="16" x14ac:dyDescent="0.2">
      <c r="A1181" s="3">
        <v>44830.184131890746</v>
      </c>
      <c r="B1181" s="1" t="s">
        <v>1568</v>
      </c>
      <c r="C1181" t="s">
        <v>788</v>
      </c>
      <c r="D1181">
        <v>1</v>
      </c>
      <c r="E1181">
        <v>100</v>
      </c>
      <c r="F1181">
        <v>25</v>
      </c>
      <c r="G1181">
        <v>100</v>
      </c>
      <c r="H1181" s="4">
        <v>25</v>
      </c>
      <c r="I1181" s="4">
        <v>75</v>
      </c>
      <c r="J1181" t="s">
        <v>236</v>
      </c>
      <c r="K1181" t="s">
        <v>53</v>
      </c>
      <c r="L1181" s="4">
        <v>9.3014286057233697</v>
      </c>
      <c r="M1181" s="1" t="s">
        <v>54</v>
      </c>
      <c r="N1181" s="11">
        <f t="shared" si="18"/>
        <v>10</v>
      </c>
    </row>
    <row r="1182" spans="1:14" ht="16" x14ac:dyDescent="0.2">
      <c r="A1182" s="3">
        <v>44167.223244720983</v>
      </c>
      <c r="B1182" s="1" t="s">
        <v>1569</v>
      </c>
      <c r="C1182" t="s">
        <v>252</v>
      </c>
      <c r="D1182">
        <v>2</v>
      </c>
      <c r="E1182">
        <v>252</v>
      </c>
      <c r="F1182">
        <v>63</v>
      </c>
      <c r="G1182">
        <v>504</v>
      </c>
      <c r="H1182" s="4">
        <v>126</v>
      </c>
      <c r="I1182" s="4">
        <v>378</v>
      </c>
      <c r="J1182" t="s">
        <v>856</v>
      </c>
      <c r="K1182" t="s">
        <v>42</v>
      </c>
      <c r="L1182" s="4">
        <v>11.226611755437654</v>
      </c>
      <c r="M1182" s="1" t="s">
        <v>38</v>
      </c>
      <c r="N1182" s="11">
        <f t="shared" si="18"/>
        <v>5</v>
      </c>
    </row>
    <row r="1183" spans="1:14" ht="16" x14ac:dyDescent="0.2">
      <c r="A1183" s="3">
        <v>43569.504581684982</v>
      </c>
      <c r="B1183" s="1" t="s">
        <v>1570</v>
      </c>
      <c r="C1183" t="s">
        <v>266</v>
      </c>
      <c r="D1183">
        <v>6</v>
      </c>
      <c r="E1183">
        <v>50</v>
      </c>
      <c r="F1183">
        <v>25</v>
      </c>
      <c r="G1183">
        <v>300</v>
      </c>
      <c r="H1183" s="4">
        <v>150</v>
      </c>
      <c r="I1183" s="4">
        <v>150</v>
      </c>
      <c r="J1183" t="s">
        <v>318</v>
      </c>
      <c r="K1183" t="s">
        <v>33</v>
      </c>
      <c r="L1183" s="4">
        <v>9.0350666811770921</v>
      </c>
      <c r="M1183" s="1" t="s">
        <v>34</v>
      </c>
      <c r="N1183" s="11">
        <f t="shared" si="18"/>
        <v>1</v>
      </c>
    </row>
    <row r="1184" spans="1:14" ht="16" x14ac:dyDescent="0.2">
      <c r="A1184" s="3">
        <v>43687.326574070561</v>
      </c>
      <c r="B1184" s="1" t="s">
        <v>1571</v>
      </c>
      <c r="C1184" t="s">
        <v>56</v>
      </c>
      <c r="D1184">
        <v>4</v>
      </c>
      <c r="E1184">
        <v>38</v>
      </c>
      <c r="F1184">
        <v>19</v>
      </c>
      <c r="G1184">
        <v>152</v>
      </c>
      <c r="H1184" s="4">
        <v>76</v>
      </c>
      <c r="I1184" s="4">
        <v>76</v>
      </c>
      <c r="J1184" t="s">
        <v>1223</v>
      </c>
      <c r="K1184" t="s">
        <v>53</v>
      </c>
      <c r="L1184" s="4">
        <v>10.428287009858728</v>
      </c>
      <c r="M1184" s="1" t="s">
        <v>34</v>
      </c>
      <c r="N1184" s="11">
        <f t="shared" si="18"/>
        <v>1</v>
      </c>
    </row>
    <row r="1185" spans="1:14" ht="16" x14ac:dyDescent="0.2">
      <c r="A1185" s="3">
        <v>43925.361427746124</v>
      </c>
      <c r="B1185" s="1" t="s">
        <v>1572</v>
      </c>
      <c r="C1185" t="s">
        <v>286</v>
      </c>
      <c r="D1185">
        <v>18</v>
      </c>
      <c r="E1185">
        <v>34</v>
      </c>
      <c r="F1185">
        <v>17</v>
      </c>
      <c r="G1185">
        <v>612</v>
      </c>
      <c r="H1185" s="4">
        <v>306</v>
      </c>
      <c r="I1185" s="4">
        <v>306</v>
      </c>
      <c r="J1185" t="s">
        <v>1573</v>
      </c>
      <c r="K1185" t="s">
        <v>64</v>
      </c>
      <c r="L1185" s="4">
        <v>10.78374703625888</v>
      </c>
      <c r="M1185" s="1" t="s">
        <v>38</v>
      </c>
      <c r="N1185" s="11">
        <f t="shared" si="18"/>
        <v>5</v>
      </c>
    </row>
    <row r="1186" spans="1:14" ht="16" x14ac:dyDescent="0.2">
      <c r="A1186" s="3">
        <v>43178.560113065229</v>
      </c>
      <c r="B1186" s="1" t="s">
        <v>1574</v>
      </c>
      <c r="C1186" t="s">
        <v>142</v>
      </c>
      <c r="D1186">
        <v>20</v>
      </c>
      <c r="E1186">
        <v>210</v>
      </c>
      <c r="F1186">
        <v>70</v>
      </c>
      <c r="G1186">
        <v>4200</v>
      </c>
      <c r="H1186" s="4">
        <v>1400</v>
      </c>
      <c r="I1186" s="4">
        <v>2800</v>
      </c>
      <c r="J1186" t="s">
        <v>197</v>
      </c>
      <c r="K1186" t="s">
        <v>49</v>
      </c>
      <c r="L1186" s="4">
        <v>13.288482149665386</v>
      </c>
      <c r="M1186" s="1" t="s">
        <v>54</v>
      </c>
      <c r="N1186" s="11">
        <f t="shared" si="18"/>
        <v>10</v>
      </c>
    </row>
    <row r="1187" spans="1:14" ht="16" x14ac:dyDescent="0.2">
      <c r="A1187" s="3">
        <v>43551.223547930182</v>
      </c>
      <c r="B1187" s="1" t="s">
        <v>1575</v>
      </c>
      <c r="C1187" t="s">
        <v>523</v>
      </c>
      <c r="D1187">
        <v>7</v>
      </c>
      <c r="E1187">
        <v>92</v>
      </c>
      <c r="F1187">
        <v>46</v>
      </c>
      <c r="G1187">
        <v>644</v>
      </c>
      <c r="H1187" s="4">
        <v>322</v>
      </c>
      <c r="I1187" s="4">
        <v>322</v>
      </c>
      <c r="J1187" t="s">
        <v>611</v>
      </c>
      <c r="K1187" t="s">
        <v>58</v>
      </c>
      <c r="L1187" s="4">
        <v>7.8974070387684714</v>
      </c>
      <c r="M1187" s="1" t="s">
        <v>34</v>
      </c>
      <c r="N1187" s="11">
        <f t="shared" si="18"/>
        <v>1</v>
      </c>
    </row>
    <row r="1188" spans="1:14" ht="16" x14ac:dyDescent="0.2">
      <c r="A1188" s="3">
        <v>44348.835398705465</v>
      </c>
      <c r="B1188" s="1" t="s">
        <v>1576</v>
      </c>
      <c r="C1188" t="s">
        <v>154</v>
      </c>
      <c r="D1188">
        <v>2</v>
      </c>
      <c r="E1188">
        <v>308</v>
      </c>
      <c r="F1188">
        <v>77</v>
      </c>
      <c r="G1188">
        <v>616</v>
      </c>
      <c r="H1188" s="4">
        <v>154</v>
      </c>
      <c r="I1188" s="4">
        <v>462</v>
      </c>
      <c r="J1188" t="s">
        <v>923</v>
      </c>
      <c r="K1188" t="s">
        <v>42</v>
      </c>
      <c r="L1188" s="4">
        <v>12.502346728827876</v>
      </c>
      <c r="M1188" s="1" t="s">
        <v>38</v>
      </c>
      <c r="N1188" s="11">
        <f t="shared" si="18"/>
        <v>5</v>
      </c>
    </row>
    <row r="1189" spans="1:14" ht="16" x14ac:dyDescent="0.2">
      <c r="A1189" s="3">
        <v>43309.526085508063</v>
      </c>
      <c r="B1189" s="1" t="s">
        <v>1577</v>
      </c>
      <c r="C1189" t="s">
        <v>288</v>
      </c>
      <c r="D1189">
        <v>8</v>
      </c>
      <c r="E1189">
        <v>48</v>
      </c>
      <c r="F1189">
        <v>24</v>
      </c>
      <c r="G1189">
        <v>384</v>
      </c>
      <c r="H1189" s="4">
        <v>192</v>
      </c>
      <c r="I1189" s="4">
        <v>192</v>
      </c>
      <c r="J1189" t="s">
        <v>401</v>
      </c>
      <c r="K1189" t="s">
        <v>58</v>
      </c>
      <c r="L1189" s="4">
        <v>11.394777319422785</v>
      </c>
      <c r="M1189" s="1" t="s">
        <v>38</v>
      </c>
      <c r="N1189" s="11">
        <f t="shared" si="18"/>
        <v>5</v>
      </c>
    </row>
    <row r="1190" spans="1:14" ht="16" x14ac:dyDescent="0.2">
      <c r="A1190" s="3">
        <v>44114.601535718895</v>
      </c>
      <c r="B1190" s="1" t="s">
        <v>1578</v>
      </c>
      <c r="C1190" t="s">
        <v>370</v>
      </c>
      <c r="D1190">
        <v>4</v>
      </c>
      <c r="E1190">
        <v>144</v>
      </c>
      <c r="F1190">
        <v>36</v>
      </c>
      <c r="G1190">
        <v>576</v>
      </c>
      <c r="H1190" s="4">
        <v>144</v>
      </c>
      <c r="I1190" s="4">
        <v>432</v>
      </c>
      <c r="J1190" t="s">
        <v>1101</v>
      </c>
      <c r="K1190" t="s">
        <v>33</v>
      </c>
      <c r="L1190" s="4">
        <v>9.8776671534059073</v>
      </c>
      <c r="M1190" s="1" t="s">
        <v>38</v>
      </c>
      <c r="N1190" s="11">
        <f t="shared" si="18"/>
        <v>5</v>
      </c>
    </row>
    <row r="1191" spans="1:14" ht="16" x14ac:dyDescent="0.2">
      <c r="A1191" s="3">
        <v>43732.736548127206</v>
      </c>
      <c r="B1191" s="1" t="s">
        <v>1579</v>
      </c>
      <c r="C1191" t="s">
        <v>299</v>
      </c>
      <c r="D1191">
        <v>20</v>
      </c>
      <c r="E1191">
        <v>225</v>
      </c>
      <c r="F1191">
        <v>75</v>
      </c>
      <c r="G1191">
        <v>4500</v>
      </c>
      <c r="H1191" s="4">
        <v>1500</v>
      </c>
      <c r="I1191" s="4">
        <v>3000</v>
      </c>
      <c r="J1191" t="s">
        <v>387</v>
      </c>
      <c r="K1191" t="s">
        <v>86</v>
      </c>
      <c r="L1191" s="4">
        <v>15.60430546146185</v>
      </c>
      <c r="M1191" s="1" t="s">
        <v>38</v>
      </c>
      <c r="N1191" s="11">
        <f t="shared" si="18"/>
        <v>5</v>
      </c>
    </row>
    <row r="1192" spans="1:14" ht="16" x14ac:dyDescent="0.2">
      <c r="A1192" s="3">
        <v>43799.678862720903</v>
      </c>
      <c r="B1192" s="1" t="s">
        <v>1580</v>
      </c>
      <c r="C1192" t="s">
        <v>391</v>
      </c>
      <c r="D1192">
        <v>14</v>
      </c>
      <c r="E1192">
        <v>72</v>
      </c>
      <c r="F1192">
        <v>36</v>
      </c>
      <c r="G1192">
        <v>1008</v>
      </c>
      <c r="H1192" s="4">
        <v>504</v>
      </c>
      <c r="I1192" s="4">
        <v>504</v>
      </c>
      <c r="J1192" t="s">
        <v>1136</v>
      </c>
      <c r="K1192" t="s">
        <v>49</v>
      </c>
      <c r="L1192" s="4">
        <v>14.129095302641241</v>
      </c>
      <c r="M1192" s="1" t="s">
        <v>38</v>
      </c>
      <c r="N1192" s="11">
        <f t="shared" si="18"/>
        <v>5</v>
      </c>
    </row>
    <row r="1193" spans="1:14" ht="16" x14ac:dyDescent="0.2">
      <c r="A1193" s="3">
        <v>43718.743987983835</v>
      </c>
      <c r="B1193" s="1" t="s">
        <v>1581</v>
      </c>
      <c r="C1193" t="s">
        <v>196</v>
      </c>
      <c r="D1193">
        <v>6</v>
      </c>
      <c r="E1193">
        <v>192</v>
      </c>
      <c r="F1193">
        <v>96</v>
      </c>
      <c r="G1193">
        <v>1152</v>
      </c>
      <c r="H1193" s="4">
        <v>576</v>
      </c>
      <c r="I1193" s="4">
        <v>576</v>
      </c>
      <c r="J1193" t="s">
        <v>562</v>
      </c>
      <c r="K1193" t="s">
        <v>49</v>
      </c>
      <c r="L1193" s="4">
        <v>11.808681852148307</v>
      </c>
      <c r="M1193" s="1" t="s">
        <v>38</v>
      </c>
      <c r="N1193" s="11">
        <f t="shared" si="18"/>
        <v>5</v>
      </c>
    </row>
    <row r="1194" spans="1:14" ht="16" x14ac:dyDescent="0.2">
      <c r="A1194" s="3">
        <v>44079.783532670495</v>
      </c>
      <c r="B1194" s="1" t="s">
        <v>1582</v>
      </c>
      <c r="C1194" t="s">
        <v>503</v>
      </c>
      <c r="D1194">
        <v>9</v>
      </c>
      <c r="E1194">
        <v>50</v>
      </c>
      <c r="F1194">
        <v>25</v>
      </c>
      <c r="G1194">
        <v>450</v>
      </c>
      <c r="H1194" s="4">
        <v>225</v>
      </c>
      <c r="I1194" s="4">
        <v>225</v>
      </c>
      <c r="J1194" t="s">
        <v>234</v>
      </c>
      <c r="K1194" t="s">
        <v>64</v>
      </c>
      <c r="L1194" s="4">
        <v>12.200533931675887</v>
      </c>
      <c r="M1194" s="1" t="s">
        <v>38</v>
      </c>
      <c r="N1194" s="11">
        <f t="shared" si="18"/>
        <v>5</v>
      </c>
    </row>
    <row r="1195" spans="1:14" ht="16" x14ac:dyDescent="0.2">
      <c r="A1195" s="3">
        <v>44995.01980032026</v>
      </c>
      <c r="B1195" s="1" t="s">
        <v>1583</v>
      </c>
      <c r="C1195" t="s">
        <v>44</v>
      </c>
      <c r="D1195">
        <v>4</v>
      </c>
      <c r="E1195">
        <v>114</v>
      </c>
      <c r="F1195">
        <v>57</v>
      </c>
      <c r="G1195">
        <v>456</v>
      </c>
      <c r="H1195" s="4">
        <v>228</v>
      </c>
      <c r="I1195" s="4">
        <v>228</v>
      </c>
      <c r="J1195" t="s">
        <v>1343</v>
      </c>
      <c r="K1195" t="s">
        <v>49</v>
      </c>
      <c r="L1195" s="4">
        <v>9.1264071155960682</v>
      </c>
      <c r="M1195" s="1" t="s">
        <v>34</v>
      </c>
      <c r="N1195" s="11">
        <f t="shared" si="18"/>
        <v>1</v>
      </c>
    </row>
    <row r="1196" spans="1:14" ht="16" x14ac:dyDescent="0.2">
      <c r="A1196" s="3">
        <v>43663.843577940555</v>
      </c>
      <c r="B1196" s="1" t="s">
        <v>1584</v>
      </c>
      <c r="C1196" t="s">
        <v>98</v>
      </c>
      <c r="D1196">
        <v>6</v>
      </c>
      <c r="E1196">
        <v>156</v>
      </c>
      <c r="F1196">
        <v>78</v>
      </c>
      <c r="G1196">
        <v>936</v>
      </c>
      <c r="H1196" s="4">
        <v>468</v>
      </c>
      <c r="I1196" s="4">
        <v>468</v>
      </c>
      <c r="J1196" t="s">
        <v>638</v>
      </c>
      <c r="K1196" t="s">
        <v>33</v>
      </c>
      <c r="L1196" s="4">
        <v>12.131375018945562</v>
      </c>
      <c r="M1196" s="1" t="s">
        <v>38</v>
      </c>
      <c r="N1196" s="11">
        <f t="shared" si="18"/>
        <v>5</v>
      </c>
    </row>
    <row r="1197" spans="1:14" ht="16" x14ac:dyDescent="0.2">
      <c r="A1197" s="3">
        <v>43794.84054683306</v>
      </c>
      <c r="B1197" s="1" t="s">
        <v>1585</v>
      </c>
      <c r="C1197" t="s">
        <v>160</v>
      </c>
      <c r="D1197">
        <v>5</v>
      </c>
      <c r="E1197">
        <v>132</v>
      </c>
      <c r="F1197">
        <v>33</v>
      </c>
      <c r="G1197">
        <v>660</v>
      </c>
      <c r="H1197" s="4">
        <v>165</v>
      </c>
      <c r="I1197" s="4">
        <v>495</v>
      </c>
      <c r="J1197" t="s">
        <v>85</v>
      </c>
      <c r="K1197" t="s">
        <v>86</v>
      </c>
      <c r="L1197" s="4">
        <v>11.631646244583138</v>
      </c>
      <c r="M1197" s="1" t="s">
        <v>34</v>
      </c>
      <c r="N1197" s="11">
        <f t="shared" si="18"/>
        <v>1</v>
      </c>
    </row>
    <row r="1198" spans="1:14" ht="16" x14ac:dyDescent="0.2">
      <c r="A1198" s="3">
        <v>43014.744809505864</v>
      </c>
      <c r="B1198" s="1" t="s">
        <v>1586</v>
      </c>
      <c r="C1198" t="s">
        <v>340</v>
      </c>
      <c r="D1198">
        <v>13</v>
      </c>
      <c r="E1198">
        <v>180</v>
      </c>
      <c r="F1198">
        <v>45</v>
      </c>
      <c r="G1198">
        <v>2340</v>
      </c>
      <c r="H1198" s="4">
        <v>585</v>
      </c>
      <c r="I1198" s="4">
        <v>1755</v>
      </c>
      <c r="J1198" t="s">
        <v>268</v>
      </c>
      <c r="K1198" t="s">
        <v>49</v>
      </c>
      <c r="L1198" s="4">
        <v>11.756374828790458</v>
      </c>
      <c r="M1198" s="1" t="s">
        <v>34</v>
      </c>
      <c r="N1198" s="11">
        <f t="shared" si="18"/>
        <v>1</v>
      </c>
    </row>
    <row r="1199" spans="1:14" ht="16" x14ac:dyDescent="0.2">
      <c r="A1199" s="3">
        <v>43932.432232152009</v>
      </c>
      <c r="B1199" s="1" t="s">
        <v>1587</v>
      </c>
      <c r="C1199" t="s">
        <v>125</v>
      </c>
      <c r="D1199">
        <v>19</v>
      </c>
      <c r="E1199">
        <v>176</v>
      </c>
      <c r="F1199">
        <v>88</v>
      </c>
      <c r="G1199">
        <v>3344</v>
      </c>
      <c r="H1199" s="4">
        <v>1672</v>
      </c>
      <c r="I1199" s="4">
        <v>1672</v>
      </c>
      <c r="J1199" t="s">
        <v>128</v>
      </c>
      <c r="K1199" t="s">
        <v>42</v>
      </c>
      <c r="L1199" s="4">
        <v>15.487214309603928</v>
      </c>
      <c r="M1199" s="1" t="s">
        <v>38</v>
      </c>
      <c r="N1199" s="11">
        <f t="shared" si="18"/>
        <v>5</v>
      </c>
    </row>
    <row r="1200" spans="1:14" ht="16" x14ac:dyDescent="0.2">
      <c r="A1200" s="3">
        <v>43919.586474561453</v>
      </c>
      <c r="B1200" s="1" t="s">
        <v>1588</v>
      </c>
      <c r="C1200" t="s">
        <v>105</v>
      </c>
      <c r="D1200">
        <v>8</v>
      </c>
      <c r="E1200">
        <v>201</v>
      </c>
      <c r="F1200">
        <v>67</v>
      </c>
      <c r="G1200">
        <v>1608</v>
      </c>
      <c r="H1200" s="4">
        <v>536</v>
      </c>
      <c r="I1200" s="4">
        <v>1072</v>
      </c>
      <c r="J1200" t="s">
        <v>236</v>
      </c>
      <c r="K1200" t="s">
        <v>53</v>
      </c>
      <c r="L1200" s="4">
        <v>9.3014286057233697</v>
      </c>
      <c r="M1200" s="1" t="s">
        <v>38</v>
      </c>
      <c r="N1200" s="11">
        <f t="shared" si="18"/>
        <v>5</v>
      </c>
    </row>
    <row r="1201" spans="1:14" ht="16" x14ac:dyDescent="0.2">
      <c r="A1201" s="3">
        <v>43780.6527319245</v>
      </c>
      <c r="B1201" s="1" t="s">
        <v>1589</v>
      </c>
      <c r="C1201" t="s">
        <v>259</v>
      </c>
      <c r="D1201">
        <v>6</v>
      </c>
      <c r="E1201">
        <v>270</v>
      </c>
      <c r="F1201">
        <v>90</v>
      </c>
      <c r="G1201">
        <v>1620</v>
      </c>
      <c r="H1201" s="4">
        <v>540</v>
      </c>
      <c r="I1201" s="4">
        <v>1080</v>
      </c>
      <c r="J1201" t="s">
        <v>238</v>
      </c>
      <c r="K1201" t="s">
        <v>86</v>
      </c>
      <c r="L1201" s="4">
        <v>14.593670394271927</v>
      </c>
      <c r="M1201" s="1" t="s">
        <v>34</v>
      </c>
      <c r="N1201" s="11">
        <f t="shared" si="18"/>
        <v>1</v>
      </c>
    </row>
    <row r="1202" spans="1:14" ht="16" x14ac:dyDescent="0.2">
      <c r="A1202" s="3">
        <v>44072.347554678505</v>
      </c>
      <c r="B1202" s="1" t="s">
        <v>1590</v>
      </c>
      <c r="C1202" t="s">
        <v>93</v>
      </c>
      <c r="D1202">
        <v>17</v>
      </c>
      <c r="E1202">
        <v>204</v>
      </c>
      <c r="F1202">
        <v>51</v>
      </c>
      <c r="G1202">
        <v>3468</v>
      </c>
      <c r="H1202" s="4">
        <v>867</v>
      </c>
      <c r="I1202" s="4">
        <v>2601</v>
      </c>
      <c r="J1202" t="s">
        <v>253</v>
      </c>
      <c r="K1202" t="s">
        <v>53</v>
      </c>
      <c r="L1202" s="4">
        <v>13.918153610259502</v>
      </c>
      <c r="M1202" s="1" t="s">
        <v>38</v>
      </c>
      <c r="N1202" s="11">
        <f t="shared" si="18"/>
        <v>5</v>
      </c>
    </row>
    <row r="1203" spans="1:14" ht="16" x14ac:dyDescent="0.2">
      <c r="A1203" s="3">
        <v>44208.84417722025</v>
      </c>
      <c r="B1203" s="1" t="s">
        <v>1591</v>
      </c>
      <c r="C1203" t="s">
        <v>75</v>
      </c>
      <c r="D1203">
        <v>4</v>
      </c>
      <c r="E1203">
        <v>76</v>
      </c>
      <c r="F1203">
        <v>19</v>
      </c>
      <c r="G1203">
        <v>304</v>
      </c>
      <c r="H1203" s="4">
        <v>76</v>
      </c>
      <c r="I1203" s="4">
        <v>228</v>
      </c>
      <c r="J1203" t="s">
        <v>371</v>
      </c>
      <c r="K1203" t="s">
        <v>58</v>
      </c>
      <c r="L1203" s="4">
        <v>12.004541523616258</v>
      </c>
      <c r="M1203" s="1" t="s">
        <v>54</v>
      </c>
      <c r="N1203" s="11">
        <f t="shared" si="18"/>
        <v>10</v>
      </c>
    </row>
    <row r="1204" spans="1:14" ht="16" x14ac:dyDescent="0.2">
      <c r="A1204" s="3">
        <v>44353.892882276268</v>
      </c>
      <c r="B1204" s="1" t="s">
        <v>1592</v>
      </c>
      <c r="C1204" t="s">
        <v>62</v>
      </c>
      <c r="D1204">
        <v>8</v>
      </c>
      <c r="E1204">
        <v>80</v>
      </c>
      <c r="F1204">
        <v>20</v>
      </c>
      <c r="G1204">
        <v>640</v>
      </c>
      <c r="H1204" s="4">
        <v>160</v>
      </c>
      <c r="I1204" s="4">
        <v>480</v>
      </c>
      <c r="J1204" t="s">
        <v>539</v>
      </c>
      <c r="K1204" t="s">
        <v>49</v>
      </c>
      <c r="L1204" s="4">
        <v>10.954865572729823</v>
      </c>
      <c r="M1204" s="1" t="s">
        <v>38</v>
      </c>
      <c r="N1204" s="11">
        <f t="shared" si="18"/>
        <v>5</v>
      </c>
    </row>
    <row r="1205" spans="1:14" ht="16" x14ac:dyDescent="0.2">
      <c r="A1205" s="3">
        <v>43619.21352931732</v>
      </c>
      <c r="B1205" s="1" t="s">
        <v>1593</v>
      </c>
      <c r="C1205" t="s">
        <v>544</v>
      </c>
      <c r="D1205">
        <v>18</v>
      </c>
      <c r="E1205">
        <v>267</v>
      </c>
      <c r="F1205">
        <v>89</v>
      </c>
      <c r="G1205">
        <v>4806</v>
      </c>
      <c r="H1205" s="4">
        <v>1602</v>
      </c>
      <c r="I1205" s="4">
        <v>3204</v>
      </c>
      <c r="J1205" t="s">
        <v>903</v>
      </c>
      <c r="K1205" t="s">
        <v>58</v>
      </c>
      <c r="L1205" s="4">
        <v>11.952554704438674</v>
      </c>
      <c r="M1205" s="1" t="s">
        <v>38</v>
      </c>
      <c r="N1205" s="11">
        <f t="shared" si="18"/>
        <v>5</v>
      </c>
    </row>
    <row r="1206" spans="1:14" ht="16" x14ac:dyDescent="0.2">
      <c r="A1206" s="3">
        <v>44702.600034470597</v>
      </c>
      <c r="B1206" s="1" t="s">
        <v>1594</v>
      </c>
      <c r="C1206" t="s">
        <v>175</v>
      </c>
      <c r="D1206">
        <v>15</v>
      </c>
      <c r="E1206">
        <v>38</v>
      </c>
      <c r="F1206">
        <v>19</v>
      </c>
      <c r="G1206">
        <v>570</v>
      </c>
      <c r="H1206" s="4">
        <v>285</v>
      </c>
      <c r="I1206" s="4">
        <v>285</v>
      </c>
      <c r="J1206" t="s">
        <v>752</v>
      </c>
      <c r="K1206" t="s">
        <v>49</v>
      </c>
      <c r="L1206" s="4">
        <v>11.862005526237752</v>
      </c>
      <c r="M1206" s="1" t="s">
        <v>54</v>
      </c>
      <c r="N1206" s="11">
        <f t="shared" si="18"/>
        <v>10</v>
      </c>
    </row>
    <row r="1207" spans="1:14" ht="16" x14ac:dyDescent="0.2">
      <c r="A1207" s="3">
        <v>44026.653468829216</v>
      </c>
      <c r="B1207" s="1" t="s">
        <v>1595</v>
      </c>
      <c r="C1207" t="s">
        <v>276</v>
      </c>
      <c r="D1207">
        <v>1</v>
      </c>
      <c r="E1207">
        <v>57</v>
      </c>
      <c r="F1207">
        <v>19</v>
      </c>
      <c r="G1207">
        <v>57</v>
      </c>
      <c r="H1207" s="4">
        <v>19</v>
      </c>
      <c r="I1207" s="4">
        <v>38</v>
      </c>
      <c r="J1207" t="s">
        <v>155</v>
      </c>
      <c r="K1207" t="s">
        <v>42</v>
      </c>
      <c r="L1207" s="4">
        <v>13.378080355059918</v>
      </c>
      <c r="M1207" s="1" t="s">
        <v>38</v>
      </c>
      <c r="N1207" s="11">
        <f t="shared" si="18"/>
        <v>5</v>
      </c>
    </row>
    <row r="1208" spans="1:14" ht="16" x14ac:dyDescent="0.2">
      <c r="A1208" s="3">
        <v>42720.868231707835</v>
      </c>
      <c r="B1208" s="1" t="s">
        <v>1596</v>
      </c>
      <c r="C1208" t="s">
        <v>375</v>
      </c>
      <c r="D1208">
        <v>9</v>
      </c>
      <c r="E1208">
        <v>360</v>
      </c>
      <c r="F1208">
        <v>90</v>
      </c>
      <c r="G1208">
        <v>3240</v>
      </c>
      <c r="H1208" s="4">
        <v>810</v>
      </c>
      <c r="I1208" s="4">
        <v>2430</v>
      </c>
      <c r="J1208" t="s">
        <v>341</v>
      </c>
      <c r="K1208" t="s">
        <v>64</v>
      </c>
      <c r="L1208" s="4">
        <v>10.816866337473218</v>
      </c>
      <c r="M1208" s="1" t="s">
        <v>54</v>
      </c>
      <c r="N1208" s="11">
        <f t="shared" si="18"/>
        <v>10</v>
      </c>
    </row>
    <row r="1209" spans="1:14" ht="16" x14ac:dyDescent="0.2">
      <c r="A1209" s="3">
        <v>43427.100455352658</v>
      </c>
      <c r="B1209" s="1" t="s">
        <v>1597</v>
      </c>
      <c r="C1209" t="s">
        <v>101</v>
      </c>
      <c r="D1209">
        <v>5</v>
      </c>
      <c r="E1209">
        <v>50</v>
      </c>
      <c r="F1209">
        <v>25</v>
      </c>
      <c r="G1209">
        <v>250</v>
      </c>
      <c r="H1209" s="4">
        <v>125</v>
      </c>
      <c r="I1209" s="4">
        <v>125</v>
      </c>
      <c r="J1209" t="s">
        <v>923</v>
      </c>
      <c r="K1209" t="s">
        <v>42</v>
      </c>
      <c r="L1209" s="4">
        <v>12.502346728827876</v>
      </c>
      <c r="M1209" s="1" t="s">
        <v>38</v>
      </c>
      <c r="N1209" s="11">
        <f t="shared" si="18"/>
        <v>5</v>
      </c>
    </row>
    <row r="1210" spans="1:14" ht="16" x14ac:dyDescent="0.2">
      <c r="A1210" s="3">
        <v>44499.579992846608</v>
      </c>
      <c r="B1210" s="1" t="s">
        <v>1598</v>
      </c>
      <c r="C1210" t="s">
        <v>47</v>
      </c>
      <c r="D1210">
        <v>5</v>
      </c>
      <c r="E1210">
        <v>231</v>
      </c>
      <c r="F1210">
        <v>77</v>
      </c>
      <c r="G1210">
        <v>1155</v>
      </c>
      <c r="H1210" s="4">
        <v>385</v>
      </c>
      <c r="I1210" s="4">
        <v>770</v>
      </c>
      <c r="J1210" t="s">
        <v>392</v>
      </c>
      <c r="K1210" t="s">
        <v>49</v>
      </c>
      <c r="L1210" s="4">
        <v>12.456740895640767</v>
      </c>
      <c r="M1210" s="1" t="s">
        <v>38</v>
      </c>
      <c r="N1210" s="11">
        <f t="shared" si="18"/>
        <v>5</v>
      </c>
    </row>
    <row r="1211" spans="1:14" ht="16" x14ac:dyDescent="0.2">
      <c r="A1211" s="3">
        <v>43797.071956657914</v>
      </c>
      <c r="B1211" s="1" t="s">
        <v>1599</v>
      </c>
      <c r="C1211" t="s">
        <v>125</v>
      </c>
      <c r="D1211">
        <v>2</v>
      </c>
      <c r="E1211">
        <v>176</v>
      </c>
      <c r="F1211">
        <v>88</v>
      </c>
      <c r="G1211">
        <v>352</v>
      </c>
      <c r="H1211" s="4">
        <v>176</v>
      </c>
      <c r="I1211" s="4">
        <v>176</v>
      </c>
      <c r="J1211" t="s">
        <v>199</v>
      </c>
      <c r="K1211" t="s">
        <v>86</v>
      </c>
      <c r="L1211" s="4">
        <v>13.890275354050972</v>
      </c>
      <c r="M1211" s="1" t="s">
        <v>38</v>
      </c>
      <c r="N1211" s="11">
        <f t="shared" si="18"/>
        <v>5</v>
      </c>
    </row>
    <row r="1212" spans="1:14" ht="16" x14ac:dyDescent="0.2">
      <c r="A1212" s="3">
        <v>44500.462765166674</v>
      </c>
      <c r="B1212" s="1" t="s">
        <v>1600</v>
      </c>
      <c r="C1212" t="s">
        <v>538</v>
      </c>
      <c r="D1212">
        <v>19</v>
      </c>
      <c r="E1212">
        <v>261</v>
      </c>
      <c r="F1212">
        <v>87</v>
      </c>
      <c r="G1212">
        <v>4959</v>
      </c>
      <c r="H1212" s="4">
        <v>1653</v>
      </c>
      <c r="I1212" s="4">
        <v>3306</v>
      </c>
      <c r="J1212" t="s">
        <v>633</v>
      </c>
      <c r="K1212" t="s">
        <v>86</v>
      </c>
      <c r="L1212" s="4">
        <v>12.954911944548844</v>
      </c>
      <c r="M1212" s="1" t="s">
        <v>38</v>
      </c>
      <c r="N1212" s="11">
        <f t="shared" si="18"/>
        <v>5</v>
      </c>
    </row>
    <row r="1213" spans="1:14" ht="16" x14ac:dyDescent="0.2">
      <c r="A1213" s="3">
        <v>43661.211440161678</v>
      </c>
      <c r="B1213" s="1" t="s">
        <v>1601</v>
      </c>
      <c r="C1213" t="s">
        <v>101</v>
      </c>
      <c r="D1213">
        <v>18</v>
      </c>
      <c r="E1213">
        <v>50</v>
      </c>
      <c r="F1213">
        <v>25</v>
      </c>
      <c r="G1213">
        <v>900</v>
      </c>
      <c r="H1213" s="4">
        <v>450</v>
      </c>
      <c r="I1213" s="4">
        <v>450</v>
      </c>
      <c r="J1213" t="s">
        <v>539</v>
      </c>
      <c r="K1213" t="s">
        <v>49</v>
      </c>
      <c r="L1213" s="4">
        <v>10.954865572729823</v>
      </c>
      <c r="M1213" s="1" t="s">
        <v>34</v>
      </c>
      <c r="N1213" s="11">
        <f t="shared" si="18"/>
        <v>1</v>
      </c>
    </row>
    <row r="1214" spans="1:14" ht="16" x14ac:dyDescent="0.2">
      <c r="A1214" s="3">
        <v>43769.166306256586</v>
      </c>
      <c r="B1214" s="1" t="s">
        <v>1602</v>
      </c>
      <c r="C1214" t="s">
        <v>425</v>
      </c>
      <c r="D1214">
        <v>14</v>
      </c>
      <c r="E1214">
        <v>352</v>
      </c>
      <c r="F1214">
        <v>88</v>
      </c>
      <c r="G1214">
        <v>4928</v>
      </c>
      <c r="H1214" s="4">
        <v>1232</v>
      </c>
      <c r="I1214" s="4">
        <v>3696</v>
      </c>
      <c r="J1214" t="s">
        <v>179</v>
      </c>
      <c r="K1214" t="s">
        <v>53</v>
      </c>
      <c r="L1214" s="4">
        <v>11.36085047138285</v>
      </c>
      <c r="M1214" s="1" t="s">
        <v>38</v>
      </c>
      <c r="N1214" s="11">
        <f t="shared" si="18"/>
        <v>5</v>
      </c>
    </row>
    <row r="1215" spans="1:14" ht="16" x14ac:dyDescent="0.2">
      <c r="A1215" s="3">
        <v>44648.291333117377</v>
      </c>
      <c r="B1215" s="1" t="s">
        <v>1603</v>
      </c>
      <c r="C1215" t="s">
        <v>148</v>
      </c>
      <c r="D1215">
        <v>4</v>
      </c>
      <c r="E1215">
        <v>144</v>
      </c>
      <c r="F1215">
        <v>36</v>
      </c>
      <c r="G1215">
        <v>576</v>
      </c>
      <c r="H1215" s="4">
        <v>144</v>
      </c>
      <c r="I1215" s="4">
        <v>432</v>
      </c>
      <c r="J1215" t="s">
        <v>707</v>
      </c>
      <c r="K1215" t="s">
        <v>49</v>
      </c>
      <c r="L1215" s="4">
        <v>11.779256317174871</v>
      </c>
      <c r="M1215" s="1" t="s">
        <v>38</v>
      </c>
      <c r="N1215" s="11">
        <f t="shared" si="18"/>
        <v>5</v>
      </c>
    </row>
    <row r="1216" spans="1:14" ht="16" x14ac:dyDescent="0.2">
      <c r="A1216" s="3">
        <v>44517.44089474628</v>
      </c>
      <c r="B1216" s="1" t="s">
        <v>1604</v>
      </c>
      <c r="C1216" t="s">
        <v>56</v>
      </c>
      <c r="D1216">
        <v>19</v>
      </c>
      <c r="E1216">
        <v>38</v>
      </c>
      <c r="F1216">
        <v>19</v>
      </c>
      <c r="G1216">
        <v>722</v>
      </c>
      <c r="H1216" s="4">
        <v>361</v>
      </c>
      <c r="I1216" s="4">
        <v>361</v>
      </c>
      <c r="J1216" t="s">
        <v>149</v>
      </c>
      <c r="K1216" t="s">
        <v>58</v>
      </c>
      <c r="L1216" s="4">
        <v>8.1085102757869372</v>
      </c>
      <c r="M1216" s="1" t="s">
        <v>38</v>
      </c>
      <c r="N1216" s="11">
        <f t="shared" si="18"/>
        <v>5</v>
      </c>
    </row>
    <row r="1217" spans="1:14" ht="16" x14ac:dyDescent="0.2">
      <c r="A1217" s="3">
        <v>43753.568081742123</v>
      </c>
      <c r="B1217" s="1" t="s">
        <v>1605</v>
      </c>
      <c r="C1217" t="s">
        <v>209</v>
      </c>
      <c r="D1217">
        <v>19</v>
      </c>
      <c r="E1217">
        <v>150</v>
      </c>
      <c r="F1217">
        <v>75</v>
      </c>
      <c r="G1217">
        <v>2850</v>
      </c>
      <c r="H1217" s="4">
        <v>1425</v>
      </c>
      <c r="I1217" s="4">
        <v>1425</v>
      </c>
      <c r="J1217" t="s">
        <v>958</v>
      </c>
      <c r="K1217" t="s">
        <v>58</v>
      </c>
      <c r="L1217" s="4">
        <v>9.1591412531773226</v>
      </c>
      <c r="M1217" s="1" t="s">
        <v>38</v>
      </c>
      <c r="N1217" s="11">
        <f t="shared" si="18"/>
        <v>5</v>
      </c>
    </row>
    <row r="1218" spans="1:14" ht="16" x14ac:dyDescent="0.2">
      <c r="A1218" s="3">
        <v>43679.809406903005</v>
      </c>
      <c r="B1218" s="1" t="s">
        <v>1606</v>
      </c>
      <c r="C1218" t="s">
        <v>133</v>
      </c>
      <c r="D1218">
        <v>12</v>
      </c>
      <c r="E1218">
        <v>189</v>
      </c>
      <c r="F1218">
        <v>63</v>
      </c>
      <c r="G1218">
        <v>2268</v>
      </c>
      <c r="H1218" s="4">
        <v>756</v>
      </c>
      <c r="I1218" s="4">
        <v>1512</v>
      </c>
      <c r="J1218" t="s">
        <v>167</v>
      </c>
      <c r="K1218" t="s">
        <v>86</v>
      </c>
      <c r="L1218" s="4">
        <v>10.216282609482219</v>
      </c>
      <c r="M1218" s="1" t="s">
        <v>54</v>
      </c>
      <c r="N1218" s="11">
        <f t="shared" si="18"/>
        <v>10</v>
      </c>
    </row>
    <row r="1219" spans="1:14" ht="16" x14ac:dyDescent="0.2">
      <c r="A1219" s="3">
        <v>43437.346635849652</v>
      </c>
      <c r="B1219" s="1" t="s">
        <v>1607</v>
      </c>
      <c r="C1219" t="s">
        <v>420</v>
      </c>
      <c r="D1219">
        <v>20</v>
      </c>
      <c r="E1219">
        <v>162</v>
      </c>
      <c r="F1219">
        <v>54</v>
      </c>
      <c r="G1219">
        <v>3240</v>
      </c>
      <c r="H1219" s="4">
        <v>1080</v>
      </c>
      <c r="I1219" s="4">
        <v>2160</v>
      </c>
      <c r="J1219" t="s">
        <v>270</v>
      </c>
      <c r="K1219" t="s">
        <v>42</v>
      </c>
      <c r="L1219" s="4">
        <v>12.661538237835474</v>
      </c>
      <c r="M1219" s="1" t="s">
        <v>54</v>
      </c>
      <c r="N1219" s="11">
        <f t="shared" ref="N1219:N1282" si="19">+IF(M1219="Dissatisfied",1,IF(M1219="Satisfied",10,5))</f>
        <v>10</v>
      </c>
    </row>
    <row r="1220" spans="1:14" ht="16" x14ac:dyDescent="0.2">
      <c r="A1220" s="3">
        <v>44163.554985437448</v>
      </c>
      <c r="B1220" s="1" t="s">
        <v>1608</v>
      </c>
      <c r="C1220" t="s">
        <v>312</v>
      </c>
      <c r="D1220">
        <v>18</v>
      </c>
      <c r="E1220">
        <v>240</v>
      </c>
      <c r="F1220">
        <v>80</v>
      </c>
      <c r="G1220">
        <v>4320</v>
      </c>
      <c r="H1220" s="4">
        <v>1440</v>
      </c>
      <c r="I1220" s="4">
        <v>2880</v>
      </c>
      <c r="J1220" t="s">
        <v>357</v>
      </c>
      <c r="K1220" t="s">
        <v>86</v>
      </c>
      <c r="L1220" s="4">
        <v>11.986565560885863</v>
      </c>
      <c r="M1220" s="1" t="s">
        <v>54</v>
      </c>
      <c r="N1220" s="11">
        <f t="shared" si="19"/>
        <v>10</v>
      </c>
    </row>
    <row r="1221" spans="1:14" ht="16" x14ac:dyDescent="0.2">
      <c r="A1221" s="3">
        <v>43953.412390867663</v>
      </c>
      <c r="B1221" s="1" t="s">
        <v>1609</v>
      </c>
      <c r="C1221" t="s">
        <v>337</v>
      </c>
      <c r="D1221">
        <v>12</v>
      </c>
      <c r="E1221">
        <v>135</v>
      </c>
      <c r="F1221">
        <v>45</v>
      </c>
      <c r="G1221">
        <v>1620</v>
      </c>
      <c r="H1221" s="4">
        <v>540</v>
      </c>
      <c r="I1221" s="4">
        <v>1080</v>
      </c>
      <c r="J1221" t="s">
        <v>378</v>
      </c>
      <c r="K1221" t="s">
        <v>53</v>
      </c>
      <c r="L1221" s="4">
        <v>14.423322704129969</v>
      </c>
      <c r="M1221" s="1" t="s">
        <v>34</v>
      </c>
      <c r="N1221" s="11">
        <f t="shared" si="19"/>
        <v>1</v>
      </c>
    </row>
    <row r="1222" spans="1:14" ht="16" x14ac:dyDescent="0.2">
      <c r="A1222" s="3">
        <v>44285.262586649078</v>
      </c>
      <c r="B1222" s="1" t="s">
        <v>1610</v>
      </c>
      <c r="C1222" t="s">
        <v>301</v>
      </c>
      <c r="D1222">
        <v>15</v>
      </c>
      <c r="E1222">
        <v>188</v>
      </c>
      <c r="F1222">
        <v>94</v>
      </c>
      <c r="G1222">
        <v>2820</v>
      </c>
      <c r="H1222" s="4">
        <v>1410</v>
      </c>
      <c r="I1222" s="4">
        <v>1410</v>
      </c>
      <c r="J1222" t="s">
        <v>877</v>
      </c>
      <c r="K1222" t="s">
        <v>49</v>
      </c>
      <c r="L1222" s="4">
        <v>13.275355576494196</v>
      </c>
      <c r="M1222" s="1" t="s">
        <v>54</v>
      </c>
      <c r="N1222" s="11">
        <f t="shared" si="19"/>
        <v>10</v>
      </c>
    </row>
    <row r="1223" spans="1:14" ht="16" x14ac:dyDescent="0.2">
      <c r="A1223" s="3">
        <v>44199.093834174302</v>
      </c>
      <c r="B1223" s="1" t="s">
        <v>1611</v>
      </c>
      <c r="C1223" t="s">
        <v>81</v>
      </c>
      <c r="D1223">
        <v>12</v>
      </c>
      <c r="E1223">
        <v>166</v>
      </c>
      <c r="F1223">
        <v>83</v>
      </c>
      <c r="G1223">
        <v>1992</v>
      </c>
      <c r="H1223" s="4">
        <v>996</v>
      </c>
      <c r="I1223" s="4">
        <v>996</v>
      </c>
      <c r="J1223" t="s">
        <v>490</v>
      </c>
      <c r="K1223" t="s">
        <v>64</v>
      </c>
      <c r="L1223" s="4">
        <v>11.249825090458803</v>
      </c>
      <c r="M1223" s="1" t="s">
        <v>38</v>
      </c>
      <c r="N1223" s="11">
        <f t="shared" si="19"/>
        <v>5</v>
      </c>
    </row>
    <row r="1224" spans="1:14" ht="16" x14ac:dyDescent="0.2">
      <c r="A1224" s="3">
        <v>44234.494161867915</v>
      </c>
      <c r="B1224" s="1" t="s">
        <v>1612</v>
      </c>
      <c r="C1224" t="s">
        <v>193</v>
      </c>
      <c r="D1224">
        <v>12</v>
      </c>
      <c r="E1224">
        <v>348</v>
      </c>
      <c r="F1224">
        <v>87</v>
      </c>
      <c r="G1224">
        <v>4176</v>
      </c>
      <c r="H1224" s="4">
        <v>1044</v>
      </c>
      <c r="I1224" s="4">
        <v>3132</v>
      </c>
      <c r="J1224" t="s">
        <v>1101</v>
      </c>
      <c r="K1224" t="s">
        <v>33</v>
      </c>
      <c r="L1224" s="4">
        <v>9.8776671534059073</v>
      </c>
      <c r="M1224" s="1" t="s">
        <v>38</v>
      </c>
      <c r="N1224" s="11">
        <f t="shared" si="19"/>
        <v>5</v>
      </c>
    </row>
    <row r="1225" spans="1:14" ht="16" x14ac:dyDescent="0.2">
      <c r="A1225" s="3">
        <v>43747.753088308622</v>
      </c>
      <c r="B1225" s="1" t="s">
        <v>1613</v>
      </c>
      <c r="C1225" t="s">
        <v>113</v>
      </c>
      <c r="D1225">
        <v>17</v>
      </c>
      <c r="E1225">
        <v>66</v>
      </c>
      <c r="F1225">
        <v>33</v>
      </c>
      <c r="G1225">
        <v>1122</v>
      </c>
      <c r="H1225" s="4">
        <v>561</v>
      </c>
      <c r="I1225" s="4">
        <v>561</v>
      </c>
      <c r="J1225" t="s">
        <v>279</v>
      </c>
      <c r="K1225" t="s">
        <v>64</v>
      </c>
      <c r="L1225" s="4">
        <v>11.504886852416154</v>
      </c>
      <c r="M1225" s="1" t="s">
        <v>34</v>
      </c>
      <c r="N1225" s="11">
        <f t="shared" si="19"/>
        <v>1</v>
      </c>
    </row>
    <row r="1226" spans="1:14" ht="16" x14ac:dyDescent="0.2">
      <c r="A1226" s="3">
        <v>44437.052831564812</v>
      </c>
      <c r="B1226" s="1" t="s">
        <v>1614</v>
      </c>
      <c r="C1226" t="s">
        <v>299</v>
      </c>
      <c r="D1226">
        <v>2</v>
      </c>
      <c r="E1226">
        <v>225</v>
      </c>
      <c r="F1226">
        <v>75</v>
      </c>
      <c r="G1226">
        <v>450</v>
      </c>
      <c r="H1226" s="4">
        <v>150</v>
      </c>
      <c r="I1226" s="4">
        <v>300</v>
      </c>
      <c r="J1226" t="s">
        <v>1129</v>
      </c>
      <c r="K1226" t="s">
        <v>33</v>
      </c>
      <c r="L1226" s="4">
        <v>10.585251392347548</v>
      </c>
      <c r="M1226" s="1" t="s">
        <v>38</v>
      </c>
      <c r="N1226" s="11">
        <f t="shared" si="19"/>
        <v>5</v>
      </c>
    </row>
    <row r="1227" spans="1:14" ht="16" x14ac:dyDescent="0.2">
      <c r="A1227" s="3">
        <v>44418.219828371584</v>
      </c>
      <c r="B1227" s="1" t="s">
        <v>630</v>
      </c>
      <c r="C1227" t="s">
        <v>185</v>
      </c>
      <c r="D1227">
        <v>17</v>
      </c>
      <c r="E1227">
        <v>146</v>
      </c>
      <c r="F1227">
        <v>73</v>
      </c>
      <c r="G1227">
        <v>2482</v>
      </c>
      <c r="H1227" s="4">
        <v>1241</v>
      </c>
      <c r="I1227" s="4">
        <v>1241</v>
      </c>
      <c r="J1227" t="s">
        <v>485</v>
      </c>
      <c r="K1227" t="s">
        <v>49</v>
      </c>
      <c r="L1227" s="4">
        <v>12.889576147248359</v>
      </c>
      <c r="M1227" s="1" t="s">
        <v>54</v>
      </c>
      <c r="N1227" s="11">
        <f t="shared" si="19"/>
        <v>10</v>
      </c>
    </row>
    <row r="1228" spans="1:14" ht="16" x14ac:dyDescent="0.2">
      <c r="A1228" s="3">
        <v>43998.548192524067</v>
      </c>
      <c r="B1228" s="1" t="s">
        <v>1615</v>
      </c>
      <c r="C1228" t="s">
        <v>142</v>
      </c>
      <c r="D1228">
        <v>6</v>
      </c>
      <c r="E1228">
        <v>210</v>
      </c>
      <c r="F1228">
        <v>70</v>
      </c>
      <c r="G1228">
        <v>1260</v>
      </c>
      <c r="H1228" s="4">
        <v>420</v>
      </c>
      <c r="I1228" s="4">
        <v>840</v>
      </c>
      <c r="J1228" t="s">
        <v>545</v>
      </c>
      <c r="K1228" t="s">
        <v>53</v>
      </c>
      <c r="L1228" s="4">
        <v>10.112765954734209</v>
      </c>
      <c r="M1228" s="1" t="s">
        <v>34</v>
      </c>
      <c r="N1228" s="11">
        <f t="shared" si="19"/>
        <v>1</v>
      </c>
    </row>
    <row r="1229" spans="1:14" ht="16" x14ac:dyDescent="0.2">
      <c r="A1229" s="3">
        <v>43772.128122593014</v>
      </c>
      <c r="B1229" s="1" t="s">
        <v>1616</v>
      </c>
      <c r="C1229" t="s">
        <v>105</v>
      </c>
      <c r="D1229">
        <v>2</v>
      </c>
      <c r="E1229">
        <v>201</v>
      </c>
      <c r="F1229">
        <v>67</v>
      </c>
      <c r="G1229">
        <v>402</v>
      </c>
      <c r="H1229" s="4">
        <v>134</v>
      </c>
      <c r="I1229" s="4">
        <v>268</v>
      </c>
      <c r="J1229" t="s">
        <v>689</v>
      </c>
      <c r="K1229" t="s">
        <v>58</v>
      </c>
      <c r="L1229" s="4">
        <v>13.486912834801583</v>
      </c>
      <c r="M1229" s="1" t="s">
        <v>54</v>
      </c>
      <c r="N1229" s="11">
        <f t="shared" si="19"/>
        <v>10</v>
      </c>
    </row>
    <row r="1230" spans="1:14" ht="16" x14ac:dyDescent="0.2">
      <c r="A1230" s="3">
        <v>44314.212141165117</v>
      </c>
      <c r="B1230" s="1" t="s">
        <v>1617</v>
      </c>
      <c r="C1230" t="s">
        <v>779</v>
      </c>
      <c r="D1230">
        <v>8</v>
      </c>
      <c r="E1230">
        <v>120</v>
      </c>
      <c r="F1230">
        <v>30</v>
      </c>
      <c r="G1230">
        <v>960</v>
      </c>
      <c r="H1230" s="4">
        <v>240</v>
      </c>
      <c r="I1230" s="4">
        <v>720</v>
      </c>
      <c r="J1230" t="s">
        <v>1401</v>
      </c>
      <c r="K1230" t="s">
        <v>58</v>
      </c>
      <c r="L1230" s="4">
        <v>11.0700865530371</v>
      </c>
      <c r="M1230" s="1" t="s">
        <v>38</v>
      </c>
      <c r="N1230" s="11">
        <f t="shared" si="19"/>
        <v>5</v>
      </c>
    </row>
    <row r="1231" spans="1:14" ht="16" x14ac:dyDescent="0.2">
      <c r="A1231" s="3">
        <v>43589.921482508915</v>
      </c>
      <c r="B1231" s="1" t="s">
        <v>1618</v>
      </c>
      <c r="C1231" t="s">
        <v>120</v>
      </c>
      <c r="D1231">
        <v>12</v>
      </c>
      <c r="E1231">
        <v>252</v>
      </c>
      <c r="F1231">
        <v>63</v>
      </c>
      <c r="G1231">
        <v>3024</v>
      </c>
      <c r="H1231" s="4">
        <v>756</v>
      </c>
      <c r="I1231" s="4">
        <v>2268</v>
      </c>
      <c r="J1231" t="s">
        <v>131</v>
      </c>
      <c r="K1231" t="s">
        <v>33</v>
      </c>
      <c r="L1231" s="4">
        <v>12.844063202784817</v>
      </c>
      <c r="M1231" s="1" t="s">
        <v>38</v>
      </c>
      <c r="N1231" s="11">
        <f t="shared" si="19"/>
        <v>5</v>
      </c>
    </row>
    <row r="1232" spans="1:14" ht="16" x14ac:dyDescent="0.2">
      <c r="A1232" s="3">
        <v>43715.850673423898</v>
      </c>
      <c r="B1232" s="1" t="s">
        <v>1619</v>
      </c>
      <c r="C1232" t="s">
        <v>243</v>
      </c>
      <c r="D1232">
        <v>9</v>
      </c>
      <c r="E1232">
        <v>90</v>
      </c>
      <c r="F1232">
        <v>45</v>
      </c>
      <c r="G1232">
        <v>810</v>
      </c>
      <c r="H1232" s="4">
        <v>405</v>
      </c>
      <c r="I1232" s="4">
        <v>405</v>
      </c>
      <c r="J1232" t="s">
        <v>179</v>
      </c>
      <c r="K1232" t="s">
        <v>53</v>
      </c>
      <c r="L1232" s="4">
        <v>11.36085047138285</v>
      </c>
      <c r="M1232" s="1" t="s">
        <v>38</v>
      </c>
      <c r="N1232" s="11">
        <f t="shared" si="19"/>
        <v>5</v>
      </c>
    </row>
    <row r="1233" spans="1:14" ht="16" x14ac:dyDescent="0.2">
      <c r="A1233" s="3">
        <v>44421.482283637633</v>
      </c>
      <c r="B1233" s="1" t="s">
        <v>1620</v>
      </c>
      <c r="C1233" t="s">
        <v>47</v>
      </c>
      <c r="D1233">
        <v>13</v>
      </c>
      <c r="E1233">
        <v>231</v>
      </c>
      <c r="F1233">
        <v>77</v>
      </c>
      <c r="G1233">
        <v>3003</v>
      </c>
      <c r="H1233" s="4">
        <v>1001</v>
      </c>
      <c r="I1233" s="4">
        <v>2002</v>
      </c>
      <c r="J1233" t="s">
        <v>997</v>
      </c>
      <c r="K1233" t="s">
        <v>58</v>
      </c>
      <c r="L1233" s="4">
        <v>12.173451788225162</v>
      </c>
      <c r="M1233" s="1" t="s">
        <v>54</v>
      </c>
      <c r="N1233" s="11">
        <f t="shared" si="19"/>
        <v>10</v>
      </c>
    </row>
    <row r="1234" spans="1:14" ht="16" x14ac:dyDescent="0.2">
      <c r="A1234" s="3">
        <v>43705.198492245574</v>
      </c>
      <c r="B1234" s="1" t="s">
        <v>1621</v>
      </c>
      <c r="C1234" t="s">
        <v>105</v>
      </c>
      <c r="D1234">
        <v>10</v>
      </c>
      <c r="E1234">
        <v>201</v>
      </c>
      <c r="F1234">
        <v>67</v>
      </c>
      <c r="G1234">
        <v>2010</v>
      </c>
      <c r="H1234" s="4">
        <v>670</v>
      </c>
      <c r="I1234" s="4">
        <v>1340</v>
      </c>
      <c r="J1234" t="s">
        <v>376</v>
      </c>
      <c r="K1234" t="s">
        <v>86</v>
      </c>
      <c r="L1234" s="4">
        <v>11.655355879643379</v>
      </c>
      <c r="M1234" s="1" t="s">
        <v>54</v>
      </c>
      <c r="N1234" s="11">
        <f t="shared" si="19"/>
        <v>10</v>
      </c>
    </row>
    <row r="1235" spans="1:14" ht="16" x14ac:dyDescent="0.2">
      <c r="A1235" s="3">
        <v>44136.252213972402</v>
      </c>
      <c r="B1235" s="1" t="s">
        <v>1622</v>
      </c>
      <c r="C1235" t="s">
        <v>36</v>
      </c>
      <c r="D1235">
        <v>16</v>
      </c>
      <c r="E1235">
        <v>102</v>
      </c>
      <c r="F1235">
        <v>51</v>
      </c>
      <c r="G1235">
        <v>1632</v>
      </c>
      <c r="H1235" s="4">
        <v>816</v>
      </c>
      <c r="I1235" s="4">
        <v>816</v>
      </c>
      <c r="J1235" t="s">
        <v>562</v>
      </c>
      <c r="K1235" t="s">
        <v>49</v>
      </c>
      <c r="L1235" s="4">
        <v>11.808681852148307</v>
      </c>
      <c r="M1235" s="1" t="s">
        <v>38</v>
      </c>
      <c r="N1235" s="11">
        <f t="shared" si="19"/>
        <v>5</v>
      </c>
    </row>
    <row r="1236" spans="1:14" ht="16" x14ac:dyDescent="0.2">
      <c r="A1236" s="3">
        <v>43501.844653193402</v>
      </c>
      <c r="B1236" s="1" t="s">
        <v>883</v>
      </c>
      <c r="C1236" t="s">
        <v>218</v>
      </c>
      <c r="D1236">
        <v>12</v>
      </c>
      <c r="E1236">
        <v>264</v>
      </c>
      <c r="F1236">
        <v>88</v>
      </c>
      <c r="G1236">
        <v>3168</v>
      </c>
      <c r="H1236" s="4">
        <v>1056</v>
      </c>
      <c r="I1236" s="4">
        <v>2112</v>
      </c>
      <c r="J1236" t="s">
        <v>673</v>
      </c>
      <c r="K1236" t="s">
        <v>53</v>
      </c>
      <c r="L1236" s="4">
        <v>14.460020532456038</v>
      </c>
      <c r="M1236" s="1" t="s">
        <v>38</v>
      </c>
      <c r="N1236" s="11">
        <f t="shared" si="19"/>
        <v>5</v>
      </c>
    </row>
    <row r="1237" spans="1:14" ht="16" x14ac:dyDescent="0.2">
      <c r="A1237" s="3">
        <v>43922.417925758498</v>
      </c>
      <c r="B1237" s="1" t="s">
        <v>1623</v>
      </c>
      <c r="C1237" t="s">
        <v>365</v>
      </c>
      <c r="D1237">
        <v>2</v>
      </c>
      <c r="E1237">
        <v>255</v>
      </c>
      <c r="F1237">
        <v>85</v>
      </c>
      <c r="G1237">
        <v>510</v>
      </c>
      <c r="H1237" s="4">
        <v>170</v>
      </c>
      <c r="I1237" s="4">
        <v>340</v>
      </c>
      <c r="J1237" t="s">
        <v>704</v>
      </c>
      <c r="K1237" t="s">
        <v>86</v>
      </c>
      <c r="L1237" s="4">
        <v>12.699042739101285</v>
      </c>
      <c r="M1237" s="1" t="s">
        <v>38</v>
      </c>
      <c r="N1237" s="11">
        <f t="shared" si="19"/>
        <v>5</v>
      </c>
    </row>
    <row r="1238" spans="1:14" ht="16" x14ac:dyDescent="0.2">
      <c r="A1238" s="3">
        <v>44705.427445450798</v>
      </c>
      <c r="B1238" s="1" t="s">
        <v>1624</v>
      </c>
      <c r="C1238" t="s">
        <v>139</v>
      </c>
      <c r="D1238">
        <v>13</v>
      </c>
      <c r="E1238">
        <v>320</v>
      </c>
      <c r="F1238">
        <v>80</v>
      </c>
      <c r="G1238">
        <v>4160</v>
      </c>
      <c r="H1238" s="4">
        <v>1040</v>
      </c>
      <c r="I1238" s="4">
        <v>3120</v>
      </c>
      <c r="J1238" t="s">
        <v>1625</v>
      </c>
      <c r="K1238" t="s">
        <v>86</v>
      </c>
      <c r="L1238" s="4">
        <v>11.238524301148807</v>
      </c>
      <c r="M1238" s="1" t="s">
        <v>38</v>
      </c>
      <c r="N1238" s="11">
        <f t="shared" si="19"/>
        <v>5</v>
      </c>
    </row>
    <row r="1239" spans="1:14" ht="16" x14ac:dyDescent="0.2">
      <c r="A1239" s="3">
        <v>44007.257474724</v>
      </c>
      <c r="B1239" s="1" t="s">
        <v>1626</v>
      </c>
      <c r="C1239" t="s">
        <v>410</v>
      </c>
      <c r="D1239">
        <v>13</v>
      </c>
      <c r="E1239">
        <v>84</v>
      </c>
      <c r="F1239">
        <v>21</v>
      </c>
      <c r="G1239">
        <v>1092</v>
      </c>
      <c r="H1239" s="4">
        <v>273</v>
      </c>
      <c r="I1239" s="4">
        <v>819</v>
      </c>
      <c r="J1239" t="s">
        <v>435</v>
      </c>
      <c r="K1239" t="s">
        <v>33</v>
      </c>
      <c r="L1239" s="4">
        <v>5.9872353338051019</v>
      </c>
      <c r="M1239" s="1" t="s">
        <v>38</v>
      </c>
      <c r="N1239" s="11">
        <f t="shared" si="19"/>
        <v>5</v>
      </c>
    </row>
    <row r="1240" spans="1:14" ht="16" x14ac:dyDescent="0.2">
      <c r="A1240" s="3">
        <v>43893.050510197267</v>
      </c>
      <c r="B1240" s="1" t="s">
        <v>1627</v>
      </c>
      <c r="C1240" t="s">
        <v>120</v>
      </c>
      <c r="D1240">
        <v>12</v>
      </c>
      <c r="E1240">
        <v>252</v>
      </c>
      <c r="F1240">
        <v>63</v>
      </c>
      <c r="G1240">
        <v>3024</v>
      </c>
      <c r="H1240" s="4">
        <v>756</v>
      </c>
      <c r="I1240" s="4">
        <v>2268</v>
      </c>
      <c r="J1240" t="s">
        <v>576</v>
      </c>
      <c r="K1240" t="s">
        <v>33</v>
      </c>
      <c r="L1240" s="4">
        <v>11.769937929618399</v>
      </c>
      <c r="M1240" s="1" t="s">
        <v>34</v>
      </c>
      <c r="N1240" s="11">
        <f t="shared" si="19"/>
        <v>1</v>
      </c>
    </row>
    <row r="1241" spans="1:14" ht="16" x14ac:dyDescent="0.2">
      <c r="A1241" s="3">
        <v>44663.64763441286</v>
      </c>
      <c r="B1241" s="1" t="s">
        <v>1628</v>
      </c>
      <c r="C1241" t="s">
        <v>105</v>
      </c>
      <c r="D1241">
        <v>3</v>
      </c>
      <c r="E1241">
        <v>201</v>
      </c>
      <c r="F1241">
        <v>67</v>
      </c>
      <c r="G1241">
        <v>603</v>
      </c>
      <c r="H1241" s="4">
        <v>201</v>
      </c>
      <c r="I1241" s="4">
        <v>402</v>
      </c>
      <c r="J1241" t="s">
        <v>197</v>
      </c>
      <c r="K1241" t="s">
        <v>49</v>
      </c>
      <c r="L1241" s="4">
        <v>13.288482149665386</v>
      </c>
      <c r="M1241" s="1" t="s">
        <v>54</v>
      </c>
      <c r="N1241" s="11">
        <f t="shared" si="19"/>
        <v>10</v>
      </c>
    </row>
    <row r="1242" spans="1:14" ht="16" x14ac:dyDescent="0.2">
      <c r="A1242" s="3">
        <v>44561.345609686905</v>
      </c>
      <c r="B1242" s="1" t="s">
        <v>1629</v>
      </c>
      <c r="C1242" t="s">
        <v>252</v>
      </c>
      <c r="D1242">
        <v>11</v>
      </c>
      <c r="E1242">
        <v>252</v>
      </c>
      <c r="F1242">
        <v>63</v>
      </c>
      <c r="G1242">
        <v>2772</v>
      </c>
      <c r="H1242" s="4">
        <v>693</v>
      </c>
      <c r="I1242" s="4">
        <v>2079</v>
      </c>
      <c r="J1242" t="s">
        <v>179</v>
      </c>
      <c r="K1242" t="s">
        <v>53</v>
      </c>
      <c r="L1242" s="4">
        <v>11.36085047138285</v>
      </c>
      <c r="M1242" s="1" t="s">
        <v>38</v>
      </c>
      <c r="N1242" s="11">
        <f t="shared" si="19"/>
        <v>5</v>
      </c>
    </row>
    <row r="1243" spans="1:14" ht="16" x14ac:dyDescent="0.2">
      <c r="A1243" s="3">
        <v>44573.345418843463</v>
      </c>
      <c r="B1243" s="1" t="s">
        <v>1630</v>
      </c>
      <c r="C1243" t="s">
        <v>66</v>
      </c>
      <c r="D1243">
        <v>2</v>
      </c>
      <c r="E1243">
        <v>144</v>
      </c>
      <c r="F1243">
        <v>48</v>
      </c>
      <c r="G1243">
        <v>288</v>
      </c>
      <c r="H1243" s="4">
        <v>96</v>
      </c>
      <c r="I1243" s="4">
        <v>192</v>
      </c>
      <c r="J1243" t="s">
        <v>272</v>
      </c>
      <c r="K1243" t="s">
        <v>49</v>
      </c>
      <c r="L1243" s="4">
        <v>12.503632939408062</v>
      </c>
      <c r="M1243" s="1" t="s">
        <v>38</v>
      </c>
      <c r="N1243" s="11">
        <f t="shared" si="19"/>
        <v>5</v>
      </c>
    </row>
    <row r="1244" spans="1:14" ht="16" x14ac:dyDescent="0.2">
      <c r="A1244" s="3">
        <v>44095.969311719033</v>
      </c>
      <c r="B1244" s="1" t="s">
        <v>1631</v>
      </c>
      <c r="C1244" t="s">
        <v>69</v>
      </c>
      <c r="D1244">
        <v>6</v>
      </c>
      <c r="E1244">
        <v>184</v>
      </c>
      <c r="F1244">
        <v>92</v>
      </c>
      <c r="G1244">
        <v>1104</v>
      </c>
      <c r="H1244" s="4">
        <v>552</v>
      </c>
      <c r="I1244" s="4">
        <v>552</v>
      </c>
      <c r="J1244" t="s">
        <v>371</v>
      </c>
      <c r="K1244" t="s">
        <v>58</v>
      </c>
      <c r="L1244" s="4">
        <v>12.004541523616258</v>
      </c>
      <c r="M1244" s="1" t="s">
        <v>54</v>
      </c>
      <c r="N1244" s="11">
        <f t="shared" si="19"/>
        <v>10</v>
      </c>
    </row>
    <row r="1245" spans="1:14" ht="16" x14ac:dyDescent="0.2">
      <c r="A1245" s="3">
        <v>44364.660397876374</v>
      </c>
      <c r="B1245" s="1" t="s">
        <v>1632</v>
      </c>
      <c r="C1245" t="s">
        <v>301</v>
      </c>
      <c r="D1245">
        <v>9</v>
      </c>
      <c r="E1245">
        <v>188</v>
      </c>
      <c r="F1245">
        <v>94</v>
      </c>
      <c r="G1245">
        <v>1692</v>
      </c>
      <c r="H1245" s="4">
        <v>846</v>
      </c>
      <c r="I1245" s="4">
        <v>846</v>
      </c>
      <c r="J1245" t="s">
        <v>1253</v>
      </c>
      <c r="K1245" t="s">
        <v>49</v>
      </c>
      <c r="L1245" s="4">
        <v>10.518436853046438</v>
      </c>
      <c r="M1245" s="1" t="s">
        <v>38</v>
      </c>
      <c r="N1245" s="11">
        <f t="shared" si="19"/>
        <v>5</v>
      </c>
    </row>
    <row r="1246" spans="1:14" ht="16" x14ac:dyDescent="0.2">
      <c r="A1246" s="3">
        <v>44316.858676564487</v>
      </c>
      <c r="B1246" s="1" t="s">
        <v>1633</v>
      </c>
      <c r="C1246" t="s">
        <v>523</v>
      </c>
      <c r="D1246">
        <v>17</v>
      </c>
      <c r="E1246">
        <v>92</v>
      </c>
      <c r="F1246">
        <v>46</v>
      </c>
      <c r="G1246">
        <v>1564</v>
      </c>
      <c r="H1246" s="4">
        <v>782</v>
      </c>
      <c r="I1246" s="4">
        <v>782</v>
      </c>
      <c r="J1246" t="s">
        <v>351</v>
      </c>
      <c r="K1246" t="s">
        <v>33</v>
      </c>
      <c r="L1246" s="4">
        <v>11.070908141213383</v>
      </c>
      <c r="M1246" s="1" t="s">
        <v>54</v>
      </c>
      <c r="N1246" s="11">
        <f t="shared" si="19"/>
        <v>10</v>
      </c>
    </row>
    <row r="1247" spans="1:14" ht="16" x14ac:dyDescent="0.2">
      <c r="A1247" s="3">
        <v>43984.962795092331</v>
      </c>
      <c r="B1247" s="1" t="s">
        <v>1634</v>
      </c>
      <c r="C1247" t="s">
        <v>145</v>
      </c>
      <c r="D1247">
        <v>1</v>
      </c>
      <c r="E1247">
        <v>207</v>
      </c>
      <c r="F1247">
        <v>69</v>
      </c>
      <c r="G1247">
        <v>207</v>
      </c>
      <c r="H1247" s="4">
        <v>69</v>
      </c>
      <c r="I1247" s="4">
        <v>138</v>
      </c>
      <c r="J1247" t="s">
        <v>444</v>
      </c>
      <c r="K1247" t="s">
        <v>42</v>
      </c>
      <c r="L1247" s="4">
        <v>15.861056998489449</v>
      </c>
      <c r="M1247" s="1" t="s">
        <v>38</v>
      </c>
      <c r="N1247" s="11">
        <f t="shared" si="19"/>
        <v>5</v>
      </c>
    </row>
    <row r="1248" spans="1:14" ht="16" x14ac:dyDescent="0.2">
      <c r="A1248" s="3">
        <v>43973.075873932488</v>
      </c>
      <c r="B1248" s="1" t="s">
        <v>1635</v>
      </c>
      <c r="C1248" t="s">
        <v>523</v>
      </c>
      <c r="D1248">
        <v>20</v>
      </c>
      <c r="E1248">
        <v>92</v>
      </c>
      <c r="F1248">
        <v>46</v>
      </c>
      <c r="G1248">
        <v>1840</v>
      </c>
      <c r="H1248" s="4">
        <v>920</v>
      </c>
      <c r="I1248" s="4">
        <v>920</v>
      </c>
      <c r="J1248" t="s">
        <v>521</v>
      </c>
      <c r="K1248" t="s">
        <v>58</v>
      </c>
      <c r="L1248" s="4">
        <v>8.8514729234790472</v>
      </c>
      <c r="M1248" s="1" t="s">
        <v>34</v>
      </c>
      <c r="N1248" s="11">
        <f t="shared" si="19"/>
        <v>1</v>
      </c>
    </row>
    <row r="1249" spans="1:14" ht="16" x14ac:dyDescent="0.2">
      <c r="A1249" s="3">
        <v>43683.450148989978</v>
      </c>
      <c r="B1249" s="1" t="s">
        <v>1636</v>
      </c>
      <c r="C1249" t="s">
        <v>240</v>
      </c>
      <c r="D1249">
        <v>19</v>
      </c>
      <c r="E1249">
        <v>108</v>
      </c>
      <c r="F1249">
        <v>54</v>
      </c>
      <c r="G1249">
        <v>2052</v>
      </c>
      <c r="H1249" s="4">
        <v>1026</v>
      </c>
      <c r="I1249" s="4">
        <v>1026</v>
      </c>
      <c r="J1249" t="s">
        <v>815</v>
      </c>
      <c r="K1249" t="s">
        <v>33</v>
      </c>
      <c r="L1249" s="4">
        <v>16.254955391951082</v>
      </c>
      <c r="M1249" s="1" t="s">
        <v>54</v>
      </c>
      <c r="N1249" s="11">
        <f t="shared" si="19"/>
        <v>10</v>
      </c>
    </row>
    <row r="1250" spans="1:14" ht="16" x14ac:dyDescent="0.2">
      <c r="A1250" s="3">
        <v>43858.530770201956</v>
      </c>
      <c r="B1250" s="1" t="s">
        <v>1637</v>
      </c>
      <c r="C1250" t="s">
        <v>69</v>
      </c>
      <c r="D1250">
        <v>14</v>
      </c>
      <c r="E1250">
        <v>184</v>
      </c>
      <c r="F1250">
        <v>92</v>
      </c>
      <c r="G1250">
        <v>2576</v>
      </c>
      <c r="H1250" s="4">
        <v>1288</v>
      </c>
      <c r="I1250" s="4">
        <v>1288</v>
      </c>
      <c r="J1250" t="s">
        <v>738</v>
      </c>
      <c r="K1250" t="s">
        <v>33</v>
      </c>
      <c r="L1250" s="4">
        <v>12.985332015423809</v>
      </c>
      <c r="M1250" s="1" t="s">
        <v>54</v>
      </c>
      <c r="N1250" s="11">
        <f t="shared" si="19"/>
        <v>10</v>
      </c>
    </row>
    <row r="1251" spans="1:14" ht="16" x14ac:dyDescent="0.2">
      <c r="A1251" s="3">
        <v>44255.828921951645</v>
      </c>
      <c r="B1251" s="1" t="s">
        <v>1638</v>
      </c>
      <c r="C1251" t="s">
        <v>375</v>
      </c>
      <c r="D1251">
        <v>17</v>
      </c>
      <c r="E1251">
        <v>360</v>
      </c>
      <c r="F1251">
        <v>90</v>
      </c>
      <c r="G1251">
        <v>6120</v>
      </c>
      <c r="H1251" s="4">
        <v>1530</v>
      </c>
      <c r="I1251" s="4">
        <v>4590</v>
      </c>
      <c r="J1251" t="s">
        <v>1379</v>
      </c>
      <c r="K1251" t="s">
        <v>86</v>
      </c>
      <c r="L1251" s="4">
        <v>14.157909724393564</v>
      </c>
      <c r="M1251" s="1" t="s">
        <v>38</v>
      </c>
      <c r="N1251" s="11">
        <f t="shared" si="19"/>
        <v>5</v>
      </c>
    </row>
    <row r="1252" spans="1:14" ht="16" x14ac:dyDescent="0.2">
      <c r="A1252" s="3">
        <v>43628.39902233571</v>
      </c>
      <c r="B1252" s="1" t="s">
        <v>1639</v>
      </c>
      <c r="C1252" t="s">
        <v>113</v>
      </c>
      <c r="D1252">
        <v>18</v>
      </c>
      <c r="E1252">
        <v>66</v>
      </c>
      <c r="F1252">
        <v>33</v>
      </c>
      <c r="G1252">
        <v>1188</v>
      </c>
      <c r="H1252" s="4">
        <v>594</v>
      </c>
      <c r="I1252" s="4">
        <v>594</v>
      </c>
      <c r="J1252" t="s">
        <v>274</v>
      </c>
      <c r="K1252" t="s">
        <v>86</v>
      </c>
      <c r="L1252" s="4">
        <v>9.821882845934784</v>
      </c>
      <c r="M1252" s="1" t="s">
        <v>38</v>
      </c>
      <c r="N1252" s="11">
        <f t="shared" si="19"/>
        <v>5</v>
      </c>
    </row>
    <row r="1253" spans="1:14" ht="16" x14ac:dyDescent="0.2">
      <c r="A1253" s="3">
        <v>43641.120995936639</v>
      </c>
      <c r="B1253" s="1" t="s">
        <v>1640</v>
      </c>
      <c r="C1253" t="s">
        <v>69</v>
      </c>
      <c r="D1253">
        <v>19</v>
      </c>
      <c r="E1253">
        <v>184</v>
      </c>
      <c r="F1253">
        <v>92</v>
      </c>
      <c r="G1253">
        <v>3496</v>
      </c>
      <c r="H1253" s="4">
        <v>1748</v>
      </c>
      <c r="I1253" s="4">
        <v>1748</v>
      </c>
      <c r="J1253" t="s">
        <v>295</v>
      </c>
      <c r="K1253" t="s">
        <v>42</v>
      </c>
      <c r="L1253" s="4">
        <v>14.906846445071711</v>
      </c>
      <c r="M1253" s="1" t="s">
        <v>38</v>
      </c>
      <c r="N1253" s="11">
        <f t="shared" si="19"/>
        <v>5</v>
      </c>
    </row>
    <row r="1254" spans="1:14" ht="16" x14ac:dyDescent="0.2">
      <c r="A1254" s="3">
        <v>43786.785465947345</v>
      </c>
      <c r="B1254" s="1" t="s">
        <v>1641</v>
      </c>
      <c r="C1254" t="s">
        <v>261</v>
      </c>
      <c r="D1254">
        <v>15</v>
      </c>
      <c r="E1254">
        <v>92</v>
      </c>
      <c r="F1254">
        <v>46</v>
      </c>
      <c r="G1254">
        <v>1380</v>
      </c>
      <c r="H1254" s="4">
        <v>690</v>
      </c>
      <c r="I1254" s="4">
        <v>690</v>
      </c>
      <c r="J1254" t="s">
        <v>980</v>
      </c>
      <c r="K1254" t="s">
        <v>33</v>
      </c>
      <c r="L1254" s="4">
        <v>8.1743378387804331</v>
      </c>
      <c r="M1254" s="1" t="s">
        <v>38</v>
      </c>
      <c r="N1254" s="11">
        <f t="shared" si="19"/>
        <v>5</v>
      </c>
    </row>
    <row r="1255" spans="1:14" ht="16" x14ac:dyDescent="0.2">
      <c r="A1255" s="3">
        <v>44276.347760434423</v>
      </c>
      <c r="B1255" s="1" t="s">
        <v>1642</v>
      </c>
      <c r="C1255" t="s">
        <v>288</v>
      </c>
      <c r="D1255">
        <v>11</v>
      </c>
      <c r="E1255">
        <v>48</v>
      </c>
      <c r="F1255">
        <v>24</v>
      </c>
      <c r="G1255">
        <v>528</v>
      </c>
      <c r="H1255" s="4">
        <v>264</v>
      </c>
      <c r="I1255" s="4">
        <v>264</v>
      </c>
      <c r="J1255" t="s">
        <v>938</v>
      </c>
      <c r="K1255" t="s">
        <v>33</v>
      </c>
      <c r="L1255" s="4">
        <v>13.397308081757757</v>
      </c>
      <c r="M1255" s="1" t="s">
        <v>38</v>
      </c>
      <c r="N1255" s="11">
        <f t="shared" si="19"/>
        <v>5</v>
      </c>
    </row>
    <row r="1256" spans="1:14" ht="16" x14ac:dyDescent="0.2">
      <c r="A1256" s="3">
        <v>43437.000089642825</v>
      </c>
      <c r="B1256" s="1" t="s">
        <v>1643</v>
      </c>
      <c r="C1256" t="s">
        <v>301</v>
      </c>
      <c r="D1256">
        <v>4</v>
      </c>
      <c r="E1256">
        <v>188</v>
      </c>
      <c r="F1256">
        <v>94</v>
      </c>
      <c r="G1256">
        <v>752</v>
      </c>
      <c r="H1256" s="4">
        <v>376</v>
      </c>
      <c r="I1256" s="4">
        <v>376</v>
      </c>
      <c r="J1256" t="s">
        <v>492</v>
      </c>
      <c r="K1256" t="s">
        <v>33</v>
      </c>
      <c r="L1256" s="4">
        <v>11.799431383856128</v>
      </c>
      <c r="M1256" s="1" t="s">
        <v>38</v>
      </c>
      <c r="N1256" s="11">
        <f t="shared" si="19"/>
        <v>5</v>
      </c>
    </row>
    <row r="1257" spans="1:14" ht="16" x14ac:dyDescent="0.2">
      <c r="A1257" s="3">
        <v>43741.907976461516</v>
      </c>
      <c r="B1257" s="1" t="s">
        <v>1644</v>
      </c>
      <c r="C1257" t="s">
        <v>240</v>
      </c>
      <c r="D1257">
        <v>6</v>
      </c>
      <c r="E1257">
        <v>108</v>
      </c>
      <c r="F1257">
        <v>54</v>
      </c>
      <c r="G1257">
        <v>648</v>
      </c>
      <c r="H1257" s="4">
        <v>324</v>
      </c>
      <c r="I1257" s="4">
        <v>324</v>
      </c>
      <c r="J1257" t="s">
        <v>279</v>
      </c>
      <c r="K1257" t="s">
        <v>64</v>
      </c>
      <c r="L1257" s="4">
        <v>11.504886852416154</v>
      </c>
      <c r="M1257" s="1" t="s">
        <v>38</v>
      </c>
      <c r="N1257" s="11">
        <f t="shared" si="19"/>
        <v>5</v>
      </c>
    </row>
    <row r="1258" spans="1:14" ht="16" x14ac:dyDescent="0.2">
      <c r="A1258" s="3">
        <v>43630.098127256613</v>
      </c>
      <c r="B1258" s="1" t="s">
        <v>1645</v>
      </c>
      <c r="C1258" t="s">
        <v>113</v>
      </c>
      <c r="D1258">
        <v>1</v>
      </c>
      <c r="E1258">
        <v>66</v>
      </c>
      <c r="F1258">
        <v>33</v>
      </c>
      <c r="G1258">
        <v>66</v>
      </c>
      <c r="H1258" s="4">
        <v>33</v>
      </c>
      <c r="I1258" s="4">
        <v>33</v>
      </c>
      <c r="J1258" t="s">
        <v>562</v>
      </c>
      <c r="K1258" t="s">
        <v>49</v>
      </c>
      <c r="L1258" s="4">
        <v>11.808681852148307</v>
      </c>
      <c r="M1258" s="1" t="s">
        <v>38</v>
      </c>
      <c r="N1258" s="11">
        <f t="shared" si="19"/>
        <v>5</v>
      </c>
    </row>
    <row r="1259" spans="1:14" ht="16" x14ac:dyDescent="0.2">
      <c r="A1259" s="3">
        <v>44186.308200312611</v>
      </c>
      <c r="B1259" s="1" t="s">
        <v>519</v>
      </c>
      <c r="C1259" t="s">
        <v>399</v>
      </c>
      <c r="D1259">
        <v>5</v>
      </c>
      <c r="E1259">
        <v>160</v>
      </c>
      <c r="F1259">
        <v>80</v>
      </c>
      <c r="G1259">
        <v>800</v>
      </c>
      <c r="H1259" s="4">
        <v>400</v>
      </c>
      <c r="I1259" s="4">
        <v>400</v>
      </c>
      <c r="J1259" t="s">
        <v>363</v>
      </c>
      <c r="K1259" t="s">
        <v>64</v>
      </c>
      <c r="L1259" s="4">
        <v>14.690198582365463</v>
      </c>
      <c r="M1259" s="1" t="s">
        <v>38</v>
      </c>
      <c r="N1259" s="11">
        <f t="shared" si="19"/>
        <v>5</v>
      </c>
    </row>
    <row r="1260" spans="1:14" ht="16" x14ac:dyDescent="0.2">
      <c r="A1260" s="3">
        <v>43897.247829057684</v>
      </c>
      <c r="B1260" s="1" t="s">
        <v>1646</v>
      </c>
      <c r="C1260" t="s">
        <v>88</v>
      </c>
      <c r="D1260">
        <v>18</v>
      </c>
      <c r="E1260">
        <v>210</v>
      </c>
      <c r="F1260">
        <v>70</v>
      </c>
      <c r="G1260">
        <v>3780</v>
      </c>
      <c r="H1260" s="4">
        <v>1260</v>
      </c>
      <c r="I1260" s="4">
        <v>2520</v>
      </c>
      <c r="J1260" t="s">
        <v>96</v>
      </c>
      <c r="K1260" t="s">
        <v>64</v>
      </c>
      <c r="L1260" s="4">
        <v>12.072414596936037</v>
      </c>
      <c r="M1260" s="1" t="s">
        <v>38</v>
      </c>
      <c r="N1260" s="11">
        <f t="shared" si="19"/>
        <v>5</v>
      </c>
    </row>
    <row r="1261" spans="1:14" ht="16" x14ac:dyDescent="0.2">
      <c r="A1261" s="3">
        <v>43604.22978920232</v>
      </c>
      <c r="B1261" s="1" t="s">
        <v>1647</v>
      </c>
      <c r="C1261" t="s">
        <v>340</v>
      </c>
      <c r="D1261">
        <v>13</v>
      </c>
      <c r="E1261">
        <v>180</v>
      </c>
      <c r="F1261">
        <v>45</v>
      </c>
      <c r="G1261">
        <v>2340</v>
      </c>
      <c r="H1261" s="4">
        <v>585</v>
      </c>
      <c r="I1261" s="4">
        <v>1755</v>
      </c>
      <c r="J1261" t="s">
        <v>645</v>
      </c>
      <c r="K1261" t="s">
        <v>86</v>
      </c>
      <c r="L1261" s="4">
        <v>9.879282537628514</v>
      </c>
      <c r="M1261" s="1" t="s">
        <v>38</v>
      </c>
      <c r="N1261" s="11">
        <f t="shared" si="19"/>
        <v>5</v>
      </c>
    </row>
    <row r="1262" spans="1:14" ht="16" x14ac:dyDescent="0.2">
      <c r="A1262" s="3">
        <v>43737.037623213466</v>
      </c>
      <c r="B1262" s="1" t="s">
        <v>1648</v>
      </c>
      <c r="C1262" t="s">
        <v>218</v>
      </c>
      <c r="D1262">
        <v>20</v>
      </c>
      <c r="E1262">
        <v>264</v>
      </c>
      <c r="F1262">
        <v>88</v>
      </c>
      <c r="G1262">
        <v>5280</v>
      </c>
      <c r="H1262" s="4">
        <v>1760</v>
      </c>
      <c r="I1262" s="4">
        <v>3520</v>
      </c>
      <c r="J1262" t="s">
        <v>786</v>
      </c>
      <c r="K1262" t="s">
        <v>86</v>
      </c>
      <c r="L1262" s="4">
        <v>13.095446915421235</v>
      </c>
      <c r="M1262" s="1" t="s">
        <v>38</v>
      </c>
      <c r="N1262" s="11">
        <f t="shared" si="19"/>
        <v>5</v>
      </c>
    </row>
    <row r="1263" spans="1:14" ht="16" x14ac:dyDescent="0.2">
      <c r="A1263" s="3">
        <v>44388.536103264771</v>
      </c>
      <c r="B1263" s="1" t="s">
        <v>1649</v>
      </c>
      <c r="C1263" t="s">
        <v>317</v>
      </c>
      <c r="D1263">
        <v>20</v>
      </c>
      <c r="E1263">
        <v>352</v>
      </c>
      <c r="F1263">
        <v>88</v>
      </c>
      <c r="G1263">
        <v>7040</v>
      </c>
      <c r="H1263" s="4">
        <v>1760</v>
      </c>
      <c r="I1263" s="4">
        <v>5280</v>
      </c>
      <c r="J1263" t="s">
        <v>795</v>
      </c>
      <c r="K1263" t="s">
        <v>49</v>
      </c>
      <c r="L1263" s="4">
        <v>11.661237375491201</v>
      </c>
      <c r="M1263" s="1" t="s">
        <v>34</v>
      </c>
      <c r="N1263" s="11">
        <f t="shared" si="19"/>
        <v>1</v>
      </c>
    </row>
    <row r="1264" spans="1:14" ht="16" x14ac:dyDescent="0.2">
      <c r="A1264" s="3">
        <v>44311.935112734856</v>
      </c>
      <c r="B1264" s="1" t="s">
        <v>1650</v>
      </c>
      <c r="C1264" t="s">
        <v>259</v>
      </c>
      <c r="D1264">
        <v>12</v>
      </c>
      <c r="E1264">
        <v>270</v>
      </c>
      <c r="F1264">
        <v>90</v>
      </c>
      <c r="G1264">
        <v>3240</v>
      </c>
      <c r="H1264" s="4">
        <v>1080</v>
      </c>
      <c r="I1264" s="4">
        <v>2160</v>
      </c>
      <c r="J1264" t="s">
        <v>440</v>
      </c>
      <c r="K1264" t="s">
        <v>33</v>
      </c>
      <c r="L1264" s="4">
        <v>10.408704992688252</v>
      </c>
      <c r="M1264" s="1" t="s">
        <v>54</v>
      </c>
      <c r="N1264" s="11">
        <f t="shared" si="19"/>
        <v>10</v>
      </c>
    </row>
    <row r="1265" spans="1:14" ht="16" x14ac:dyDescent="0.2">
      <c r="A1265" s="3">
        <v>43779.97994640933</v>
      </c>
      <c r="B1265" s="1" t="s">
        <v>1581</v>
      </c>
      <c r="C1265" t="s">
        <v>320</v>
      </c>
      <c r="D1265">
        <v>1</v>
      </c>
      <c r="E1265">
        <v>280</v>
      </c>
      <c r="F1265">
        <v>70</v>
      </c>
      <c r="G1265">
        <v>280</v>
      </c>
      <c r="H1265" s="4">
        <v>70</v>
      </c>
      <c r="I1265" s="4">
        <v>210</v>
      </c>
      <c r="J1265" t="s">
        <v>819</v>
      </c>
      <c r="K1265" t="s">
        <v>86</v>
      </c>
      <c r="L1265" s="4">
        <v>12.155895475340943</v>
      </c>
      <c r="M1265" s="1" t="s">
        <v>38</v>
      </c>
      <c r="N1265" s="11">
        <f t="shared" si="19"/>
        <v>5</v>
      </c>
    </row>
    <row r="1266" spans="1:14" ht="16" x14ac:dyDescent="0.2">
      <c r="A1266" s="3">
        <v>43368.256852064645</v>
      </c>
      <c r="B1266" s="1" t="s">
        <v>1651</v>
      </c>
      <c r="C1266" t="s">
        <v>133</v>
      </c>
      <c r="D1266">
        <v>18</v>
      </c>
      <c r="E1266">
        <v>189</v>
      </c>
      <c r="F1266">
        <v>63</v>
      </c>
      <c r="G1266">
        <v>3402</v>
      </c>
      <c r="H1266" s="4">
        <v>1134</v>
      </c>
      <c r="I1266" s="4">
        <v>2268</v>
      </c>
      <c r="J1266" t="s">
        <v>232</v>
      </c>
      <c r="K1266" t="s">
        <v>86</v>
      </c>
      <c r="L1266" s="4">
        <v>11.346510807401776</v>
      </c>
      <c r="M1266" s="1" t="s">
        <v>54</v>
      </c>
      <c r="N1266" s="11">
        <f t="shared" si="19"/>
        <v>10</v>
      </c>
    </row>
    <row r="1267" spans="1:14" ht="16" x14ac:dyDescent="0.2">
      <c r="A1267" s="3">
        <v>44217.328540409449</v>
      </c>
      <c r="B1267" s="1" t="s">
        <v>1652</v>
      </c>
      <c r="C1267" t="s">
        <v>288</v>
      </c>
      <c r="D1267">
        <v>15</v>
      </c>
      <c r="E1267">
        <v>48</v>
      </c>
      <c r="F1267">
        <v>24</v>
      </c>
      <c r="G1267">
        <v>720</v>
      </c>
      <c r="H1267" s="4">
        <v>360</v>
      </c>
      <c r="I1267" s="4">
        <v>360</v>
      </c>
      <c r="J1267" t="s">
        <v>48</v>
      </c>
      <c r="K1267" t="s">
        <v>49</v>
      </c>
      <c r="L1267" s="4">
        <v>15.24190997853951</v>
      </c>
      <c r="M1267" s="1" t="s">
        <v>38</v>
      </c>
      <c r="N1267" s="11">
        <f t="shared" si="19"/>
        <v>5</v>
      </c>
    </row>
    <row r="1268" spans="1:14" ht="16" x14ac:dyDescent="0.2">
      <c r="A1268" s="3">
        <v>44687.312637797178</v>
      </c>
      <c r="B1268" s="1" t="s">
        <v>1653</v>
      </c>
      <c r="C1268" t="s">
        <v>779</v>
      </c>
      <c r="D1268">
        <v>17</v>
      </c>
      <c r="E1268">
        <v>120</v>
      </c>
      <c r="F1268">
        <v>30</v>
      </c>
      <c r="G1268">
        <v>2040</v>
      </c>
      <c r="H1268" s="4">
        <v>510</v>
      </c>
      <c r="I1268" s="4">
        <v>1530</v>
      </c>
      <c r="J1268" t="s">
        <v>361</v>
      </c>
      <c r="K1268" t="s">
        <v>64</v>
      </c>
      <c r="L1268" s="4">
        <v>13.092530646074781</v>
      </c>
      <c r="M1268" s="1" t="s">
        <v>38</v>
      </c>
      <c r="N1268" s="11">
        <f t="shared" si="19"/>
        <v>5</v>
      </c>
    </row>
    <row r="1269" spans="1:14" ht="16" x14ac:dyDescent="0.2">
      <c r="A1269" s="3">
        <v>43865.129759462099</v>
      </c>
      <c r="B1269" s="1" t="s">
        <v>1654</v>
      </c>
      <c r="C1269" t="s">
        <v>120</v>
      </c>
      <c r="D1269">
        <v>16</v>
      </c>
      <c r="E1269">
        <v>252</v>
      </c>
      <c r="F1269">
        <v>63</v>
      </c>
      <c r="G1269">
        <v>4032</v>
      </c>
      <c r="H1269" s="4">
        <v>1008</v>
      </c>
      <c r="I1269" s="4">
        <v>3024</v>
      </c>
      <c r="J1269" t="s">
        <v>856</v>
      </c>
      <c r="K1269" t="s">
        <v>42</v>
      </c>
      <c r="L1269" s="4">
        <v>11.226611755437654</v>
      </c>
      <c r="M1269" s="1" t="s">
        <v>54</v>
      </c>
      <c r="N1269" s="11">
        <f t="shared" si="19"/>
        <v>10</v>
      </c>
    </row>
    <row r="1270" spans="1:14" ht="16" x14ac:dyDescent="0.2">
      <c r="A1270" s="3">
        <v>44539.137126437556</v>
      </c>
      <c r="B1270" s="1" t="s">
        <v>1655</v>
      </c>
      <c r="C1270" t="s">
        <v>252</v>
      </c>
      <c r="D1270">
        <v>2</v>
      </c>
      <c r="E1270">
        <v>252</v>
      </c>
      <c r="F1270">
        <v>63</v>
      </c>
      <c r="G1270">
        <v>504</v>
      </c>
      <c r="H1270" s="4">
        <v>126</v>
      </c>
      <c r="I1270" s="4">
        <v>378</v>
      </c>
      <c r="J1270" t="s">
        <v>650</v>
      </c>
      <c r="K1270" t="s">
        <v>86</v>
      </c>
      <c r="L1270" s="4">
        <v>12.679725647708608</v>
      </c>
      <c r="M1270" s="1" t="s">
        <v>38</v>
      </c>
      <c r="N1270" s="11">
        <f t="shared" si="19"/>
        <v>5</v>
      </c>
    </row>
    <row r="1271" spans="1:14" ht="16" x14ac:dyDescent="0.2">
      <c r="A1271" s="3">
        <v>44211.994114322624</v>
      </c>
      <c r="B1271" s="1" t="s">
        <v>1656</v>
      </c>
      <c r="C1271" t="s">
        <v>420</v>
      </c>
      <c r="D1271">
        <v>17</v>
      </c>
      <c r="E1271">
        <v>162</v>
      </c>
      <c r="F1271">
        <v>54</v>
      </c>
      <c r="G1271">
        <v>2754</v>
      </c>
      <c r="H1271" s="4">
        <v>918</v>
      </c>
      <c r="I1271" s="4">
        <v>1836</v>
      </c>
      <c r="J1271" t="s">
        <v>707</v>
      </c>
      <c r="K1271" t="s">
        <v>49</v>
      </c>
      <c r="L1271" s="4">
        <v>11.779256317174871</v>
      </c>
      <c r="M1271" s="1" t="s">
        <v>38</v>
      </c>
      <c r="N1271" s="11">
        <f t="shared" si="19"/>
        <v>5</v>
      </c>
    </row>
    <row r="1272" spans="1:14" ht="16" x14ac:dyDescent="0.2">
      <c r="A1272" s="3">
        <v>44385.93851897995</v>
      </c>
      <c r="B1272" s="1" t="s">
        <v>1657</v>
      </c>
      <c r="C1272" t="s">
        <v>136</v>
      </c>
      <c r="D1272">
        <v>10</v>
      </c>
      <c r="E1272">
        <v>154</v>
      </c>
      <c r="F1272">
        <v>77</v>
      </c>
      <c r="G1272">
        <v>1540</v>
      </c>
      <c r="H1272" s="4">
        <v>770</v>
      </c>
      <c r="I1272" s="4">
        <v>770</v>
      </c>
      <c r="J1272" t="s">
        <v>106</v>
      </c>
      <c r="K1272" t="s">
        <v>42</v>
      </c>
      <c r="L1272" s="4">
        <v>13.717776078041958</v>
      </c>
      <c r="M1272" s="1" t="s">
        <v>54</v>
      </c>
      <c r="N1272" s="11">
        <f t="shared" si="19"/>
        <v>10</v>
      </c>
    </row>
    <row r="1273" spans="1:14" ht="16" x14ac:dyDescent="0.2">
      <c r="A1273" s="3">
        <v>44560.353555727364</v>
      </c>
      <c r="B1273" s="1" t="s">
        <v>1658</v>
      </c>
      <c r="C1273" t="s">
        <v>40</v>
      </c>
      <c r="D1273">
        <v>7</v>
      </c>
      <c r="E1273">
        <v>46</v>
      </c>
      <c r="F1273">
        <v>23</v>
      </c>
      <c r="G1273">
        <v>322</v>
      </c>
      <c r="H1273" s="4">
        <v>161</v>
      </c>
      <c r="I1273" s="4">
        <v>161</v>
      </c>
      <c r="J1273" t="s">
        <v>225</v>
      </c>
      <c r="K1273" t="s">
        <v>33</v>
      </c>
      <c r="L1273" s="4">
        <v>11.083482342133532</v>
      </c>
      <c r="M1273" s="1" t="s">
        <v>54</v>
      </c>
      <c r="N1273" s="11">
        <f t="shared" si="19"/>
        <v>10</v>
      </c>
    </row>
    <row r="1274" spans="1:14" ht="16" x14ac:dyDescent="0.2">
      <c r="A1274" s="3">
        <v>44281.477034303214</v>
      </c>
      <c r="B1274" s="1" t="s">
        <v>1659</v>
      </c>
      <c r="C1274" t="s">
        <v>81</v>
      </c>
      <c r="D1274">
        <v>17</v>
      </c>
      <c r="E1274">
        <v>166</v>
      </c>
      <c r="F1274">
        <v>83</v>
      </c>
      <c r="G1274">
        <v>2822</v>
      </c>
      <c r="H1274" s="4">
        <v>1411</v>
      </c>
      <c r="I1274" s="4">
        <v>1411</v>
      </c>
      <c r="J1274" t="s">
        <v>1379</v>
      </c>
      <c r="K1274" t="s">
        <v>86</v>
      </c>
      <c r="L1274" s="4">
        <v>14.157909724393564</v>
      </c>
      <c r="M1274" s="1" t="s">
        <v>38</v>
      </c>
      <c r="N1274" s="11">
        <f t="shared" si="19"/>
        <v>5</v>
      </c>
    </row>
    <row r="1275" spans="1:14" ht="16" x14ac:dyDescent="0.2">
      <c r="A1275" s="3">
        <v>44258.879491874919</v>
      </c>
      <c r="B1275" s="1" t="s">
        <v>1660</v>
      </c>
      <c r="C1275" t="s">
        <v>40</v>
      </c>
      <c r="D1275">
        <v>7</v>
      </c>
      <c r="E1275">
        <v>46</v>
      </c>
      <c r="F1275">
        <v>23</v>
      </c>
      <c r="G1275">
        <v>322</v>
      </c>
      <c r="H1275" s="4">
        <v>161</v>
      </c>
      <c r="I1275" s="4">
        <v>161</v>
      </c>
      <c r="J1275" t="s">
        <v>539</v>
      </c>
      <c r="K1275" t="s">
        <v>49</v>
      </c>
      <c r="L1275" s="4">
        <v>10.954865572729823</v>
      </c>
      <c r="M1275" s="1" t="s">
        <v>38</v>
      </c>
      <c r="N1275" s="11">
        <f t="shared" si="19"/>
        <v>5</v>
      </c>
    </row>
    <row r="1276" spans="1:14" ht="16" x14ac:dyDescent="0.2">
      <c r="A1276" s="3">
        <v>43186.751327006044</v>
      </c>
      <c r="B1276" s="1" t="s">
        <v>1661</v>
      </c>
      <c r="C1276" t="s">
        <v>133</v>
      </c>
      <c r="D1276">
        <v>10</v>
      </c>
      <c r="E1276">
        <v>189</v>
      </c>
      <c r="F1276">
        <v>63</v>
      </c>
      <c r="G1276">
        <v>1890</v>
      </c>
      <c r="H1276" s="4">
        <v>630</v>
      </c>
      <c r="I1276" s="4">
        <v>1260</v>
      </c>
      <c r="J1276" t="s">
        <v>638</v>
      </c>
      <c r="K1276" t="s">
        <v>33</v>
      </c>
      <c r="L1276" s="4">
        <v>12.131375018945562</v>
      </c>
      <c r="M1276" s="1" t="s">
        <v>54</v>
      </c>
      <c r="N1276" s="11">
        <f t="shared" si="19"/>
        <v>10</v>
      </c>
    </row>
    <row r="1277" spans="1:14" ht="16" x14ac:dyDescent="0.2">
      <c r="A1277" s="3">
        <v>43501.827718</v>
      </c>
      <c r="B1277" s="1" t="s">
        <v>1662</v>
      </c>
      <c r="C1277" t="s">
        <v>276</v>
      </c>
      <c r="D1277">
        <v>20</v>
      </c>
      <c r="E1277">
        <v>57</v>
      </c>
      <c r="F1277">
        <v>19</v>
      </c>
      <c r="G1277">
        <v>1140</v>
      </c>
      <c r="H1277" s="4">
        <v>380</v>
      </c>
      <c r="I1277" s="4">
        <v>760</v>
      </c>
      <c r="J1277" t="s">
        <v>552</v>
      </c>
      <c r="K1277" t="s">
        <v>53</v>
      </c>
      <c r="L1277" s="4">
        <v>9.74650548941427</v>
      </c>
      <c r="M1277" s="1" t="s">
        <v>38</v>
      </c>
      <c r="N1277" s="11">
        <f t="shared" si="19"/>
        <v>5</v>
      </c>
    </row>
    <row r="1278" spans="1:14" ht="16" x14ac:dyDescent="0.2">
      <c r="A1278" s="3">
        <v>43652.171439324033</v>
      </c>
      <c r="B1278" s="1" t="s">
        <v>1663</v>
      </c>
      <c r="C1278" t="s">
        <v>201</v>
      </c>
      <c r="D1278">
        <v>14</v>
      </c>
      <c r="E1278">
        <v>30</v>
      </c>
      <c r="F1278">
        <v>15</v>
      </c>
      <c r="G1278">
        <v>420</v>
      </c>
      <c r="H1278" s="4">
        <v>210</v>
      </c>
      <c r="I1278" s="4">
        <v>210</v>
      </c>
      <c r="J1278" t="s">
        <v>862</v>
      </c>
      <c r="K1278" t="s">
        <v>58</v>
      </c>
      <c r="L1278" s="4">
        <v>13.827196127590291</v>
      </c>
      <c r="M1278" s="1" t="s">
        <v>54</v>
      </c>
      <c r="N1278" s="11">
        <f t="shared" si="19"/>
        <v>10</v>
      </c>
    </row>
    <row r="1279" spans="1:14" ht="16" x14ac:dyDescent="0.2">
      <c r="A1279" s="3">
        <v>44183.226715499841</v>
      </c>
      <c r="B1279" s="1" t="s">
        <v>1664</v>
      </c>
      <c r="C1279" t="s">
        <v>110</v>
      </c>
      <c r="D1279">
        <v>18</v>
      </c>
      <c r="E1279">
        <v>144</v>
      </c>
      <c r="F1279">
        <v>36</v>
      </c>
      <c r="G1279">
        <v>2592</v>
      </c>
      <c r="H1279" s="4">
        <v>648</v>
      </c>
      <c r="I1279" s="4">
        <v>1944</v>
      </c>
      <c r="J1279" t="s">
        <v>1126</v>
      </c>
      <c r="K1279" t="s">
        <v>64</v>
      </c>
      <c r="L1279" s="4">
        <v>11.593991859287692</v>
      </c>
      <c r="M1279" s="1" t="s">
        <v>38</v>
      </c>
      <c r="N1279" s="11">
        <f t="shared" si="19"/>
        <v>5</v>
      </c>
    </row>
    <row r="1280" spans="1:14" ht="16" x14ac:dyDescent="0.2">
      <c r="A1280" s="3">
        <v>43485.883815324152</v>
      </c>
      <c r="B1280" s="1" t="s">
        <v>1665</v>
      </c>
      <c r="C1280" t="s">
        <v>547</v>
      </c>
      <c r="D1280">
        <v>3</v>
      </c>
      <c r="E1280">
        <v>300</v>
      </c>
      <c r="F1280">
        <v>75</v>
      </c>
      <c r="G1280">
        <v>900</v>
      </c>
      <c r="H1280" s="4">
        <v>225</v>
      </c>
      <c r="I1280" s="4">
        <v>675</v>
      </c>
      <c r="J1280" t="s">
        <v>557</v>
      </c>
      <c r="K1280" t="s">
        <v>64</v>
      </c>
      <c r="L1280" s="4">
        <v>10.037135914792184</v>
      </c>
      <c r="M1280" s="1" t="s">
        <v>54</v>
      </c>
      <c r="N1280" s="11">
        <f t="shared" si="19"/>
        <v>10</v>
      </c>
    </row>
    <row r="1281" spans="1:14" ht="16" x14ac:dyDescent="0.2">
      <c r="A1281" s="3">
        <v>44739.984918279391</v>
      </c>
      <c r="B1281" s="1" t="s">
        <v>1666</v>
      </c>
      <c r="C1281" t="s">
        <v>88</v>
      </c>
      <c r="D1281">
        <v>6</v>
      </c>
      <c r="E1281">
        <v>210</v>
      </c>
      <c r="F1281">
        <v>70</v>
      </c>
      <c r="G1281">
        <v>1260</v>
      </c>
      <c r="H1281" s="4">
        <v>420</v>
      </c>
      <c r="I1281" s="4">
        <v>840</v>
      </c>
      <c r="J1281" t="s">
        <v>786</v>
      </c>
      <c r="K1281" t="s">
        <v>86</v>
      </c>
      <c r="L1281" s="4">
        <v>13.095446915421235</v>
      </c>
      <c r="M1281" s="1" t="s">
        <v>38</v>
      </c>
      <c r="N1281" s="11">
        <f t="shared" si="19"/>
        <v>5</v>
      </c>
    </row>
    <row r="1282" spans="1:14" ht="16" x14ac:dyDescent="0.2">
      <c r="A1282" s="3">
        <v>43436.726109429575</v>
      </c>
      <c r="B1282" s="1" t="s">
        <v>1667</v>
      </c>
      <c r="C1282" t="s">
        <v>304</v>
      </c>
      <c r="D1282">
        <v>19</v>
      </c>
      <c r="E1282">
        <v>116</v>
      </c>
      <c r="F1282">
        <v>29</v>
      </c>
      <c r="G1282">
        <v>2204</v>
      </c>
      <c r="H1282" s="4">
        <v>551</v>
      </c>
      <c r="I1282" s="4">
        <v>1653</v>
      </c>
      <c r="J1282" t="s">
        <v>729</v>
      </c>
      <c r="K1282" t="s">
        <v>64</v>
      </c>
      <c r="L1282" s="4">
        <v>11.443503623244197</v>
      </c>
      <c r="M1282" s="1" t="s">
        <v>54</v>
      </c>
      <c r="N1282" s="11">
        <f t="shared" si="19"/>
        <v>10</v>
      </c>
    </row>
    <row r="1283" spans="1:14" ht="16" x14ac:dyDescent="0.2">
      <c r="A1283" s="3">
        <v>43006.700392775296</v>
      </c>
      <c r="B1283" s="1" t="s">
        <v>1668</v>
      </c>
      <c r="C1283" t="s">
        <v>185</v>
      </c>
      <c r="D1283">
        <v>14</v>
      </c>
      <c r="E1283">
        <v>146</v>
      </c>
      <c r="F1283">
        <v>73</v>
      </c>
      <c r="G1283">
        <v>2044</v>
      </c>
      <c r="H1283" s="4">
        <v>1022</v>
      </c>
      <c r="I1283" s="4">
        <v>1022</v>
      </c>
      <c r="J1283" t="s">
        <v>137</v>
      </c>
      <c r="K1283" t="s">
        <v>42</v>
      </c>
      <c r="L1283" s="4">
        <v>11.410471033945758</v>
      </c>
      <c r="M1283" s="1" t="s">
        <v>38</v>
      </c>
      <c r="N1283" s="11">
        <f t="shared" ref="N1283:N1346" si="20">+IF(M1283="Dissatisfied",1,IF(M1283="Satisfied",10,5))</f>
        <v>5</v>
      </c>
    </row>
    <row r="1284" spans="1:14" ht="16" x14ac:dyDescent="0.2">
      <c r="A1284" s="3">
        <v>43591.918483252019</v>
      </c>
      <c r="B1284" s="1" t="s">
        <v>1669</v>
      </c>
      <c r="C1284" t="s">
        <v>157</v>
      </c>
      <c r="D1284">
        <v>10</v>
      </c>
      <c r="E1284">
        <v>50</v>
      </c>
      <c r="F1284">
        <v>25</v>
      </c>
      <c r="G1284">
        <v>500</v>
      </c>
      <c r="H1284" s="4">
        <v>250</v>
      </c>
      <c r="I1284" s="4">
        <v>250</v>
      </c>
      <c r="J1284" t="s">
        <v>169</v>
      </c>
      <c r="K1284" t="s">
        <v>33</v>
      </c>
      <c r="L1284" s="4">
        <v>15.121383064708469</v>
      </c>
      <c r="M1284" s="1" t="s">
        <v>38</v>
      </c>
      <c r="N1284" s="11">
        <f t="shared" si="20"/>
        <v>5</v>
      </c>
    </row>
    <row r="1285" spans="1:14" ht="16" x14ac:dyDescent="0.2">
      <c r="A1285" s="3">
        <v>43851.969944665863</v>
      </c>
      <c r="B1285" s="1" t="s">
        <v>1670</v>
      </c>
      <c r="C1285" t="s">
        <v>255</v>
      </c>
      <c r="D1285">
        <v>19</v>
      </c>
      <c r="E1285">
        <v>140</v>
      </c>
      <c r="F1285">
        <v>70</v>
      </c>
      <c r="G1285">
        <v>2660</v>
      </c>
      <c r="H1285" s="4">
        <v>1330</v>
      </c>
      <c r="I1285" s="4">
        <v>1330</v>
      </c>
      <c r="J1285" t="s">
        <v>1671</v>
      </c>
      <c r="K1285" t="s">
        <v>86</v>
      </c>
      <c r="L1285" s="4">
        <v>15.239568994601312</v>
      </c>
      <c r="M1285" s="1" t="s">
        <v>38</v>
      </c>
      <c r="N1285" s="11">
        <f t="shared" si="20"/>
        <v>5</v>
      </c>
    </row>
    <row r="1286" spans="1:14" ht="16" x14ac:dyDescent="0.2">
      <c r="A1286" s="3">
        <v>43961.53264528259</v>
      </c>
      <c r="B1286" s="1" t="s">
        <v>1672</v>
      </c>
      <c r="C1286" t="s">
        <v>215</v>
      </c>
      <c r="D1286">
        <v>10</v>
      </c>
      <c r="E1286">
        <v>176</v>
      </c>
      <c r="F1286">
        <v>88</v>
      </c>
      <c r="G1286">
        <v>1760</v>
      </c>
      <c r="H1286" s="4">
        <v>880</v>
      </c>
      <c r="I1286" s="4">
        <v>880</v>
      </c>
      <c r="J1286" t="s">
        <v>94</v>
      </c>
      <c r="K1286" t="s">
        <v>49</v>
      </c>
      <c r="L1286" s="4">
        <v>9.8238489437106278</v>
      </c>
      <c r="M1286" s="1" t="s">
        <v>38</v>
      </c>
      <c r="N1286" s="11">
        <f t="shared" si="20"/>
        <v>5</v>
      </c>
    </row>
    <row r="1287" spans="1:14" ht="16" x14ac:dyDescent="0.2">
      <c r="A1287" s="3">
        <v>44573.464044186781</v>
      </c>
      <c r="B1287" s="1" t="s">
        <v>1673</v>
      </c>
      <c r="C1287" t="s">
        <v>356</v>
      </c>
      <c r="D1287">
        <v>14</v>
      </c>
      <c r="E1287">
        <v>356</v>
      </c>
      <c r="F1287">
        <v>89</v>
      </c>
      <c r="G1287">
        <v>4984</v>
      </c>
      <c r="H1287" s="4">
        <v>1246</v>
      </c>
      <c r="I1287" s="4">
        <v>3738</v>
      </c>
      <c r="J1287" t="s">
        <v>194</v>
      </c>
      <c r="K1287" t="s">
        <v>42</v>
      </c>
      <c r="L1287" s="4">
        <v>14.573178107544177</v>
      </c>
      <c r="M1287" s="1" t="s">
        <v>38</v>
      </c>
      <c r="N1287" s="11">
        <f t="shared" si="20"/>
        <v>5</v>
      </c>
    </row>
    <row r="1288" spans="1:14" ht="16" x14ac:dyDescent="0.2">
      <c r="A1288" s="3">
        <v>43537.802772961943</v>
      </c>
      <c r="B1288" s="1" t="s">
        <v>1674</v>
      </c>
      <c r="C1288" t="s">
        <v>266</v>
      </c>
      <c r="D1288">
        <v>2</v>
      </c>
      <c r="E1288">
        <v>50</v>
      </c>
      <c r="F1288">
        <v>25</v>
      </c>
      <c r="G1288">
        <v>100</v>
      </c>
      <c r="H1288" s="4">
        <v>50</v>
      </c>
      <c r="I1288" s="4">
        <v>50</v>
      </c>
      <c r="J1288" t="s">
        <v>862</v>
      </c>
      <c r="K1288" t="s">
        <v>58</v>
      </c>
      <c r="L1288" s="4">
        <v>13.827196127590291</v>
      </c>
      <c r="M1288" s="1" t="s">
        <v>38</v>
      </c>
      <c r="N1288" s="11">
        <f t="shared" si="20"/>
        <v>5</v>
      </c>
    </row>
    <row r="1289" spans="1:14" ht="16" x14ac:dyDescent="0.2">
      <c r="A1289" s="3">
        <v>43754.916619051881</v>
      </c>
      <c r="B1289" s="1" t="s">
        <v>309</v>
      </c>
      <c r="C1289" t="s">
        <v>340</v>
      </c>
      <c r="D1289">
        <v>10</v>
      </c>
      <c r="E1289">
        <v>180</v>
      </c>
      <c r="F1289">
        <v>45</v>
      </c>
      <c r="G1289">
        <v>1800</v>
      </c>
      <c r="H1289" s="4">
        <v>450</v>
      </c>
      <c r="I1289" s="4">
        <v>1350</v>
      </c>
      <c r="J1289" t="s">
        <v>713</v>
      </c>
      <c r="K1289" t="s">
        <v>42</v>
      </c>
      <c r="L1289" s="4">
        <v>10.956589836772277</v>
      </c>
      <c r="M1289" s="1" t="s">
        <v>54</v>
      </c>
      <c r="N1289" s="11">
        <f t="shared" si="20"/>
        <v>10</v>
      </c>
    </row>
    <row r="1290" spans="1:14" ht="16" x14ac:dyDescent="0.2">
      <c r="A1290" s="3">
        <v>43907.273958820057</v>
      </c>
      <c r="B1290" s="1" t="s">
        <v>1675</v>
      </c>
      <c r="C1290" t="s">
        <v>240</v>
      </c>
      <c r="D1290">
        <v>3</v>
      </c>
      <c r="E1290">
        <v>108</v>
      </c>
      <c r="F1290">
        <v>54</v>
      </c>
      <c r="G1290">
        <v>324</v>
      </c>
      <c r="H1290" s="4">
        <v>162</v>
      </c>
      <c r="I1290" s="4">
        <v>162</v>
      </c>
      <c r="J1290" t="s">
        <v>169</v>
      </c>
      <c r="K1290" t="s">
        <v>33</v>
      </c>
      <c r="L1290" s="4">
        <v>15.121383064708469</v>
      </c>
      <c r="M1290" s="1" t="s">
        <v>34</v>
      </c>
      <c r="N1290" s="11">
        <f t="shared" si="20"/>
        <v>1</v>
      </c>
    </row>
    <row r="1291" spans="1:14" ht="16" x14ac:dyDescent="0.2">
      <c r="A1291" s="3">
        <v>44313.629433143571</v>
      </c>
      <c r="B1291" s="1" t="s">
        <v>1676</v>
      </c>
      <c r="C1291" t="s">
        <v>98</v>
      </c>
      <c r="D1291">
        <v>8</v>
      </c>
      <c r="E1291">
        <v>156</v>
      </c>
      <c r="F1291">
        <v>78</v>
      </c>
      <c r="G1291">
        <v>1248</v>
      </c>
      <c r="H1291" s="4">
        <v>624</v>
      </c>
      <c r="I1291" s="4">
        <v>624</v>
      </c>
      <c r="J1291" t="s">
        <v>179</v>
      </c>
      <c r="K1291" t="s">
        <v>53</v>
      </c>
      <c r="L1291" s="4">
        <v>11.36085047138285</v>
      </c>
      <c r="M1291" s="1" t="s">
        <v>54</v>
      </c>
      <c r="N1291" s="11">
        <f t="shared" si="20"/>
        <v>10</v>
      </c>
    </row>
    <row r="1292" spans="1:14" ht="16" x14ac:dyDescent="0.2">
      <c r="A1292" s="3">
        <v>43915.568505905132</v>
      </c>
      <c r="B1292" s="1" t="s">
        <v>1677</v>
      </c>
      <c r="C1292" t="s">
        <v>56</v>
      </c>
      <c r="D1292">
        <v>7</v>
      </c>
      <c r="E1292">
        <v>38</v>
      </c>
      <c r="F1292">
        <v>19</v>
      </c>
      <c r="G1292">
        <v>266</v>
      </c>
      <c r="H1292" s="4">
        <v>133</v>
      </c>
      <c r="I1292" s="4">
        <v>133</v>
      </c>
      <c r="J1292" t="s">
        <v>202</v>
      </c>
      <c r="K1292" t="s">
        <v>58</v>
      </c>
      <c r="L1292" s="4">
        <v>13.765798454641494</v>
      </c>
      <c r="M1292" s="1" t="s">
        <v>38</v>
      </c>
      <c r="N1292" s="11">
        <f t="shared" si="20"/>
        <v>5</v>
      </c>
    </row>
    <row r="1293" spans="1:14" ht="16" x14ac:dyDescent="0.2">
      <c r="A1293" s="3">
        <v>43445.313162140315</v>
      </c>
      <c r="B1293" s="1" t="s">
        <v>1678</v>
      </c>
      <c r="C1293" t="s">
        <v>125</v>
      </c>
      <c r="D1293">
        <v>15</v>
      </c>
      <c r="E1293">
        <v>176</v>
      </c>
      <c r="F1293">
        <v>88</v>
      </c>
      <c r="G1293">
        <v>2640</v>
      </c>
      <c r="H1293" s="4">
        <v>1320</v>
      </c>
      <c r="I1293" s="4">
        <v>1320</v>
      </c>
      <c r="J1293" t="s">
        <v>548</v>
      </c>
      <c r="K1293" t="s">
        <v>53</v>
      </c>
      <c r="L1293" s="4">
        <v>16.695690968264284</v>
      </c>
      <c r="M1293" s="1" t="s">
        <v>34</v>
      </c>
      <c r="N1293" s="11">
        <f t="shared" si="20"/>
        <v>1</v>
      </c>
    </row>
    <row r="1294" spans="1:14" ht="16" x14ac:dyDescent="0.2">
      <c r="A1294" s="3">
        <v>43968.513761501097</v>
      </c>
      <c r="B1294" s="1" t="s">
        <v>1679</v>
      </c>
      <c r="C1294" t="s">
        <v>261</v>
      </c>
      <c r="D1294">
        <v>15</v>
      </c>
      <c r="E1294">
        <v>92</v>
      </c>
      <c r="F1294">
        <v>46</v>
      </c>
      <c r="G1294">
        <v>1380</v>
      </c>
      <c r="H1294" s="4">
        <v>690</v>
      </c>
      <c r="I1294" s="4">
        <v>690</v>
      </c>
      <c r="J1294" t="s">
        <v>116</v>
      </c>
      <c r="K1294" t="s">
        <v>64</v>
      </c>
      <c r="L1294" s="4">
        <v>14.697745043716761</v>
      </c>
      <c r="M1294" s="1" t="s">
        <v>38</v>
      </c>
      <c r="N1294" s="11">
        <f t="shared" si="20"/>
        <v>5</v>
      </c>
    </row>
    <row r="1295" spans="1:14" ht="16" x14ac:dyDescent="0.2">
      <c r="A1295" s="3">
        <v>44979.790131211652</v>
      </c>
      <c r="B1295" s="1" t="s">
        <v>1680</v>
      </c>
      <c r="C1295" t="s">
        <v>98</v>
      </c>
      <c r="D1295">
        <v>10</v>
      </c>
      <c r="E1295">
        <v>156</v>
      </c>
      <c r="F1295">
        <v>78</v>
      </c>
      <c r="G1295">
        <v>1560</v>
      </c>
      <c r="H1295" s="4">
        <v>780</v>
      </c>
      <c r="I1295" s="4">
        <v>780</v>
      </c>
      <c r="J1295" t="s">
        <v>79</v>
      </c>
      <c r="K1295" t="s">
        <v>64</v>
      </c>
      <c r="L1295" s="4">
        <v>12.163730387337393</v>
      </c>
      <c r="M1295" s="1" t="s">
        <v>38</v>
      </c>
      <c r="N1295" s="11">
        <f t="shared" si="20"/>
        <v>5</v>
      </c>
    </row>
    <row r="1296" spans="1:14" ht="16" x14ac:dyDescent="0.2">
      <c r="A1296" s="3">
        <v>43626.291418853776</v>
      </c>
      <c r="B1296" s="1" t="s">
        <v>1681</v>
      </c>
      <c r="C1296" t="s">
        <v>115</v>
      </c>
      <c r="D1296">
        <v>15</v>
      </c>
      <c r="E1296">
        <v>81</v>
      </c>
      <c r="F1296">
        <v>27</v>
      </c>
      <c r="G1296">
        <v>1215</v>
      </c>
      <c r="H1296" s="4">
        <v>405</v>
      </c>
      <c r="I1296" s="4">
        <v>810</v>
      </c>
      <c r="J1296" t="s">
        <v>1126</v>
      </c>
      <c r="K1296" t="s">
        <v>64</v>
      </c>
      <c r="L1296" s="4">
        <v>11.593991859287692</v>
      </c>
      <c r="M1296" s="1" t="s">
        <v>54</v>
      </c>
      <c r="N1296" s="11">
        <f t="shared" si="20"/>
        <v>10</v>
      </c>
    </row>
    <row r="1297" spans="1:14" ht="16" x14ac:dyDescent="0.2">
      <c r="A1297" s="3">
        <v>44161.17864991894</v>
      </c>
      <c r="B1297" s="1" t="s">
        <v>1682</v>
      </c>
      <c r="C1297" t="s">
        <v>136</v>
      </c>
      <c r="D1297">
        <v>1</v>
      </c>
      <c r="E1297">
        <v>154</v>
      </c>
      <c r="F1297">
        <v>77</v>
      </c>
      <c r="G1297">
        <v>154</v>
      </c>
      <c r="H1297" s="4">
        <v>77</v>
      </c>
      <c r="I1297" s="4">
        <v>77</v>
      </c>
      <c r="J1297" t="s">
        <v>643</v>
      </c>
      <c r="K1297" t="s">
        <v>33</v>
      </c>
      <c r="L1297" s="4">
        <v>12.275875773922367</v>
      </c>
      <c r="M1297" s="1" t="s">
        <v>54</v>
      </c>
      <c r="N1297" s="11">
        <f t="shared" si="20"/>
        <v>10</v>
      </c>
    </row>
    <row r="1298" spans="1:14" ht="16" x14ac:dyDescent="0.2">
      <c r="A1298" s="3">
        <v>43774.041456368141</v>
      </c>
      <c r="B1298" s="1" t="s">
        <v>1683</v>
      </c>
      <c r="C1298" t="s">
        <v>133</v>
      </c>
      <c r="D1298">
        <v>11</v>
      </c>
      <c r="E1298">
        <v>189</v>
      </c>
      <c r="F1298">
        <v>63</v>
      </c>
      <c r="G1298">
        <v>2079</v>
      </c>
      <c r="H1298" s="4">
        <v>693</v>
      </c>
      <c r="I1298" s="4">
        <v>1386</v>
      </c>
      <c r="J1298" t="s">
        <v>448</v>
      </c>
      <c r="K1298" t="s">
        <v>58</v>
      </c>
      <c r="L1298" s="4">
        <v>15.770846827234339</v>
      </c>
      <c r="M1298" s="1" t="s">
        <v>54</v>
      </c>
      <c r="N1298" s="11">
        <f t="shared" si="20"/>
        <v>10</v>
      </c>
    </row>
    <row r="1299" spans="1:14" ht="16" x14ac:dyDescent="0.2">
      <c r="A1299" s="3">
        <v>44100.601966130176</v>
      </c>
      <c r="B1299" s="1" t="s">
        <v>1684</v>
      </c>
      <c r="C1299" t="s">
        <v>257</v>
      </c>
      <c r="D1299">
        <v>4</v>
      </c>
      <c r="E1299">
        <v>160</v>
      </c>
      <c r="F1299">
        <v>80</v>
      </c>
      <c r="G1299">
        <v>640</v>
      </c>
      <c r="H1299" s="4">
        <v>320</v>
      </c>
      <c r="I1299" s="4">
        <v>320</v>
      </c>
      <c r="J1299" t="s">
        <v>643</v>
      </c>
      <c r="K1299" t="s">
        <v>33</v>
      </c>
      <c r="L1299" s="4">
        <v>12.275875773922367</v>
      </c>
      <c r="M1299" s="1" t="s">
        <v>38</v>
      </c>
      <c r="N1299" s="11">
        <f t="shared" si="20"/>
        <v>5</v>
      </c>
    </row>
    <row r="1300" spans="1:14" ht="16" x14ac:dyDescent="0.2">
      <c r="A1300" s="3">
        <v>43294.388757902772</v>
      </c>
      <c r="B1300" s="1" t="s">
        <v>1685</v>
      </c>
      <c r="C1300" t="s">
        <v>185</v>
      </c>
      <c r="D1300">
        <v>8</v>
      </c>
      <c r="E1300">
        <v>146</v>
      </c>
      <c r="F1300">
        <v>73</v>
      </c>
      <c r="G1300">
        <v>1168</v>
      </c>
      <c r="H1300" s="4">
        <v>584</v>
      </c>
      <c r="I1300" s="4">
        <v>584</v>
      </c>
      <c r="J1300" t="s">
        <v>450</v>
      </c>
      <c r="K1300" t="s">
        <v>49</v>
      </c>
      <c r="L1300" s="4">
        <v>13.332534707865639</v>
      </c>
      <c r="M1300" s="1" t="s">
        <v>34</v>
      </c>
      <c r="N1300" s="11">
        <f t="shared" si="20"/>
        <v>1</v>
      </c>
    </row>
    <row r="1301" spans="1:14" ht="16" x14ac:dyDescent="0.2">
      <c r="A1301" s="3">
        <v>43517.567618924302</v>
      </c>
      <c r="B1301" s="1" t="s">
        <v>1686</v>
      </c>
      <c r="C1301" t="s">
        <v>473</v>
      </c>
      <c r="D1301">
        <v>20</v>
      </c>
      <c r="E1301">
        <v>72</v>
      </c>
      <c r="F1301">
        <v>36</v>
      </c>
      <c r="G1301">
        <v>1440</v>
      </c>
      <c r="H1301" s="4">
        <v>720</v>
      </c>
      <c r="I1301" s="4">
        <v>720</v>
      </c>
      <c r="J1301" t="s">
        <v>462</v>
      </c>
      <c r="K1301" t="s">
        <v>86</v>
      </c>
      <c r="L1301" s="4">
        <v>12.732640267350657</v>
      </c>
      <c r="M1301" s="1" t="s">
        <v>38</v>
      </c>
      <c r="N1301" s="11">
        <f t="shared" si="20"/>
        <v>5</v>
      </c>
    </row>
    <row r="1302" spans="1:14" ht="16" x14ac:dyDescent="0.2">
      <c r="A1302" s="3">
        <v>43999.094015836912</v>
      </c>
      <c r="B1302" s="1" t="s">
        <v>1687</v>
      </c>
      <c r="C1302" t="s">
        <v>592</v>
      </c>
      <c r="D1302">
        <v>15</v>
      </c>
      <c r="E1302">
        <v>312</v>
      </c>
      <c r="F1302">
        <v>78</v>
      </c>
      <c r="G1302">
        <v>4680</v>
      </c>
      <c r="H1302" s="4">
        <v>1170</v>
      </c>
      <c r="I1302" s="4">
        <v>3510</v>
      </c>
      <c r="J1302" t="s">
        <v>341</v>
      </c>
      <c r="K1302" t="s">
        <v>64</v>
      </c>
      <c r="L1302" s="4">
        <v>10.816866337473218</v>
      </c>
      <c r="M1302" s="1" t="s">
        <v>38</v>
      </c>
      <c r="N1302" s="11">
        <f t="shared" si="20"/>
        <v>5</v>
      </c>
    </row>
    <row r="1303" spans="1:14" ht="16" x14ac:dyDescent="0.2">
      <c r="A1303" s="3">
        <v>44481.225086449158</v>
      </c>
      <c r="B1303" s="1" t="s">
        <v>1688</v>
      </c>
      <c r="C1303" t="s">
        <v>299</v>
      </c>
      <c r="D1303">
        <v>5</v>
      </c>
      <c r="E1303">
        <v>225</v>
      </c>
      <c r="F1303">
        <v>75</v>
      </c>
      <c r="G1303">
        <v>1125</v>
      </c>
      <c r="H1303" s="4">
        <v>375</v>
      </c>
      <c r="I1303" s="4">
        <v>750</v>
      </c>
      <c r="J1303" t="s">
        <v>67</v>
      </c>
      <c r="K1303" t="s">
        <v>64</v>
      </c>
      <c r="L1303" s="4">
        <v>15.602184182549776</v>
      </c>
      <c r="M1303" s="1" t="s">
        <v>38</v>
      </c>
      <c r="N1303" s="11">
        <f t="shared" si="20"/>
        <v>5</v>
      </c>
    </row>
    <row r="1304" spans="1:14" ht="16" x14ac:dyDescent="0.2">
      <c r="A1304" s="3">
        <v>43910.584833162604</v>
      </c>
      <c r="B1304" s="1" t="s">
        <v>1689</v>
      </c>
      <c r="C1304" t="s">
        <v>130</v>
      </c>
      <c r="D1304">
        <v>16</v>
      </c>
      <c r="E1304">
        <v>144</v>
      </c>
      <c r="F1304">
        <v>48</v>
      </c>
      <c r="G1304">
        <v>2304</v>
      </c>
      <c r="H1304" s="4">
        <v>768</v>
      </c>
      <c r="I1304" s="4">
        <v>1536</v>
      </c>
      <c r="J1304" t="s">
        <v>1091</v>
      </c>
      <c r="K1304" t="s">
        <v>33</v>
      </c>
      <c r="L1304" s="4">
        <v>12.55774399806273</v>
      </c>
      <c r="M1304" s="1" t="s">
        <v>38</v>
      </c>
      <c r="N1304" s="11">
        <f t="shared" si="20"/>
        <v>5</v>
      </c>
    </row>
    <row r="1305" spans="1:14" ht="16" x14ac:dyDescent="0.2">
      <c r="A1305" s="3">
        <v>44231.29142297346</v>
      </c>
      <c r="B1305" s="1" t="s">
        <v>1690</v>
      </c>
      <c r="C1305" t="s">
        <v>365</v>
      </c>
      <c r="D1305">
        <v>20</v>
      </c>
      <c r="E1305">
        <v>255</v>
      </c>
      <c r="F1305">
        <v>85</v>
      </c>
      <c r="G1305">
        <v>5100</v>
      </c>
      <c r="H1305" s="4">
        <v>1700</v>
      </c>
      <c r="I1305" s="4">
        <v>3400</v>
      </c>
      <c r="J1305" t="s">
        <v>284</v>
      </c>
      <c r="K1305" t="s">
        <v>58</v>
      </c>
      <c r="L1305" s="4">
        <v>10.570474361325047</v>
      </c>
      <c r="M1305" s="1" t="s">
        <v>34</v>
      </c>
      <c r="N1305" s="11">
        <f t="shared" si="20"/>
        <v>1</v>
      </c>
    </row>
    <row r="1306" spans="1:14" ht="16" x14ac:dyDescent="0.2">
      <c r="A1306" s="3">
        <v>44167.445591019474</v>
      </c>
      <c r="B1306" s="1" t="s">
        <v>1691</v>
      </c>
      <c r="C1306" t="s">
        <v>142</v>
      </c>
      <c r="D1306">
        <v>19</v>
      </c>
      <c r="E1306">
        <v>210</v>
      </c>
      <c r="F1306">
        <v>70</v>
      </c>
      <c r="G1306">
        <v>3990</v>
      </c>
      <c r="H1306" s="4">
        <v>1330</v>
      </c>
      <c r="I1306" s="4">
        <v>2660</v>
      </c>
      <c r="J1306" t="s">
        <v>626</v>
      </c>
      <c r="K1306" t="s">
        <v>58</v>
      </c>
      <c r="L1306" s="4">
        <v>13.259563298324382</v>
      </c>
      <c r="M1306" s="1" t="s">
        <v>38</v>
      </c>
      <c r="N1306" s="11">
        <f t="shared" si="20"/>
        <v>5</v>
      </c>
    </row>
    <row r="1307" spans="1:14" ht="16" x14ac:dyDescent="0.2">
      <c r="A1307" s="3">
        <v>43793.933497191589</v>
      </c>
      <c r="B1307" s="1" t="s">
        <v>1692</v>
      </c>
      <c r="C1307" t="s">
        <v>261</v>
      </c>
      <c r="D1307">
        <v>2</v>
      </c>
      <c r="E1307">
        <v>92</v>
      </c>
      <c r="F1307">
        <v>46</v>
      </c>
      <c r="G1307">
        <v>184</v>
      </c>
      <c r="H1307" s="4">
        <v>92</v>
      </c>
      <c r="I1307" s="4">
        <v>92</v>
      </c>
      <c r="J1307" t="s">
        <v>341</v>
      </c>
      <c r="K1307" t="s">
        <v>64</v>
      </c>
      <c r="L1307" s="4">
        <v>10.816866337473218</v>
      </c>
      <c r="M1307" s="1" t="s">
        <v>38</v>
      </c>
      <c r="N1307" s="11">
        <f t="shared" si="20"/>
        <v>5</v>
      </c>
    </row>
    <row r="1308" spans="1:14" ht="16" x14ac:dyDescent="0.2">
      <c r="A1308" s="3">
        <v>43143.147365942998</v>
      </c>
      <c r="B1308" s="1" t="s">
        <v>1693</v>
      </c>
      <c r="C1308" t="s">
        <v>592</v>
      </c>
      <c r="D1308">
        <v>4</v>
      </c>
      <c r="E1308">
        <v>312</v>
      </c>
      <c r="F1308">
        <v>78</v>
      </c>
      <c r="G1308">
        <v>1248</v>
      </c>
      <c r="H1308" s="4">
        <v>312</v>
      </c>
      <c r="I1308" s="4">
        <v>936</v>
      </c>
      <c r="J1308" t="s">
        <v>183</v>
      </c>
      <c r="K1308" t="s">
        <v>58</v>
      </c>
      <c r="L1308" s="4">
        <v>11.939773463335372</v>
      </c>
      <c r="M1308" s="1" t="s">
        <v>34</v>
      </c>
      <c r="N1308" s="11">
        <f t="shared" si="20"/>
        <v>1</v>
      </c>
    </row>
    <row r="1309" spans="1:14" ht="16" x14ac:dyDescent="0.2">
      <c r="A1309" s="3">
        <v>43737.34941263096</v>
      </c>
      <c r="B1309" s="1" t="s">
        <v>1694</v>
      </c>
      <c r="C1309" t="s">
        <v>779</v>
      </c>
      <c r="D1309">
        <v>11</v>
      </c>
      <c r="E1309">
        <v>120</v>
      </c>
      <c r="F1309">
        <v>30</v>
      </c>
      <c r="G1309">
        <v>1320</v>
      </c>
      <c r="H1309" s="4">
        <v>330</v>
      </c>
      <c r="I1309" s="4">
        <v>990</v>
      </c>
      <c r="J1309" t="s">
        <v>94</v>
      </c>
      <c r="K1309" t="s">
        <v>49</v>
      </c>
      <c r="L1309" s="4">
        <v>9.8238489437106278</v>
      </c>
      <c r="M1309" s="1" t="s">
        <v>38</v>
      </c>
      <c r="N1309" s="11">
        <f t="shared" si="20"/>
        <v>5</v>
      </c>
    </row>
    <row r="1310" spans="1:14" ht="16" x14ac:dyDescent="0.2">
      <c r="A1310" s="3">
        <v>43727.373310873882</v>
      </c>
      <c r="B1310" s="1" t="s">
        <v>1695</v>
      </c>
      <c r="C1310" t="s">
        <v>299</v>
      </c>
      <c r="D1310">
        <v>12</v>
      </c>
      <c r="E1310">
        <v>225</v>
      </c>
      <c r="F1310">
        <v>75</v>
      </c>
      <c r="G1310">
        <v>2700</v>
      </c>
      <c r="H1310" s="4">
        <v>900</v>
      </c>
      <c r="I1310" s="4">
        <v>1800</v>
      </c>
      <c r="J1310" t="s">
        <v>923</v>
      </c>
      <c r="K1310" t="s">
        <v>42</v>
      </c>
      <c r="L1310" s="4">
        <v>12.502346728827876</v>
      </c>
      <c r="M1310" s="1" t="s">
        <v>34</v>
      </c>
      <c r="N1310" s="11">
        <f t="shared" si="20"/>
        <v>1</v>
      </c>
    </row>
    <row r="1311" spans="1:14" ht="16" x14ac:dyDescent="0.2">
      <c r="A1311" s="3">
        <v>44024.859186529007</v>
      </c>
      <c r="B1311" s="1" t="s">
        <v>1536</v>
      </c>
      <c r="C1311" t="s">
        <v>40</v>
      </c>
      <c r="D1311">
        <v>11</v>
      </c>
      <c r="E1311">
        <v>46</v>
      </c>
      <c r="F1311">
        <v>23</v>
      </c>
      <c r="G1311">
        <v>506</v>
      </c>
      <c r="H1311" s="4">
        <v>253</v>
      </c>
      <c r="I1311" s="4">
        <v>253</v>
      </c>
      <c r="J1311" t="s">
        <v>408</v>
      </c>
      <c r="K1311" t="s">
        <v>42</v>
      </c>
      <c r="L1311" s="4">
        <v>9.1877733607656964</v>
      </c>
      <c r="M1311" s="1" t="s">
        <v>38</v>
      </c>
      <c r="N1311" s="11">
        <f t="shared" si="20"/>
        <v>5</v>
      </c>
    </row>
    <row r="1312" spans="1:14" ht="16" x14ac:dyDescent="0.2">
      <c r="A1312" s="3">
        <v>44068.983550090772</v>
      </c>
      <c r="B1312" s="1" t="s">
        <v>1696</v>
      </c>
      <c r="C1312" t="s">
        <v>91</v>
      </c>
      <c r="D1312">
        <v>15</v>
      </c>
      <c r="E1312">
        <v>300</v>
      </c>
      <c r="F1312">
        <v>75</v>
      </c>
      <c r="G1312">
        <v>4500</v>
      </c>
      <c r="H1312" s="4">
        <v>1125</v>
      </c>
      <c r="I1312" s="4">
        <v>3375</v>
      </c>
      <c r="J1312" t="s">
        <v>413</v>
      </c>
      <c r="K1312" t="s">
        <v>64</v>
      </c>
      <c r="L1312" s="4">
        <v>12.682358648534777</v>
      </c>
      <c r="M1312" s="1" t="s">
        <v>38</v>
      </c>
      <c r="N1312" s="11">
        <f t="shared" si="20"/>
        <v>5</v>
      </c>
    </row>
    <row r="1313" spans="1:14" ht="16" x14ac:dyDescent="0.2">
      <c r="A1313" s="3">
        <v>44056.674390972032</v>
      </c>
      <c r="B1313" s="1" t="s">
        <v>1697</v>
      </c>
      <c r="C1313" t="s">
        <v>31</v>
      </c>
      <c r="D1313">
        <v>6</v>
      </c>
      <c r="E1313">
        <v>280</v>
      </c>
      <c r="F1313">
        <v>70</v>
      </c>
      <c r="G1313">
        <v>1680</v>
      </c>
      <c r="H1313" s="4">
        <v>420</v>
      </c>
      <c r="I1313" s="4">
        <v>1260</v>
      </c>
      <c r="J1313" t="s">
        <v>277</v>
      </c>
      <c r="K1313" t="s">
        <v>58</v>
      </c>
      <c r="L1313" s="4">
        <v>11.883396013219548</v>
      </c>
      <c r="M1313" s="1" t="s">
        <v>54</v>
      </c>
      <c r="N1313" s="11">
        <f t="shared" si="20"/>
        <v>10</v>
      </c>
    </row>
    <row r="1314" spans="1:14" ht="16" x14ac:dyDescent="0.2">
      <c r="A1314" s="3">
        <v>44052.360057682308</v>
      </c>
      <c r="B1314" s="1" t="s">
        <v>1698</v>
      </c>
      <c r="C1314" t="s">
        <v>130</v>
      </c>
      <c r="D1314">
        <v>5</v>
      </c>
      <c r="E1314">
        <v>144</v>
      </c>
      <c r="F1314">
        <v>48</v>
      </c>
      <c r="G1314">
        <v>720</v>
      </c>
      <c r="H1314" s="4">
        <v>240</v>
      </c>
      <c r="I1314" s="4">
        <v>480</v>
      </c>
      <c r="J1314" t="s">
        <v>158</v>
      </c>
      <c r="K1314" t="s">
        <v>58</v>
      </c>
      <c r="L1314" s="4">
        <v>11.841063669683448</v>
      </c>
      <c r="M1314" s="1" t="s">
        <v>54</v>
      </c>
      <c r="N1314" s="11">
        <f t="shared" si="20"/>
        <v>10</v>
      </c>
    </row>
    <row r="1315" spans="1:14" ht="16" x14ac:dyDescent="0.2">
      <c r="A1315" s="3">
        <v>44145.250249577148</v>
      </c>
      <c r="B1315" s="1" t="s">
        <v>1699</v>
      </c>
      <c r="C1315" t="s">
        <v>78</v>
      </c>
      <c r="D1315">
        <v>14</v>
      </c>
      <c r="E1315">
        <v>94</v>
      </c>
      <c r="F1315">
        <v>47</v>
      </c>
      <c r="G1315">
        <v>1316</v>
      </c>
      <c r="H1315" s="4">
        <v>658</v>
      </c>
      <c r="I1315" s="4">
        <v>658</v>
      </c>
      <c r="J1315" t="s">
        <v>76</v>
      </c>
      <c r="K1315" t="s">
        <v>58</v>
      </c>
      <c r="L1315" s="4">
        <v>9.8384363471888783</v>
      </c>
      <c r="M1315" s="1" t="s">
        <v>54</v>
      </c>
      <c r="N1315" s="11">
        <f t="shared" si="20"/>
        <v>10</v>
      </c>
    </row>
    <row r="1316" spans="1:14" ht="16" x14ac:dyDescent="0.2">
      <c r="A1316" s="3">
        <v>44442.064359762095</v>
      </c>
      <c r="B1316" s="1" t="s">
        <v>1700</v>
      </c>
      <c r="C1316" t="s">
        <v>133</v>
      </c>
      <c r="D1316">
        <v>5</v>
      </c>
      <c r="E1316">
        <v>189</v>
      </c>
      <c r="F1316">
        <v>63</v>
      </c>
      <c r="G1316">
        <v>945</v>
      </c>
      <c r="H1316" s="4">
        <v>315</v>
      </c>
      <c r="I1316" s="4">
        <v>630</v>
      </c>
      <c r="J1316" t="s">
        <v>940</v>
      </c>
      <c r="K1316" t="s">
        <v>86</v>
      </c>
      <c r="L1316" s="4">
        <v>9.2053706474810433</v>
      </c>
      <c r="M1316" s="1" t="s">
        <v>38</v>
      </c>
      <c r="N1316" s="11">
        <f t="shared" si="20"/>
        <v>5</v>
      </c>
    </row>
    <row r="1317" spans="1:14" ht="16" x14ac:dyDescent="0.2">
      <c r="A1317" s="3">
        <v>43161.087198722511</v>
      </c>
      <c r="B1317" s="1" t="s">
        <v>1701</v>
      </c>
      <c r="C1317" t="s">
        <v>317</v>
      </c>
      <c r="D1317">
        <v>6</v>
      </c>
      <c r="E1317">
        <v>352</v>
      </c>
      <c r="F1317">
        <v>88</v>
      </c>
      <c r="G1317">
        <v>2112</v>
      </c>
      <c r="H1317" s="4">
        <v>528</v>
      </c>
      <c r="I1317" s="4">
        <v>1584</v>
      </c>
      <c r="J1317" t="s">
        <v>1702</v>
      </c>
      <c r="K1317" t="s">
        <v>42</v>
      </c>
      <c r="L1317" s="4">
        <v>11.375127981841125</v>
      </c>
      <c r="M1317" s="1" t="s">
        <v>54</v>
      </c>
      <c r="N1317" s="11">
        <f t="shared" si="20"/>
        <v>10</v>
      </c>
    </row>
    <row r="1318" spans="1:14" ht="16" x14ac:dyDescent="0.2">
      <c r="A1318" s="3">
        <v>43808.478173230666</v>
      </c>
      <c r="B1318" s="1" t="s">
        <v>1703</v>
      </c>
      <c r="C1318" t="s">
        <v>283</v>
      </c>
      <c r="D1318">
        <v>14</v>
      </c>
      <c r="E1318">
        <v>144</v>
      </c>
      <c r="F1318">
        <v>36</v>
      </c>
      <c r="G1318">
        <v>2016</v>
      </c>
      <c r="H1318" s="4">
        <v>504</v>
      </c>
      <c r="I1318" s="4">
        <v>1512</v>
      </c>
      <c r="J1318" t="s">
        <v>933</v>
      </c>
      <c r="K1318" t="s">
        <v>58</v>
      </c>
      <c r="L1318" s="4">
        <v>11.130819205617987</v>
      </c>
      <c r="M1318" s="1" t="s">
        <v>38</v>
      </c>
      <c r="N1318" s="11">
        <f t="shared" si="20"/>
        <v>5</v>
      </c>
    </row>
    <row r="1319" spans="1:14" ht="16" x14ac:dyDescent="0.2">
      <c r="A1319" s="3">
        <v>44762.961061146852</v>
      </c>
      <c r="B1319" s="1" t="s">
        <v>1704</v>
      </c>
      <c r="C1319" t="s">
        <v>286</v>
      </c>
      <c r="D1319">
        <v>20</v>
      </c>
      <c r="E1319">
        <v>34</v>
      </c>
      <c r="F1319">
        <v>17</v>
      </c>
      <c r="G1319">
        <v>680</v>
      </c>
      <c r="H1319" s="4">
        <v>340</v>
      </c>
      <c r="I1319" s="4">
        <v>340</v>
      </c>
      <c r="J1319" t="s">
        <v>720</v>
      </c>
      <c r="K1319" t="s">
        <v>53</v>
      </c>
      <c r="L1319" s="4">
        <v>13.106678263594747</v>
      </c>
      <c r="M1319" s="1" t="s">
        <v>38</v>
      </c>
      <c r="N1319" s="11">
        <f t="shared" si="20"/>
        <v>5</v>
      </c>
    </row>
    <row r="1320" spans="1:14" ht="16" x14ac:dyDescent="0.2">
      <c r="A1320" s="3">
        <v>42476.479231331155</v>
      </c>
      <c r="B1320" s="1" t="s">
        <v>1705</v>
      </c>
      <c r="C1320" t="s">
        <v>425</v>
      </c>
      <c r="D1320">
        <v>10</v>
      </c>
      <c r="E1320">
        <v>352</v>
      </c>
      <c r="F1320">
        <v>88</v>
      </c>
      <c r="G1320">
        <v>3520</v>
      </c>
      <c r="H1320" s="4">
        <v>880</v>
      </c>
      <c r="I1320" s="4">
        <v>2640</v>
      </c>
      <c r="J1320" t="s">
        <v>123</v>
      </c>
      <c r="K1320" t="s">
        <v>53</v>
      </c>
      <c r="L1320" s="4">
        <v>10.42743035829395</v>
      </c>
      <c r="M1320" s="1" t="s">
        <v>34</v>
      </c>
      <c r="N1320" s="11">
        <f t="shared" si="20"/>
        <v>1</v>
      </c>
    </row>
    <row r="1321" spans="1:14" ht="16" x14ac:dyDescent="0.2">
      <c r="A1321" s="3">
        <v>43745.477915663178</v>
      </c>
      <c r="B1321" s="1" t="s">
        <v>1706</v>
      </c>
      <c r="C1321" t="s">
        <v>266</v>
      </c>
      <c r="D1321">
        <v>13</v>
      </c>
      <c r="E1321">
        <v>50</v>
      </c>
      <c r="F1321">
        <v>25</v>
      </c>
      <c r="G1321">
        <v>650</v>
      </c>
      <c r="H1321" s="4">
        <v>325</v>
      </c>
      <c r="I1321" s="4">
        <v>325</v>
      </c>
      <c r="J1321" t="s">
        <v>181</v>
      </c>
      <c r="K1321" t="s">
        <v>53</v>
      </c>
      <c r="L1321" s="4">
        <v>11.727497850343074</v>
      </c>
      <c r="M1321" s="1" t="s">
        <v>34</v>
      </c>
      <c r="N1321" s="11">
        <f t="shared" si="20"/>
        <v>1</v>
      </c>
    </row>
    <row r="1322" spans="1:14" ht="16" x14ac:dyDescent="0.2">
      <c r="A1322" s="3">
        <v>44344.028858335994</v>
      </c>
      <c r="B1322" s="1" t="s">
        <v>1707</v>
      </c>
      <c r="C1322" t="s">
        <v>386</v>
      </c>
      <c r="D1322">
        <v>15</v>
      </c>
      <c r="E1322">
        <v>110</v>
      </c>
      <c r="F1322">
        <v>55</v>
      </c>
      <c r="G1322">
        <v>1650</v>
      </c>
      <c r="H1322" s="4">
        <v>825</v>
      </c>
      <c r="I1322" s="4">
        <v>825</v>
      </c>
      <c r="J1322" t="s">
        <v>194</v>
      </c>
      <c r="K1322" t="s">
        <v>42</v>
      </c>
      <c r="L1322" s="4">
        <v>14.573178107544177</v>
      </c>
      <c r="M1322" s="1" t="s">
        <v>38</v>
      </c>
      <c r="N1322" s="11">
        <f t="shared" si="20"/>
        <v>5</v>
      </c>
    </row>
    <row r="1323" spans="1:14" ht="16" x14ac:dyDescent="0.2">
      <c r="A1323" s="3">
        <v>45060.000913009164</v>
      </c>
      <c r="B1323" s="1" t="s">
        <v>1708</v>
      </c>
      <c r="C1323" t="s">
        <v>337</v>
      </c>
      <c r="D1323">
        <v>15</v>
      </c>
      <c r="E1323">
        <v>135</v>
      </c>
      <c r="F1323">
        <v>45</v>
      </c>
      <c r="G1323">
        <v>2025</v>
      </c>
      <c r="H1323" s="4">
        <v>675</v>
      </c>
      <c r="I1323" s="4">
        <v>1350</v>
      </c>
      <c r="J1323" t="s">
        <v>172</v>
      </c>
      <c r="K1323" t="s">
        <v>33</v>
      </c>
      <c r="L1323" s="4">
        <v>9.9311000381363836</v>
      </c>
      <c r="M1323" s="1" t="s">
        <v>54</v>
      </c>
      <c r="N1323" s="11">
        <f t="shared" si="20"/>
        <v>10</v>
      </c>
    </row>
    <row r="1324" spans="1:14" ht="16" x14ac:dyDescent="0.2">
      <c r="A1324" s="3">
        <v>43169.364658320337</v>
      </c>
      <c r="B1324" s="1" t="s">
        <v>1709</v>
      </c>
      <c r="C1324" t="s">
        <v>473</v>
      </c>
      <c r="D1324">
        <v>19</v>
      </c>
      <c r="E1324">
        <v>72</v>
      </c>
      <c r="F1324">
        <v>36</v>
      </c>
      <c r="G1324">
        <v>1368</v>
      </c>
      <c r="H1324" s="4">
        <v>684</v>
      </c>
      <c r="I1324" s="4">
        <v>684</v>
      </c>
      <c r="J1324" t="s">
        <v>401</v>
      </c>
      <c r="K1324" t="s">
        <v>58</v>
      </c>
      <c r="L1324" s="4">
        <v>11.394777319422785</v>
      </c>
      <c r="M1324" s="1" t="s">
        <v>38</v>
      </c>
      <c r="N1324" s="11">
        <f t="shared" si="20"/>
        <v>5</v>
      </c>
    </row>
    <row r="1325" spans="1:14" ht="16" x14ac:dyDescent="0.2">
      <c r="A1325" s="3">
        <v>45011.031662525398</v>
      </c>
      <c r="B1325" s="1" t="s">
        <v>1710</v>
      </c>
      <c r="C1325" t="s">
        <v>51</v>
      </c>
      <c r="D1325">
        <v>14</v>
      </c>
      <c r="E1325">
        <v>160</v>
      </c>
      <c r="F1325">
        <v>80</v>
      </c>
      <c r="G1325">
        <v>2240</v>
      </c>
      <c r="H1325" s="4">
        <v>1120</v>
      </c>
      <c r="I1325" s="4">
        <v>1120</v>
      </c>
      <c r="J1325" t="s">
        <v>357</v>
      </c>
      <c r="K1325" t="s">
        <v>86</v>
      </c>
      <c r="L1325" s="4">
        <v>11.986565560885863</v>
      </c>
      <c r="M1325" s="1" t="s">
        <v>38</v>
      </c>
      <c r="N1325" s="11">
        <f t="shared" si="20"/>
        <v>5</v>
      </c>
    </row>
    <row r="1326" spans="1:14" ht="16" x14ac:dyDescent="0.2">
      <c r="A1326" s="3">
        <v>43736.740717539928</v>
      </c>
      <c r="B1326" s="1" t="s">
        <v>1711</v>
      </c>
      <c r="C1326" t="s">
        <v>115</v>
      </c>
      <c r="D1326">
        <v>11</v>
      </c>
      <c r="E1326">
        <v>81</v>
      </c>
      <c r="F1326">
        <v>27</v>
      </c>
      <c r="G1326">
        <v>891</v>
      </c>
      <c r="H1326" s="4">
        <v>297</v>
      </c>
      <c r="I1326" s="4">
        <v>594</v>
      </c>
      <c r="J1326" t="s">
        <v>416</v>
      </c>
      <c r="K1326" t="s">
        <v>58</v>
      </c>
      <c r="L1326" s="4">
        <v>12.399050786131125</v>
      </c>
      <c r="M1326" s="1" t="s">
        <v>38</v>
      </c>
      <c r="N1326" s="11">
        <f t="shared" si="20"/>
        <v>5</v>
      </c>
    </row>
    <row r="1327" spans="1:14" ht="16" x14ac:dyDescent="0.2">
      <c r="A1327" s="3">
        <v>44440.467438610838</v>
      </c>
      <c r="B1327" s="1" t="s">
        <v>1712</v>
      </c>
      <c r="C1327" t="s">
        <v>410</v>
      </c>
      <c r="D1327">
        <v>6</v>
      </c>
      <c r="E1327">
        <v>84</v>
      </c>
      <c r="F1327">
        <v>21</v>
      </c>
      <c r="G1327">
        <v>504</v>
      </c>
      <c r="H1327" s="4">
        <v>126</v>
      </c>
      <c r="I1327" s="4">
        <v>378</v>
      </c>
      <c r="J1327" t="s">
        <v>477</v>
      </c>
      <c r="K1327" t="s">
        <v>53</v>
      </c>
      <c r="L1327" s="4">
        <v>14.845213075061906</v>
      </c>
      <c r="M1327" s="1" t="s">
        <v>34</v>
      </c>
      <c r="N1327" s="11">
        <f t="shared" si="20"/>
        <v>1</v>
      </c>
    </row>
    <row r="1328" spans="1:14" ht="16" x14ac:dyDescent="0.2">
      <c r="A1328" s="3">
        <v>43847.509020729827</v>
      </c>
      <c r="B1328" s="1" t="s">
        <v>1713</v>
      </c>
      <c r="C1328" t="s">
        <v>133</v>
      </c>
      <c r="D1328">
        <v>8</v>
      </c>
      <c r="E1328">
        <v>189</v>
      </c>
      <c r="F1328">
        <v>63</v>
      </c>
      <c r="G1328">
        <v>1512</v>
      </c>
      <c r="H1328" s="4">
        <v>504</v>
      </c>
      <c r="I1328" s="4">
        <v>1008</v>
      </c>
      <c r="J1328" t="s">
        <v>806</v>
      </c>
      <c r="K1328" t="s">
        <v>86</v>
      </c>
      <c r="L1328" s="4">
        <v>11.927799225928501</v>
      </c>
      <c r="M1328" s="1" t="s">
        <v>38</v>
      </c>
      <c r="N1328" s="11">
        <f t="shared" si="20"/>
        <v>5</v>
      </c>
    </row>
    <row r="1329" spans="1:14" ht="16" x14ac:dyDescent="0.2">
      <c r="A1329" s="3">
        <v>44014.668242889609</v>
      </c>
      <c r="B1329" s="1" t="s">
        <v>676</v>
      </c>
      <c r="C1329" t="s">
        <v>51</v>
      </c>
      <c r="D1329">
        <v>18</v>
      </c>
      <c r="E1329">
        <v>160</v>
      </c>
      <c r="F1329">
        <v>80</v>
      </c>
      <c r="G1329">
        <v>2880</v>
      </c>
      <c r="H1329" s="4">
        <v>1440</v>
      </c>
      <c r="I1329" s="4">
        <v>1440</v>
      </c>
      <c r="J1329" t="s">
        <v>249</v>
      </c>
      <c r="K1329" t="s">
        <v>49</v>
      </c>
      <c r="L1329" s="4">
        <v>12.699346182652626</v>
      </c>
      <c r="M1329" s="1" t="s">
        <v>38</v>
      </c>
      <c r="N1329" s="11">
        <f t="shared" si="20"/>
        <v>5</v>
      </c>
    </row>
    <row r="1330" spans="1:14" ht="16" x14ac:dyDescent="0.2">
      <c r="A1330" s="3">
        <v>42216.890819636239</v>
      </c>
      <c r="B1330" s="1" t="s">
        <v>1714</v>
      </c>
      <c r="C1330" t="s">
        <v>399</v>
      </c>
      <c r="D1330">
        <v>19</v>
      </c>
      <c r="E1330">
        <v>160</v>
      </c>
      <c r="F1330">
        <v>80</v>
      </c>
      <c r="G1330">
        <v>3040</v>
      </c>
      <c r="H1330" s="4">
        <v>1520</v>
      </c>
      <c r="I1330" s="4">
        <v>1520</v>
      </c>
      <c r="J1330" t="s">
        <v>268</v>
      </c>
      <c r="K1330" t="s">
        <v>49</v>
      </c>
      <c r="L1330" s="4">
        <v>11.756374828790458</v>
      </c>
      <c r="M1330" s="1" t="s">
        <v>38</v>
      </c>
      <c r="N1330" s="11">
        <f t="shared" si="20"/>
        <v>5</v>
      </c>
    </row>
    <row r="1331" spans="1:14" ht="16" x14ac:dyDescent="0.2">
      <c r="A1331" s="3">
        <v>44372.977017253426</v>
      </c>
      <c r="B1331" s="1" t="s">
        <v>1715</v>
      </c>
      <c r="C1331" t="s">
        <v>365</v>
      </c>
      <c r="D1331">
        <v>6</v>
      </c>
      <c r="E1331">
        <v>255</v>
      </c>
      <c r="F1331">
        <v>85</v>
      </c>
      <c r="G1331">
        <v>1530</v>
      </c>
      <c r="H1331" s="4">
        <v>510</v>
      </c>
      <c r="I1331" s="4">
        <v>1020</v>
      </c>
      <c r="J1331" t="s">
        <v>795</v>
      </c>
      <c r="K1331" t="s">
        <v>49</v>
      </c>
      <c r="L1331" s="4">
        <v>11.661237375491201</v>
      </c>
      <c r="M1331" s="1" t="s">
        <v>38</v>
      </c>
      <c r="N1331" s="11">
        <f t="shared" si="20"/>
        <v>5</v>
      </c>
    </row>
    <row r="1332" spans="1:14" ht="16" x14ac:dyDescent="0.2">
      <c r="A1332" s="3">
        <v>44154.949758242496</v>
      </c>
      <c r="B1332" s="1" t="s">
        <v>1716</v>
      </c>
      <c r="C1332" t="s">
        <v>204</v>
      </c>
      <c r="D1332">
        <v>5</v>
      </c>
      <c r="E1332">
        <v>57</v>
      </c>
      <c r="F1332">
        <v>19</v>
      </c>
      <c r="G1332">
        <v>285</v>
      </c>
      <c r="H1332" s="4">
        <v>95</v>
      </c>
      <c r="I1332" s="4">
        <v>190</v>
      </c>
      <c r="J1332" t="s">
        <v>172</v>
      </c>
      <c r="K1332" t="s">
        <v>33</v>
      </c>
      <c r="L1332" s="4">
        <v>9.9311000381363836</v>
      </c>
      <c r="M1332" s="1" t="s">
        <v>34</v>
      </c>
      <c r="N1332" s="11">
        <f t="shared" si="20"/>
        <v>1</v>
      </c>
    </row>
    <row r="1333" spans="1:14" ht="16" x14ac:dyDescent="0.2">
      <c r="A1333" s="3">
        <v>43319.896517499583</v>
      </c>
      <c r="B1333" s="1" t="s">
        <v>1717</v>
      </c>
      <c r="C1333" t="s">
        <v>370</v>
      </c>
      <c r="D1333">
        <v>20</v>
      </c>
      <c r="E1333">
        <v>144</v>
      </c>
      <c r="F1333">
        <v>36</v>
      </c>
      <c r="G1333">
        <v>2880</v>
      </c>
      <c r="H1333" s="4">
        <v>720</v>
      </c>
      <c r="I1333" s="4">
        <v>2160</v>
      </c>
      <c r="J1333" t="s">
        <v>1126</v>
      </c>
      <c r="K1333" t="s">
        <v>64</v>
      </c>
      <c r="L1333" s="4">
        <v>11.593991859287692</v>
      </c>
      <c r="M1333" s="1" t="s">
        <v>38</v>
      </c>
      <c r="N1333" s="11">
        <f t="shared" si="20"/>
        <v>5</v>
      </c>
    </row>
    <row r="1334" spans="1:14" ht="16" x14ac:dyDescent="0.2">
      <c r="A1334" s="3">
        <v>43583.456830945455</v>
      </c>
      <c r="B1334" s="1" t="s">
        <v>1718</v>
      </c>
      <c r="C1334" t="s">
        <v>185</v>
      </c>
      <c r="D1334">
        <v>5</v>
      </c>
      <c r="E1334">
        <v>146</v>
      </c>
      <c r="F1334">
        <v>73</v>
      </c>
      <c r="G1334">
        <v>730</v>
      </c>
      <c r="H1334" s="4">
        <v>365</v>
      </c>
      <c r="I1334" s="4">
        <v>365</v>
      </c>
      <c r="J1334" t="s">
        <v>111</v>
      </c>
      <c r="K1334" t="s">
        <v>53</v>
      </c>
      <c r="L1334" s="4">
        <v>13.407340878370247</v>
      </c>
      <c r="M1334" s="1" t="s">
        <v>38</v>
      </c>
      <c r="N1334" s="11">
        <f t="shared" si="20"/>
        <v>5</v>
      </c>
    </row>
    <row r="1335" spans="1:14" ht="16" x14ac:dyDescent="0.2">
      <c r="A1335" s="3">
        <v>44499.319602014788</v>
      </c>
      <c r="B1335" s="1" t="s">
        <v>1719</v>
      </c>
      <c r="C1335" t="s">
        <v>139</v>
      </c>
      <c r="D1335">
        <v>4</v>
      </c>
      <c r="E1335">
        <v>320</v>
      </c>
      <c r="F1335">
        <v>80</v>
      </c>
      <c r="G1335">
        <v>1280</v>
      </c>
      <c r="H1335" s="4">
        <v>320</v>
      </c>
      <c r="I1335" s="4">
        <v>960</v>
      </c>
      <c r="J1335" t="s">
        <v>244</v>
      </c>
      <c r="K1335" t="s">
        <v>86</v>
      </c>
      <c r="L1335" s="4">
        <v>15.458859683514467</v>
      </c>
      <c r="M1335" s="1" t="s">
        <v>38</v>
      </c>
      <c r="N1335" s="11">
        <f t="shared" si="20"/>
        <v>5</v>
      </c>
    </row>
    <row r="1336" spans="1:14" ht="16" x14ac:dyDescent="0.2">
      <c r="A1336" s="3">
        <v>43419.019492053339</v>
      </c>
      <c r="B1336" s="1" t="s">
        <v>663</v>
      </c>
      <c r="C1336" t="s">
        <v>145</v>
      </c>
      <c r="D1336">
        <v>4</v>
      </c>
      <c r="E1336">
        <v>207</v>
      </c>
      <c r="F1336">
        <v>69</v>
      </c>
      <c r="G1336">
        <v>828</v>
      </c>
      <c r="H1336" s="4">
        <v>276</v>
      </c>
      <c r="I1336" s="4">
        <v>552</v>
      </c>
      <c r="J1336" t="s">
        <v>804</v>
      </c>
      <c r="K1336" t="s">
        <v>53</v>
      </c>
      <c r="L1336" s="4">
        <v>9.4608554813364627</v>
      </c>
      <c r="M1336" s="1" t="s">
        <v>54</v>
      </c>
      <c r="N1336" s="11">
        <f t="shared" si="20"/>
        <v>10</v>
      </c>
    </row>
    <row r="1337" spans="1:14" ht="16" x14ac:dyDescent="0.2">
      <c r="A1337" s="3">
        <v>43921.156143344575</v>
      </c>
      <c r="B1337" s="1" t="s">
        <v>1720</v>
      </c>
      <c r="C1337" t="s">
        <v>69</v>
      </c>
      <c r="D1337">
        <v>4</v>
      </c>
      <c r="E1337">
        <v>184</v>
      </c>
      <c r="F1337">
        <v>92</v>
      </c>
      <c r="G1337">
        <v>736</v>
      </c>
      <c r="H1337" s="4">
        <v>368</v>
      </c>
      <c r="I1337" s="4">
        <v>368</v>
      </c>
      <c r="J1337" t="s">
        <v>1721</v>
      </c>
      <c r="K1337" t="s">
        <v>58</v>
      </c>
      <c r="L1337" s="4">
        <v>13.537350739681813</v>
      </c>
      <c r="M1337" s="1" t="s">
        <v>54</v>
      </c>
      <c r="N1337" s="11">
        <f t="shared" si="20"/>
        <v>10</v>
      </c>
    </row>
    <row r="1338" spans="1:14" ht="16" x14ac:dyDescent="0.2">
      <c r="A1338" s="3">
        <v>44417.172510546603</v>
      </c>
      <c r="B1338" s="1" t="s">
        <v>1722</v>
      </c>
      <c r="C1338" t="s">
        <v>91</v>
      </c>
      <c r="D1338">
        <v>19</v>
      </c>
      <c r="E1338">
        <v>300</v>
      </c>
      <c r="F1338">
        <v>75</v>
      </c>
      <c r="G1338">
        <v>5700</v>
      </c>
      <c r="H1338" s="4">
        <v>1425</v>
      </c>
      <c r="I1338" s="4">
        <v>4275</v>
      </c>
      <c r="J1338" t="s">
        <v>513</v>
      </c>
      <c r="K1338" t="s">
        <v>58</v>
      </c>
      <c r="L1338" s="4">
        <v>15.207985888346794</v>
      </c>
      <c r="M1338" s="1" t="s">
        <v>38</v>
      </c>
      <c r="N1338" s="11">
        <f t="shared" si="20"/>
        <v>5</v>
      </c>
    </row>
    <row r="1339" spans="1:14" ht="16" x14ac:dyDescent="0.2">
      <c r="A1339" s="3">
        <v>44340.845524167307</v>
      </c>
      <c r="B1339" s="1" t="s">
        <v>1723</v>
      </c>
      <c r="C1339" t="s">
        <v>148</v>
      </c>
      <c r="D1339">
        <v>3</v>
      </c>
      <c r="E1339">
        <v>144</v>
      </c>
      <c r="F1339">
        <v>36</v>
      </c>
      <c r="G1339">
        <v>432</v>
      </c>
      <c r="H1339" s="4">
        <v>108</v>
      </c>
      <c r="I1339" s="4">
        <v>324</v>
      </c>
      <c r="J1339" t="s">
        <v>587</v>
      </c>
      <c r="K1339" t="s">
        <v>49</v>
      </c>
      <c r="L1339" s="4">
        <v>14.760829371220243</v>
      </c>
      <c r="M1339" s="1" t="s">
        <v>38</v>
      </c>
      <c r="N1339" s="11">
        <f t="shared" si="20"/>
        <v>5</v>
      </c>
    </row>
    <row r="1340" spans="1:14" ht="16" x14ac:dyDescent="0.2">
      <c r="A1340" s="3">
        <v>43275.931167209143</v>
      </c>
      <c r="B1340" s="1" t="s">
        <v>1724</v>
      </c>
      <c r="C1340" t="s">
        <v>209</v>
      </c>
      <c r="D1340">
        <v>7</v>
      </c>
      <c r="E1340">
        <v>150</v>
      </c>
      <c r="F1340">
        <v>75</v>
      </c>
      <c r="G1340">
        <v>1050</v>
      </c>
      <c r="H1340" s="4">
        <v>525</v>
      </c>
      <c r="I1340" s="4">
        <v>525</v>
      </c>
      <c r="J1340" t="s">
        <v>307</v>
      </c>
      <c r="K1340" t="s">
        <v>53</v>
      </c>
      <c r="L1340" s="4">
        <v>7.0114620475168028</v>
      </c>
      <c r="M1340" s="1" t="s">
        <v>38</v>
      </c>
      <c r="N1340" s="11">
        <f t="shared" si="20"/>
        <v>5</v>
      </c>
    </row>
    <row r="1341" spans="1:14" ht="16" x14ac:dyDescent="0.2">
      <c r="A1341" s="3">
        <v>44020.991581303802</v>
      </c>
      <c r="B1341" s="1" t="s">
        <v>1725</v>
      </c>
      <c r="C1341" t="s">
        <v>148</v>
      </c>
      <c r="D1341">
        <v>6</v>
      </c>
      <c r="E1341">
        <v>144</v>
      </c>
      <c r="F1341">
        <v>36</v>
      </c>
      <c r="G1341">
        <v>864</v>
      </c>
      <c r="H1341" s="4">
        <v>216</v>
      </c>
      <c r="I1341" s="4">
        <v>648</v>
      </c>
      <c r="J1341" t="s">
        <v>707</v>
      </c>
      <c r="K1341" t="s">
        <v>49</v>
      </c>
      <c r="L1341" s="4">
        <v>11.779256317174871</v>
      </c>
      <c r="M1341" s="1" t="s">
        <v>38</v>
      </c>
      <c r="N1341" s="11">
        <f t="shared" si="20"/>
        <v>5</v>
      </c>
    </row>
    <row r="1342" spans="1:14" ht="16" x14ac:dyDescent="0.2">
      <c r="A1342" s="3">
        <v>43624.343012636942</v>
      </c>
      <c r="B1342" s="1" t="s">
        <v>1726</v>
      </c>
      <c r="C1342" t="s">
        <v>178</v>
      </c>
      <c r="D1342">
        <v>15</v>
      </c>
      <c r="E1342">
        <v>189</v>
      </c>
      <c r="F1342">
        <v>63</v>
      </c>
      <c r="G1342">
        <v>2835</v>
      </c>
      <c r="H1342" s="4">
        <v>945</v>
      </c>
      <c r="I1342" s="4">
        <v>1890</v>
      </c>
      <c r="J1342" t="s">
        <v>146</v>
      </c>
      <c r="K1342" t="s">
        <v>64</v>
      </c>
      <c r="L1342" s="4">
        <v>12.487915239531313</v>
      </c>
      <c r="M1342" s="1" t="s">
        <v>38</v>
      </c>
      <c r="N1342" s="11">
        <f t="shared" si="20"/>
        <v>5</v>
      </c>
    </row>
    <row r="1343" spans="1:14" ht="16" x14ac:dyDescent="0.2">
      <c r="A1343" s="3">
        <v>43947.541032324494</v>
      </c>
      <c r="B1343" s="1" t="s">
        <v>1727</v>
      </c>
      <c r="C1343" t="s">
        <v>370</v>
      </c>
      <c r="D1343">
        <v>13</v>
      </c>
      <c r="E1343">
        <v>144</v>
      </c>
      <c r="F1343">
        <v>36</v>
      </c>
      <c r="G1343">
        <v>1872</v>
      </c>
      <c r="H1343" s="4">
        <v>468</v>
      </c>
      <c r="I1343" s="4">
        <v>1404</v>
      </c>
      <c r="J1343" t="s">
        <v>169</v>
      </c>
      <c r="K1343" t="s">
        <v>33</v>
      </c>
      <c r="L1343" s="4">
        <v>15.121383064708469</v>
      </c>
      <c r="M1343" s="1" t="s">
        <v>54</v>
      </c>
      <c r="N1343" s="11">
        <f t="shared" si="20"/>
        <v>10</v>
      </c>
    </row>
    <row r="1344" spans="1:14" ht="16" x14ac:dyDescent="0.2">
      <c r="A1344" s="3">
        <v>44172.509246507165</v>
      </c>
      <c r="B1344" s="1" t="s">
        <v>1728</v>
      </c>
      <c r="C1344" t="s">
        <v>248</v>
      </c>
      <c r="D1344">
        <v>19</v>
      </c>
      <c r="E1344">
        <v>132</v>
      </c>
      <c r="F1344">
        <v>44</v>
      </c>
      <c r="G1344">
        <v>2508</v>
      </c>
      <c r="H1344" s="4">
        <v>836</v>
      </c>
      <c r="I1344" s="4">
        <v>1672</v>
      </c>
      <c r="J1344" t="s">
        <v>438</v>
      </c>
      <c r="K1344" t="s">
        <v>64</v>
      </c>
      <c r="L1344" s="4">
        <v>12.532428411174646</v>
      </c>
      <c r="M1344" s="1" t="s">
        <v>38</v>
      </c>
      <c r="N1344" s="11">
        <f t="shared" si="20"/>
        <v>5</v>
      </c>
    </row>
    <row r="1345" spans="1:14" ht="16" x14ac:dyDescent="0.2">
      <c r="A1345" s="3">
        <v>43462.299879305639</v>
      </c>
      <c r="B1345" s="1" t="s">
        <v>1729</v>
      </c>
      <c r="C1345" t="s">
        <v>538</v>
      </c>
      <c r="D1345">
        <v>5</v>
      </c>
      <c r="E1345">
        <v>261</v>
      </c>
      <c r="F1345">
        <v>87</v>
      </c>
      <c r="G1345">
        <v>1305</v>
      </c>
      <c r="H1345" s="4">
        <v>435</v>
      </c>
      <c r="I1345" s="4">
        <v>870</v>
      </c>
      <c r="J1345" t="s">
        <v>161</v>
      </c>
      <c r="K1345" t="s">
        <v>33</v>
      </c>
      <c r="L1345" s="4">
        <v>14.370283356317486</v>
      </c>
      <c r="M1345" s="1" t="s">
        <v>38</v>
      </c>
      <c r="N1345" s="11">
        <f t="shared" si="20"/>
        <v>5</v>
      </c>
    </row>
    <row r="1346" spans="1:14" ht="16" x14ac:dyDescent="0.2">
      <c r="A1346" s="3">
        <v>44600.042872036523</v>
      </c>
      <c r="B1346" s="1" t="s">
        <v>1730</v>
      </c>
      <c r="C1346" t="s">
        <v>175</v>
      </c>
      <c r="D1346">
        <v>19</v>
      </c>
      <c r="E1346">
        <v>38</v>
      </c>
      <c r="F1346">
        <v>19</v>
      </c>
      <c r="G1346">
        <v>722</v>
      </c>
      <c r="H1346" s="4">
        <v>361</v>
      </c>
      <c r="I1346" s="4">
        <v>361</v>
      </c>
      <c r="J1346" t="s">
        <v>825</v>
      </c>
      <c r="K1346" t="s">
        <v>42</v>
      </c>
      <c r="L1346" s="4">
        <v>14.060995290679429</v>
      </c>
      <c r="M1346" s="1" t="s">
        <v>54</v>
      </c>
      <c r="N1346" s="11">
        <f t="shared" si="20"/>
        <v>10</v>
      </c>
    </row>
    <row r="1347" spans="1:14" ht="16" x14ac:dyDescent="0.2">
      <c r="A1347" s="3">
        <v>44252.129269712394</v>
      </c>
      <c r="B1347" s="1" t="s">
        <v>1731</v>
      </c>
      <c r="C1347" t="s">
        <v>154</v>
      </c>
      <c r="D1347">
        <v>18</v>
      </c>
      <c r="E1347">
        <v>308</v>
      </c>
      <c r="F1347">
        <v>77</v>
      </c>
      <c r="G1347">
        <v>5544</v>
      </c>
      <c r="H1347" s="4">
        <v>1386</v>
      </c>
      <c r="I1347" s="4">
        <v>4158</v>
      </c>
      <c r="J1347" t="s">
        <v>1259</v>
      </c>
      <c r="K1347" t="s">
        <v>64</v>
      </c>
      <c r="L1347" s="4">
        <v>10.01033276255276</v>
      </c>
      <c r="M1347" s="1" t="s">
        <v>38</v>
      </c>
      <c r="N1347" s="11">
        <f t="shared" ref="N1347:N1410" si="21">+IF(M1347="Dissatisfied",1,IF(M1347="Satisfied",10,5))</f>
        <v>5</v>
      </c>
    </row>
    <row r="1348" spans="1:14" ht="16" x14ac:dyDescent="0.2">
      <c r="A1348" s="3">
        <v>43123.333966787613</v>
      </c>
      <c r="B1348" s="1" t="s">
        <v>1732</v>
      </c>
      <c r="C1348" t="s">
        <v>240</v>
      </c>
      <c r="D1348">
        <v>3</v>
      </c>
      <c r="E1348">
        <v>108</v>
      </c>
      <c r="F1348">
        <v>54</v>
      </c>
      <c r="G1348">
        <v>324</v>
      </c>
      <c r="H1348" s="4">
        <v>162</v>
      </c>
      <c r="I1348" s="4">
        <v>162</v>
      </c>
      <c r="J1348" t="s">
        <v>574</v>
      </c>
      <c r="K1348" t="s">
        <v>58</v>
      </c>
      <c r="L1348" s="4">
        <v>13.150536103258979</v>
      </c>
      <c r="M1348" s="1" t="s">
        <v>34</v>
      </c>
      <c r="N1348" s="11">
        <f t="shared" si="21"/>
        <v>1</v>
      </c>
    </row>
    <row r="1349" spans="1:14" ht="16" x14ac:dyDescent="0.2">
      <c r="A1349" s="3">
        <v>43785.000642630715</v>
      </c>
      <c r="B1349" s="1" t="s">
        <v>1733</v>
      </c>
      <c r="C1349" t="s">
        <v>163</v>
      </c>
      <c r="D1349">
        <v>4</v>
      </c>
      <c r="E1349">
        <v>108</v>
      </c>
      <c r="F1349">
        <v>36</v>
      </c>
      <c r="G1349">
        <v>432</v>
      </c>
      <c r="H1349" s="4">
        <v>144</v>
      </c>
      <c r="I1349" s="4">
        <v>288</v>
      </c>
      <c r="J1349" t="s">
        <v>1721</v>
      </c>
      <c r="K1349" t="s">
        <v>58</v>
      </c>
      <c r="L1349" s="4">
        <v>13.537350739681813</v>
      </c>
      <c r="M1349" s="1" t="s">
        <v>38</v>
      </c>
      <c r="N1349" s="11">
        <f t="shared" si="21"/>
        <v>5</v>
      </c>
    </row>
    <row r="1350" spans="1:14" ht="16" x14ac:dyDescent="0.2">
      <c r="A1350" s="3">
        <v>43220.145016348535</v>
      </c>
      <c r="B1350" s="1" t="s">
        <v>1734</v>
      </c>
      <c r="C1350" t="s">
        <v>544</v>
      </c>
      <c r="D1350">
        <v>15</v>
      </c>
      <c r="E1350">
        <v>267</v>
      </c>
      <c r="F1350">
        <v>89</v>
      </c>
      <c r="G1350">
        <v>4005</v>
      </c>
      <c r="H1350" s="4">
        <v>1335</v>
      </c>
      <c r="I1350" s="4">
        <v>2670</v>
      </c>
      <c r="J1350" t="s">
        <v>980</v>
      </c>
      <c r="K1350" t="s">
        <v>33</v>
      </c>
      <c r="L1350" s="4">
        <v>8.1743378387804331</v>
      </c>
      <c r="M1350" s="1" t="s">
        <v>54</v>
      </c>
      <c r="N1350" s="11">
        <f t="shared" si="21"/>
        <v>10</v>
      </c>
    </row>
    <row r="1351" spans="1:14" ht="16" x14ac:dyDescent="0.2">
      <c r="A1351" s="3">
        <v>44409.601932157224</v>
      </c>
      <c r="B1351" s="1" t="s">
        <v>1735</v>
      </c>
      <c r="C1351" t="s">
        <v>151</v>
      </c>
      <c r="D1351">
        <v>7</v>
      </c>
      <c r="E1351">
        <v>153</v>
      </c>
      <c r="F1351">
        <v>51</v>
      </c>
      <c r="G1351">
        <v>1071</v>
      </c>
      <c r="H1351" s="4">
        <v>357</v>
      </c>
      <c r="I1351" s="4">
        <v>714</v>
      </c>
      <c r="J1351" t="s">
        <v>421</v>
      </c>
      <c r="K1351" t="s">
        <v>53</v>
      </c>
      <c r="L1351" s="4">
        <v>10.96230865592911</v>
      </c>
      <c r="M1351" s="1" t="s">
        <v>38</v>
      </c>
      <c r="N1351" s="11">
        <f t="shared" si="21"/>
        <v>5</v>
      </c>
    </row>
    <row r="1352" spans="1:14" ht="16" x14ac:dyDescent="0.2">
      <c r="A1352" s="3">
        <v>43143.464799869485</v>
      </c>
      <c r="B1352" s="1" t="s">
        <v>1736</v>
      </c>
      <c r="C1352" t="s">
        <v>788</v>
      </c>
      <c r="D1352">
        <v>12</v>
      </c>
      <c r="E1352">
        <v>100</v>
      </c>
      <c r="F1352">
        <v>25</v>
      </c>
      <c r="G1352">
        <v>1200</v>
      </c>
      <c r="H1352" s="4">
        <v>300</v>
      </c>
      <c r="I1352" s="4">
        <v>900</v>
      </c>
      <c r="J1352" t="s">
        <v>155</v>
      </c>
      <c r="K1352" t="s">
        <v>42</v>
      </c>
      <c r="L1352" s="4">
        <v>13.378080355059918</v>
      </c>
      <c r="M1352" s="1" t="s">
        <v>38</v>
      </c>
      <c r="N1352" s="11">
        <f t="shared" si="21"/>
        <v>5</v>
      </c>
    </row>
    <row r="1353" spans="1:14" ht="16" x14ac:dyDescent="0.2">
      <c r="A1353" s="3">
        <v>43008.13470098246</v>
      </c>
      <c r="B1353" s="1" t="s">
        <v>1737</v>
      </c>
      <c r="C1353" t="s">
        <v>44</v>
      </c>
      <c r="D1353">
        <v>1</v>
      </c>
      <c r="E1353">
        <v>114</v>
      </c>
      <c r="F1353">
        <v>57</v>
      </c>
      <c r="G1353">
        <v>114</v>
      </c>
      <c r="H1353" s="4">
        <v>57</v>
      </c>
      <c r="I1353" s="4">
        <v>57</v>
      </c>
      <c r="J1353" t="s">
        <v>1721</v>
      </c>
      <c r="K1353" t="s">
        <v>58</v>
      </c>
      <c r="L1353" s="4">
        <v>13.537350739681813</v>
      </c>
      <c r="M1353" s="1" t="s">
        <v>38</v>
      </c>
      <c r="N1353" s="11">
        <f t="shared" si="21"/>
        <v>5</v>
      </c>
    </row>
    <row r="1354" spans="1:14" ht="16" x14ac:dyDescent="0.2">
      <c r="A1354" s="3">
        <v>44403.814448054334</v>
      </c>
      <c r="B1354" s="1" t="s">
        <v>1738</v>
      </c>
      <c r="C1354" t="s">
        <v>51</v>
      </c>
      <c r="D1354">
        <v>11</v>
      </c>
      <c r="E1354">
        <v>160</v>
      </c>
      <c r="F1354">
        <v>80</v>
      </c>
      <c r="G1354">
        <v>1760</v>
      </c>
      <c r="H1354" s="4">
        <v>880</v>
      </c>
      <c r="I1354" s="4">
        <v>880</v>
      </c>
      <c r="J1354" t="s">
        <v>638</v>
      </c>
      <c r="K1354" t="s">
        <v>33</v>
      </c>
      <c r="L1354" s="4">
        <v>12.131375018945562</v>
      </c>
      <c r="M1354" s="1" t="s">
        <v>38</v>
      </c>
      <c r="N1354" s="11">
        <f t="shared" si="21"/>
        <v>5</v>
      </c>
    </row>
    <row r="1355" spans="1:14" ht="16" x14ac:dyDescent="0.2">
      <c r="A1355" s="3">
        <v>43229.163340270497</v>
      </c>
      <c r="B1355" s="1" t="s">
        <v>1739</v>
      </c>
      <c r="C1355" t="s">
        <v>215</v>
      </c>
      <c r="D1355">
        <v>19</v>
      </c>
      <c r="E1355">
        <v>176</v>
      </c>
      <c r="F1355">
        <v>88</v>
      </c>
      <c r="G1355">
        <v>3344</v>
      </c>
      <c r="H1355" s="4">
        <v>1672</v>
      </c>
      <c r="I1355" s="4">
        <v>1672</v>
      </c>
      <c r="J1355" t="s">
        <v>1012</v>
      </c>
      <c r="K1355" t="s">
        <v>33</v>
      </c>
      <c r="L1355" s="4">
        <v>14.538471643780088</v>
      </c>
      <c r="M1355" s="1" t="s">
        <v>38</v>
      </c>
      <c r="N1355" s="11">
        <f t="shared" si="21"/>
        <v>5</v>
      </c>
    </row>
    <row r="1356" spans="1:14" ht="16" x14ac:dyDescent="0.2">
      <c r="A1356" s="3">
        <v>43693.354247631003</v>
      </c>
      <c r="B1356" s="1" t="s">
        <v>1740</v>
      </c>
      <c r="C1356" t="s">
        <v>261</v>
      </c>
      <c r="D1356">
        <v>9</v>
      </c>
      <c r="E1356">
        <v>92</v>
      </c>
      <c r="F1356">
        <v>46</v>
      </c>
      <c r="G1356">
        <v>828</v>
      </c>
      <c r="H1356" s="4">
        <v>414</v>
      </c>
      <c r="I1356" s="4">
        <v>414</v>
      </c>
      <c r="J1356" t="s">
        <v>1721</v>
      </c>
      <c r="K1356" t="s">
        <v>58</v>
      </c>
      <c r="L1356" s="4">
        <v>13.537350739681813</v>
      </c>
      <c r="M1356" s="1" t="s">
        <v>54</v>
      </c>
      <c r="N1356" s="11">
        <f t="shared" si="21"/>
        <v>10</v>
      </c>
    </row>
    <row r="1357" spans="1:14" ht="16" x14ac:dyDescent="0.2">
      <c r="A1357" s="3">
        <v>44418.327829374102</v>
      </c>
      <c r="B1357" s="1" t="s">
        <v>1741</v>
      </c>
      <c r="C1357" t="s">
        <v>320</v>
      </c>
      <c r="D1357">
        <v>4</v>
      </c>
      <c r="E1357">
        <v>280</v>
      </c>
      <c r="F1357">
        <v>70</v>
      </c>
      <c r="G1357">
        <v>1120</v>
      </c>
      <c r="H1357" s="4">
        <v>280</v>
      </c>
      <c r="I1357" s="4">
        <v>840</v>
      </c>
      <c r="J1357" t="s">
        <v>164</v>
      </c>
      <c r="K1357" t="s">
        <v>86</v>
      </c>
      <c r="L1357" s="4">
        <v>12.452986387489583</v>
      </c>
      <c r="M1357" s="1" t="s">
        <v>38</v>
      </c>
      <c r="N1357" s="11">
        <f t="shared" si="21"/>
        <v>5</v>
      </c>
    </row>
    <row r="1358" spans="1:14" ht="16" x14ac:dyDescent="0.2">
      <c r="A1358" s="3">
        <v>44021.596884502302</v>
      </c>
      <c r="B1358" s="1" t="s">
        <v>1742</v>
      </c>
      <c r="C1358" t="s">
        <v>561</v>
      </c>
      <c r="D1358">
        <v>12</v>
      </c>
      <c r="E1358">
        <v>384</v>
      </c>
      <c r="F1358">
        <v>96</v>
      </c>
      <c r="G1358">
        <v>4608</v>
      </c>
      <c r="H1358" s="4">
        <v>1152</v>
      </c>
      <c r="I1358" s="4">
        <v>3456</v>
      </c>
      <c r="J1358" t="s">
        <v>106</v>
      </c>
      <c r="K1358" t="s">
        <v>42</v>
      </c>
      <c r="L1358" s="4">
        <v>13.717776078041958</v>
      </c>
      <c r="M1358" s="1" t="s">
        <v>38</v>
      </c>
      <c r="N1358" s="11">
        <f t="shared" si="21"/>
        <v>5</v>
      </c>
    </row>
    <row r="1359" spans="1:14" ht="16" x14ac:dyDescent="0.2">
      <c r="A1359" s="3">
        <v>42852.303631916242</v>
      </c>
      <c r="B1359" s="1" t="s">
        <v>1743</v>
      </c>
      <c r="C1359" t="s">
        <v>391</v>
      </c>
      <c r="D1359">
        <v>12</v>
      </c>
      <c r="E1359">
        <v>72</v>
      </c>
      <c r="F1359">
        <v>36</v>
      </c>
      <c r="G1359">
        <v>864</v>
      </c>
      <c r="H1359" s="4">
        <v>432</v>
      </c>
      <c r="I1359" s="4">
        <v>432</v>
      </c>
      <c r="J1359" t="s">
        <v>146</v>
      </c>
      <c r="K1359" t="s">
        <v>64</v>
      </c>
      <c r="L1359" s="4">
        <v>12.487915239531313</v>
      </c>
      <c r="M1359" s="1" t="s">
        <v>34</v>
      </c>
      <c r="N1359" s="11">
        <f t="shared" si="21"/>
        <v>1</v>
      </c>
    </row>
    <row r="1360" spans="1:14" ht="16" x14ac:dyDescent="0.2">
      <c r="A1360" s="3">
        <v>44470.399518514118</v>
      </c>
      <c r="B1360" s="1" t="s">
        <v>1744</v>
      </c>
      <c r="C1360" t="s">
        <v>340</v>
      </c>
      <c r="D1360">
        <v>2</v>
      </c>
      <c r="E1360">
        <v>180</v>
      </c>
      <c r="F1360">
        <v>45</v>
      </c>
      <c r="G1360">
        <v>360</v>
      </c>
      <c r="H1360" s="4">
        <v>90</v>
      </c>
      <c r="I1360" s="4">
        <v>270</v>
      </c>
      <c r="J1360" t="s">
        <v>1379</v>
      </c>
      <c r="K1360" t="s">
        <v>86</v>
      </c>
      <c r="L1360" s="4">
        <v>14.157909724393564</v>
      </c>
      <c r="M1360" s="1" t="s">
        <v>34</v>
      </c>
      <c r="N1360" s="11">
        <f t="shared" si="21"/>
        <v>1</v>
      </c>
    </row>
    <row r="1361" spans="1:14" ht="16" x14ac:dyDescent="0.2">
      <c r="A1361" s="3">
        <v>44020.054965614487</v>
      </c>
      <c r="B1361" s="1" t="s">
        <v>1745</v>
      </c>
      <c r="C1361" t="s">
        <v>255</v>
      </c>
      <c r="D1361">
        <v>8</v>
      </c>
      <c r="E1361">
        <v>140</v>
      </c>
      <c r="F1361">
        <v>70</v>
      </c>
      <c r="G1361">
        <v>1120</v>
      </c>
      <c r="H1361" s="4">
        <v>560</v>
      </c>
      <c r="I1361" s="4">
        <v>560</v>
      </c>
      <c r="J1361" t="s">
        <v>149</v>
      </c>
      <c r="K1361" t="s">
        <v>58</v>
      </c>
      <c r="L1361" s="4">
        <v>8.1085102757869372</v>
      </c>
      <c r="M1361" s="1" t="s">
        <v>38</v>
      </c>
      <c r="N1361" s="11">
        <f t="shared" si="21"/>
        <v>5</v>
      </c>
    </row>
    <row r="1362" spans="1:14" ht="16" x14ac:dyDescent="0.2">
      <c r="A1362" s="3">
        <v>43615.129977147022</v>
      </c>
      <c r="B1362" s="1" t="s">
        <v>1746</v>
      </c>
      <c r="C1362" t="s">
        <v>607</v>
      </c>
      <c r="D1362">
        <v>1</v>
      </c>
      <c r="E1362">
        <v>225</v>
      </c>
      <c r="F1362">
        <v>75</v>
      </c>
      <c r="G1362">
        <v>225</v>
      </c>
      <c r="H1362" s="4">
        <v>75</v>
      </c>
      <c r="I1362" s="4">
        <v>150</v>
      </c>
      <c r="J1362" t="s">
        <v>106</v>
      </c>
      <c r="K1362" t="s">
        <v>42</v>
      </c>
      <c r="L1362" s="4">
        <v>13.717776078041958</v>
      </c>
      <c r="M1362" s="1" t="s">
        <v>38</v>
      </c>
      <c r="N1362" s="11">
        <f t="shared" si="21"/>
        <v>5</v>
      </c>
    </row>
    <row r="1363" spans="1:14" ht="16" x14ac:dyDescent="0.2">
      <c r="A1363" s="3">
        <v>42923.529668786025</v>
      </c>
      <c r="B1363" s="1" t="s">
        <v>1747</v>
      </c>
      <c r="C1363" t="s">
        <v>154</v>
      </c>
      <c r="D1363">
        <v>6</v>
      </c>
      <c r="E1363">
        <v>308</v>
      </c>
      <c r="F1363">
        <v>77</v>
      </c>
      <c r="G1363">
        <v>1848</v>
      </c>
      <c r="H1363" s="4">
        <v>462</v>
      </c>
      <c r="I1363" s="4">
        <v>1386</v>
      </c>
      <c r="J1363" t="s">
        <v>161</v>
      </c>
      <c r="K1363" t="s">
        <v>33</v>
      </c>
      <c r="L1363" s="4">
        <v>14.370283356317486</v>
      </c>
      <c r="M1363" s="1" t="s">
        <v>38</v>
      </c>
      <c r="N1363" s="11">
        <f t="shared" si="21"/>
        <v>5</v>
      </c>
    </row>
    <row r="1364" spans="1:14" ht="16" x14ac:dyDescent="0.2">
      <c r="A1364" s="3">
        <v>44971.251003254074</v>
      </c>
      <c r="B1364" s="1" t="s">
        <v>1748</v>
      </c>
      <c r="C1364" t="s">
        <v>93</v>
      </c>
      <c r="D1364">
        <v>15</v>
      </c>
      <c r="E1364">
        <v>204</v>
      </c>
      <c r="F1364">
        <v>51</v>
      </c>
      <c r="G1364">
        <v>3060</v>
      </c>
      <c r="H1364" s="4">
        <v>765</v>
      </c>
      <c r="I1364" s="4">
        <v>2295</v>
      </c>
      <c r="J1364" t="s">
        <v>1279</v>
      </c>
      <c r="K1364" t="s">
        <v>33</v>
      </c>
      <c r="L1364" s="4">
        <v>6.221489120484736</v>
      </c>
      <c r="M1364" s="1" t="s">
        <v>34</v>
      </c>
      <c r="N1364" s="11">
        <f t="shared" si="21"/>
        <v>1</v>
      </c>
    </row>
    <row r="1365" spans="1:14" ht="16" x14ac:dyDescent="0.2">
      <c r="A1365" s="3">
        <v>44286.22742111847</v>
      </c>
      <c r="B1365" s="1" t="s">
        <v>1749</v>
      </c>
      <c r="C1365" t="s">
        <v>101</v>
      </c>
      <c r="D1365">
        <v>1</v>
      </c>
      <c r="E1365">
        <v>50</v>
      </c>
      <c r="F1365">
        <v>25</v>
      </c>
      <c r="G1365">
        <v>50</v>
      </c>
      <c r="H1365" s="4">
        <v>25</v>
      </c>
      <c r="I1365" s="4">
        <v>25</v>
      </c>
      <c r="J1365" t="s">
        <v>1750</v>
      </c>
      <c r="K1365" t="s">
        <v>58</v>
      </c>
      <c r="L1365" s="4">
        <v>7.9096461399190003</v>
      </c>
      <c r="M1365" s="1" t="s">
        <v>54</v>
      </c>
      <c r="N1365" s="11">
        <f t="shared" si="21"/>
        <v>10</v>
      </c>
    </row>
    <row r="1366" spans="1:14" ht="16" x14ac:dyDescent="0.2">
      <c r="A1366" s="3">
        <v>44045.621971320601</v>
      </c>
      <c r="B1366" s="1" t="s">
        <v>1751</v>
      </c>
      <c r="C1366" t="s">
        <v>255</v>
      </c>
      <c r="D1366">
        <v>3</v>
      </c>
      <c r="E1366">
        <v>140</v>
      </c>
      <c r="F1366">
        <v>70</v>
      </c>
      <c r="G1366">
        <v>420</v>
      </c>
      <c r="H1366" s="4">
        <v>210</v>
      </c>
      <c r="I1366" s="4">
        <v>210</v>
      </c>
      <c r="J1366" t="s">
        <v>603</v>
      </c>
      <c r="K1366" t="s">
        <v>64</v>
      </c>
      <c r="L1366" s="4">
        <v>11.072271050116964</v>
      </c>
      <c r="M1366" s="1" t="s">
        <v>34</v>
      </c>
      <c r="N1366" s="11">
        <f t="shared" si="21"/>
        <v>1</v>
      </c>
    </row>
    <row r="1367" spans="1:14" ht="16" x14ac:dyDescent="0.2">
      <c r="A1367" s="3">
        <v>43785.275290693673</v>
      </c>
      <c r="B1367" s="1" t="s">
        <v>1752</v>
      </c>
      <c r="C1367" t="s">
        <v>257</v>
      </c>
      <c r="D1367">
        <v>14</v>
      </c>
      <c r="E1367">
        <v>160</v>
      </c>
      <c r="F1367">
        <v>80</v>
      </c>
      <c r="G1367">
        <v>2240</v>
      </c>
      <c r="H1367" s="4">
        <v>1120</v>
      </c>
      <c r="I1367" s="4">
        <v>1120</v>
      </c>
      <c r="J1367" t="s">
        <v>569</v>
      </c>
      <c r="K1367" t="s">
        <v>33</v>
      </c>
      <c r="L1367" s="4">
        <v>12.921682080641304</v>
      </c>
      <c r="M1367" s="1" t="s">
        <v>34</v>
      </c>
      <c r="N1367" s="11">
        <f t="shared" si="21"/>
        <v>1</v>
      </c>
    </row>
    <row r="1368" spans="1:14" ht="16" x14ac:dyDescent="0.2">
      <c r="A1368" s="3">
        <v>44682.92751013489</v>
      </c>
      <c r="B1368" s="1" t="s">
        <v>1753</v>
      </c>
      <c r="C1368" t="s">
        <v>255</v>
      </c>
      <c r="D1368">
        <v>15</v>
      </c>
      <c r="E1368">
        <v>140</v>
      </c>
      <c r="F1368">
        <v>70</v>
      </c>
      <c r="G1368">
        <v>2100</v>
      </c>
      <c r="H1368" s="4">
        <v>1050</v>
      </c>
      <c r="I1368" s="4">
        <v>1050</v>
      </c>
      <c r="J1368" t="s">
        <v>854</v>
      </c>
      <c r="K1368" t="s">
        <v>58</v>
      </c>
      <c r="L1368" s="4">
        <v>12.990345718839325</v>
      </c>
      <c r="M1368" s="1" t="s">
        <v>54</v>
      </c>
      <c r="N1368" s="11">
        <f t="shared" si="21"/>
        <v>10</v>
      </c>
    </row>
    <row r="1369" spans="1:14" ht="16" x14ac:dyDescent="0.2">
      <c r="A1369" s="3">
        <v>44153.095691674367</v>
      </c>
      <c r="B1369" s="1" t="s">
        <v>1754</v>
      </c>
      <c r="C1369" t="s">
        <v>62</v>
      </c>
      <c r="D1369">
        <v>18</v>
      </c>
      <c r="E1369">
        <v>80</v>
      </c>
      <c r="F1369">
        <v>20</v>
      </c>
      <c r="G1369">
        <v>1440</v>
      </c>
      <c r="H1369" s="4">
        <v>360</v>
      </c>
      <c r="I1369" s="4">
        <v>1080</v>
      </c>
      <c r="J1369" t="s">
        <v>323</v>
      </c>
      <c r="K1369" t="s">
        <v>53</v>
      </c>
      <c r="L1369" s="4">
        <v>11.221666113009938</v>
      </c>
      <c r="M1369" s="1" t="s">
        <v>54</v>
      </c>
      <c r="N1369" s="11">
        <f t="shared" si="21"/>
        <v>10</v>
      </c>
    </row>
    <row r="1370" spans="1:14" ht="16" x14ac:dyDescent="0.2">
      <c r="A1370" s="3">
        <v>43887.627031557829</v>
      </c>
      <c r="B1370" s="1" t="s">
        <v>1755</v>
      </c>
      <c r="C1370" t="s">
        <v>266</v>
      </c>
      <c r="D1370">
        <v>14</v>
      </c>
      <c r="E1370">
        <v>50</v>
      </c>
      <c r="F1370">
        <v>25</v>
      </c>
      <c r="G1370">
        <v>700</v>
      </c>
      <c r="H1370" s="4">
        <v>350</v>
      </c>
      <c r="I1370" s="4">
        <v>350</v>
      </c>
      <c r="J1370" t="s">
        <v>574</v>
      </c>
      <c r="K1370" t="s">
        <v>58</v>
      </c>
      <c r="L1370" s="4">
        <v>13.150536103258979</v>
      </c>
      <c r="M1370" s="1" t="s">
        <v>34</v>
      </c>
      <c r="N1370" s="11">
        <f t="shared" si="21"/>
        <v>1</v>
      </c>
    </row>
    <row r="1371" spans="1:14" ht="16" x14ac:dyDescent="0.2">
      <c r="A1371" s="3">
        <v>44170.844635758804</v>
      </c>
      <c r="B1371" s="1" t="s">
        <v>1756</v>
      </c>
      <c r="C1371" t="s">
        <v>120</v>
      </c>
      <c r="D1371">
        <v>20</v>
      </c>
      <c r="E1371">
        <v>252</v>
      </c>
      <c r="F1371">
        <v>63</v>
      </c>
      <c r="G1371">
        <v>5040</v>
      </c>
      <c r="H1371" s="4">
        <v>1260</v>
      </c>
      <c r="I1371" s="4">
        <v>3780</v>
      </c>
      <c r="J1371" t="s">
        <v>923</v>
      </c>
      <c r="K1371" t="s">
        <v>42</v>
      </c>
      <c r="L1371" s="4">
        <v>12.502346728827876</v>
      </c>
      <c r="M1371" s="1" t="s">
        <v>34</v>
      </c>
      <c r="N1371" s="11">
        <f t="shared" si="21"/>
        <v>1</v>
      </c>
    </row>
    <row r="1372" spans="1:14" ht="16" x14ac:dyDescent="0.2">
      <c r="A1372" s="3">
        <v>43550.711045283111</v>
      </c>
      <c r="B1372" s="1" t="s">
        <v>1757</v>
      </c>
      <c r="C1372" t="s">
        <v>178</v>
      </c>
      <c r="D1372">
        <v>8</v>
      </c>
      <c r="E1372">
        <v>189</v>
      </c>
      <c r="F1372">
        <v>63</v>
      </c>
      <c r="G1372">
        <v>1512</v>
      </c>
      <c r="H1372" s="4">
        <v>504</v>
      </c>
      <c r="I1372" s="4">
        <v>1008</v>
      </c>
      <c r="J1372" t="s">
        <v>569</v>
      </c>
      <c r="K1372" t="s">
        <v>33</v>
      </c>
      <c r="L1372" s="4">
        <v>12.921682080641304</v>
      </c>
      <c r="M1372" s="1" t="s">
        <v>38</v>
      </c>
      <c r="N1372" s="11">
        <f t="shared" si="21"/>
        <v>5</v>
      </c>
    </row>
    <row r="1373" spans="1:14" ht="16" x14ac:dyDescent="0.2">
      <c r="A1373" s="3">
        <v>42715.504046912421</v>
      </c>
      <c r="B1373" s="1" t="s">
        <v>1758</v>
      </c>
      <c r="C1373" t="s">
        <v>101</v>
      </c>
      <c r="D1373">
        <v>16</v>
      </c>
      <c r="E1373">
        <v>50</v>
      </c>
      <c r="F1373">
        <v>25</v>
      </c>
      <c r="G1373">
        <v>800</v>
      </c>
      <c r="H1373" s="4">
        <v>400</v>
      </c>
      <c r="I1373" s="4">
        <v>400</v>
      </c>
      <c r="J1373" t="s">
        <v>611</v>
      </c>
      <c r="K1373" t="s">
        <v>58</v>
      </c>
      <c r="L1373" s="4">
        <v>7.8974070387684714</v>
      </c>
      <c r="M1373" s="1" t="s">
        <v>38</v>
      </c>
      <c r="N1373" s="11">
        <f t="shared" si="21"/>
        <v>5</v>
      </c>
    </row>
    <row r="1374" spans="1:14" ht="16" x14ac:dyDescent="0.2">
      <c r="A1374" s="3">
        <v>44569.445513912447</v>
      </c>
      <c r="B1374" s="1" t="s">
        <v>1759</v>
      </c>
      <c r="C1374" t="s">
        <v>337</v>
      </c>
      <c r="D1374">
        <v>2</v>
      </c>
      <c r="E1374">
        <v>135</v>
      </c>
      <c r="F1374">
        <v>45</v>
      </c>
      <c r="G1374">
        <v>270</v>
      </c>
      <c r="H1374" s="4">
        <v>90</v>
      </c>
      <c r="I1374" s="4">
        <v>180</v>
      </c>
      <c r="J1374" t="s">
        <v>108</v>
      </c>
      <c r="K1374" t="s">
        <v>64</v>
      </c>
      <c r="L1374" s="4">
        <v>9.7467096260695598</v>
      </c>
      <c r="M1374" s="1" t="s">
        <v>38</v>
      </c>
      <c r="N1374" s="11">
        <f t="shared" si="21"/>
        <v>5</v>
      </c>
    </row>
    <row r="1375" spans="1:14" ht="16" x14ac:dyDescent="0.2">
      <c r="A1375" s="3">
        <v>44017.970422306746</v>
      </c>
      <c r="B1375" s="1" t="s">
        <v>1760</v>
      </c>
      <c r="C1375" t="s">
        <v>255</v>
      </c>
      <c r="D1375">
        <v>8</v>
      </c>
      <c r="E1375">
        <v>140</v>
      </c>
      <c r="F1375">
        <v>70</v>
      </c>
      <c r="G1375">
        <v>1120</v>
      </c>
      <c r="H1375" s="4">
        <v>560</v>
      </c>
      <c r="I1375" s="4">
        <v>560</v>
      </c>
      <c r="J1375" t="s">
        <v>76</v>
      </c>
      <c r="K1375" t="s">
        <v>58</v>
      </c>
      <c r="L1375" s="4">
        <v>9.8384363471888783</v>
      </c>
      <c r="M1375" s="1" t="s">
        <v>38</v>
      </c>
      <c r="N1375" s="11">
        <f t="shared" si="21"/>
        <v>5</v>
      </c>
    </row>
    <row r="1376" spans="1:14" ht="16" x14ac:dyDescent="0.2">
      <c r="A1376" s="3">
        <v>44320.602804227296</v>
      </c>
      <c r="B1376" s="1" t="s">
        <v>1761</v>
      </c>
      <c r="C1376" t="s">
        <v>286</v>
      </c>
      <c r="D1376">
        <v>2</v>
      </c>
      <c r="E1376">
        <v>34</v>
      </c>
      <c r="F1376">
        <v>17</v>
      </c>
      <c r="G1376">
        <v>68</v>
      </c>
      <c r="H1376" s="4">
        <v>34</v>
      </c>
      <c r="I1376" s="4">
        <v>34</v>
      </c>
      <c r="J1376" t="s">
        <v>241</v>
      </c>
      <c r="K1376" t="s">
        <v>33</v>
      </c>
      <c r="L1376" s="4">
        <v>11.274864741138284</v>
      </c>
      <c r="M1376" s="1" t="s">
        <v>54</v>
      </c>
      <c r="N1376" s="11">
        <f t="shared" si="21"/>
        <v>10</v>
      </c>
    </row>
    <row r="1377" spans="1:14" ht="16" x14ac:dyDescent="0.2">
      <c r="A1377" s="3">
        <v>42985.106557324456</v>
      </c>
      <c r="B1377" s="1" t="s">
        <v>1762</v>
      </c>
      <c r="C1377" t="s">
        <v>337</v>
      </c>
      <c r="D1377">
        <v>9</v>
      </c>
      <c r="E1377">
        <v>135</v>
      </c>
      <c r="F1377">
        <v>45</v>
      </c>
      <c r="G1377">
        <v>1215</v>
      </c>
      <c r="H1377" s="4">
        <v>405</v>
      </c>
      <c r="I1377" s="4">
        <v>810</v>
      </c>
      <c r="J1377" t="s">
        <v>1065</v>
      </c>
      <c r="K1377" t="s">
        <v>53</v>
      </c>
      <c r="L1377" s="4">
        <v>13.00553764131261</v>
      </c>
      <c r="M1377" s="1" t="s">
        <v>38</v>
      </c>
      <c r="N1377" s="11">
        <f t="shared" si="21"/>
        <v>5</v>
      </c>
    </row>
    <row r="1378" spans="1:14" ht="16" x14ac:dyDescent="0.2">
      <c r="A1378" s="3">
        <v>44056.710929001012</v>
      </c>
      <c r="B1378" s="1" t="s">
        <v>1763</v>
      </c>
      <c r="C1378" t="s">
        <v>93</v>
      </c>
      <c r="D1378">
        <v>11</v>
      </c>
      <c r="E1378">
        <v>204</v>
      </c>
      <c r="F1378">
        <v>51</v>
      </c>
      <c r="G1378">
        <v>2244</v>
      </c>
      <c r="H1378" s="4">
        <v>561</v>
      </c>
      <c r="I1378" s="4">
        <v>1683</v>
      </c>
      <c r="J1378" t="s">
        <v>767</v>
      </c>
      <c r="K1378" t="s">
        <v>42</v>
      </c>
      <c r="L1378" s="4">
        <v>11.289144410898391</v>
      </c>
      <c r="M1378" s="1" t="s">
        <v>54</v>
      </c>
      <c r="N1378" s="11">
        <f t="shared" si="21"/>
        <v>10</v>
      </c>
    </row>
    <row r="1379" spans="1:14" ht="16" x14ac:dyDescent="0.2">
      <c r="A1379" s="3">
        <v>43424.033007412319</v>
      </c>
      <c r="B1379" s="1" t="s">
        <v>1764</v>
      </c>
      <c r="C1379" t="s">
        <v>91</v>
      </c>
      <c r="D1379">
        <v>14</v>
      </c>
      <c r="E1379">
        <v>300</v>
      </c>
      <c r="F1379">
        <v>75</v>
      </c>
      <c r="G1379">
        <v>4200</v>
      </c>
      <c r="H1379" s="4">
        <v>1050</v>
      </c>
      <c r="I1379" s="4">
        <v>3150</v>
      </c>
      <c r="J1379" t="s">
        <v>435</v>
      </c>
      <c r="K1379" t="s">
        <v>33</v>
      </c>
      <c r="L1379" s="4">
        <v>5.9872353338051019</v>
      </c>
      <c r="M1379" s="1" t="s">
        <v>54</v>
      </c>
      <c r="N1379" s="11">
        <f t="shared" si="21"/>
        <v>10</v>
      </c>
    </row>
    <row r="1380" spans="1:14" ht="16" x14ac:dyDescent="0.2">
      <c r="A1380" s="3">
        <v>44018.996763636133</v>
      </c>
      <c r="B1380" s="1" t="s">
        <v>1765</v>
      </c>
      <c r="C1380" t="s">
        <v>66</v>
      </c>
      <c r="D1380">
        <v>8</v>
      </c>
      <c r="E1380">
        <v>144</v>
      </c>
      <c r="F1380">
        <v>48</v>
      </c>
      <c r="G1380">
        <v>1152</v>
      </c>
      <c r="H1380" s="4">
        <v>384</v>
      </c>
      <c r="I1380" s="4">
        <v>768</v>
      </c>
      <c r="J1380" t="s">
        <v>741</v>
      </c>
      <c r="K1380" t="s">
        <v>42</v>
      </c>
      <c r="L1380" s="4">
        <v>14.817898176328208</v>
      </c>
      <c r="M1380" s="1" t="s">
        <v>54</v>
      </c>
      <c r="N1380" s="11">
        <f t="shared" si="21"/>
        <v>10</v>
      </c>
    </row>
    <row r="1381" spans="1:14" ht="16" x14ac:dyDescent="0.2">
      <c r="A1381" s="3">
        <v>43725.435861065693</v>
      </c>
      <c r="B1381" s="1" t="s">
        <v>1766</v>
      </c>
      <c r="C1381" t="s">
        <v>592</v>
      </c>
      <c r="D1381">
        <v>11</v>
      </c>
      <c r="E1381">
        <v>312</v>
      </c>
      <c r="F1381">
        <v>78</v>
      </c>
      <c r="G1381">
        <v>3432</v>
      </c>
      <c r="H1381" s="4">
        <v>858</v>
      </c>
      <c r="I1381" s="4">
        <v>2574</v>
      </c>
      <c r="J1381" t="s">
        <v>542</v>
      </c>
      <c r="K1381" t="s">
        <v>58</v>
      </c>
      <c r="L1381" s="4">
        <v>13.929237493388955</v>
      </c>
      <c r="M1381" s="1" t="s">
        <v>38</v>
      </c>
      <c r="N1381" s="11">
        <f t="shared" si="21"/>
        <v>5</v>
      </c>
    </row>
    <row r="1382" spans="1:14" ht="16" x14ac:dyDescent="0.2">
      <c r="A1382" s="3">
        <v>43764.575657550638</v>
      </c>
      <c r="B1382" s="1" t="s">
        <v>1767</v>
      </c>
      <c r="C1382" t="s">
        <v>151</v>
      </c>
      <c r="D1382">
        <v>10</v>
      </c>
      <c r="E1382">
        <v>153</v>
      </c>
      <c r="F1382">
        <v>51</v>
      </c>
      <c r="G1382">
        <v>1530</v>
      </c>
      <c r="H1382" s="4">
        <v>510</v>
      </c>
      <c r="I1382" s="4">
        <v>1020</v>
      </c>
      <c r="J1382" t="s">
        <v>236</v>
      </c>
      <c r="K1382" t="s">
        <v>53</v>
      </c>
      <c r="L1382" s="4">
        <v>9.3014286057233697</v>
      </c>
      <c r="M1382" s="1" t="s">
        <v>38</v>
      </c>
      <c r="N1382" s="11">
        <f t="shared" si="21"/>
        <v>5</v>
      </c>
    </row>
    <row r="1383" spans="1:14" ht="16" x14ac:dyDescent="0.2">
      <c r="A1383" s="3">
        <v>43931.525916964951</v>
      </c>
      <c r="B1383" s="1" t="s">
        <v>1768</v>
      </c>
      <c r="C1383" t="s">
        <v>356</v>
      </c>
      <c r="D1383">
        <v>1</v>
      </c>
      <c r="E1383">
        <v>356</v>
      </c>
      <c r="F1383">
        <v>89</v>
      </c>
      <c r="G1383">
        <v>356</v>
      </c>
      <c r="H1383" s="4">
        <v>89</v>
      </c>
      <c r="I1383" s="4">
        <v>267</v>
      </c>
      <c r="J1383" t="s">
        <v>397</v>
      </c>
      <c r="K1383" t="s">
        <v>49</v>
      </c>
      <c r="L1383" s="4">
        <v>9.4239783062860578</v>
      </c>
      <c r="M1383" s="1" t="s">
        <v>38</v>
      </c>
      <c r="N1383" s="11">
        <f t="shared" si="21"/>
        <v>5</v>
      </c>
    </row>
    <row r="1384" spans="1:14" ht="16" x14ac:dyDescent="0.2">
      <c r="A1384" s="3">
        <v>43685.343870179189</v>
      </c>
      <c r="B1384" s="1" t="s">
        <v>1769</v>
      </c>
      <c r="C1384" t="s">
        <v>31</v>
      </c>
      <c r="D1384">
        <v>3</v>
      </c>
      <c r="E1384">
        <v>280</v>
      </c>
      <c r="F1384">
        <v>70</v>
      </c>
      <c r="G1384">
        <v>840</v>
      </c>
      <c r="H1384" s="4">
        <v>210</v>
      </c>
      <c r="I1384" s="4">
        <v>630</v>
      </c>
      <c r="J1384" t="s">
        <v>363</v>
      </c>
      <c r="K1384" t="s">
        <v>64</v>
      </c>
      <c r="L1384" s="4">
        <v>14.690198582365463</v>
      </c>
      <c r="M1384" s="1" t="s">
        <v>38</v>
      </c>
      <c r="N1384" s="11">
        <f t="shared" si="21"/>
        <v>5</v>
      </c>
    </row>
    <row r="1385" spans="1:14" ht="16" x14ac:dyDescent="0.2">
      <c r="A1385" s="3">
        <v>43494.025600015782</v>
      </c>
      <c r="B1385" s="1" t="s">
        <v>1770</v>
      </c>
      <c r="C1385" t="s">
        <v>248</v>
      </c>
      <c r="D1385">
        <v>17</v>
      </c>
      <c r="E1385">
        <v>132</v>
      </c>
      <c r="F1385">
        <v>44</v>
      </c>
      <c r="G1385">
        <v>2244</v>
      </c>
      <c r="H1385" s="4">
        <v>748</v>
      </c>
      <c r="I1385" s="4">
        <v>1496</v>
      </c>
      <c r="J1385" t="s">
        <v>1136</v>
      </c>
      <c r="K1385" t="s">
        <v>49</v>
      </c>
      <c r="L1385" s="4">
        <v>14.129095302641241</v>
      </c>
      <c r="M1385" s="1" t="s">
        <v>34</v>
      </c>
      <c r="N1385" s="11">
        <f t="shared" si="21"/>
        <v>1</v>
      </c>
    </row>
    <row r="1386" spans="1:14" ht="16" x14ac:dyDescent="0.2">
      <c r="A1386" s="3">
        <v>43670.1901967597</v>
      </c>
      <c r="B1386" s="1" t="s">
        <v>1771</v>
      </c>
      <c r="C1386" t="s">
        <v>139</v>
      </c>
      <c r="D1386">
        <v>12</v>
      </c>
      <c r="E1386">
        <v>320</v>
      </c>
      <c r="F1386">
        <v>80</v>
      </c>
      <c r="G1386">
        <v>3840</v>
      </c>
      <c r="H1386" s="4">
        <v>960</v>
      </c>
      <c r="I1386" s="4">
        <v>2880</v>
      </c>
      <c r="J1386" t="s">
        <v>531</v>
      </c>
      <c r="K1386" t="s">
        <v>58</v>
      </c>
      <c r="L1386" s="4">
        <v>14.064516999204997</v>
      </c>
      <c r="M1386" s="1" t="s">
        <v>38</v>
      </c>
      <c r="N1386" s="11">
        <f t="shared" si="21"/>
        <v>5</v>
      </c>
    </row>
    <row r="1387" spans="1:14" ht="16" x14ac:dyDescent="0.2">
      <c r="A1387" s="3">
        <v>44279.577937683287</v>
      </c>
      <c r="B1387" s="1" t="s">
        <v>1772</v>
      </c>
      <c r="C1387" t="s">
        <v>193</v>
      </c>
      <c r="D1387">
        <v>18</v>
      </c>
      <c r="E1387">
        <v>348</v>
      </c>
      <c r="F1387">
        <v>87</v>
      </c>
      <c r="G1387">
        <v>6264</v>
      </c>
      <c r="H1387" s="4">
        <v>1566</v>
      </c>
      <c r="I1387" s="4">
        <v>4698</v>
      </c>
      <c r="J1387" t="s">
        <v>67</v>
      </c>
      <c r="K1387" t="s">
        <v>64</v>
      </c>
      <c r="L1387" s="4">
        <v>15.602184182549776</v>
      </c>
      <c r="M1387" s="1" t="s">
        <v>38</v>
      </c>
      <c r="N1387" s="11">
        <f t="shared" si="21"/>
        <v>5</v>
      </c>
    </row>
    <row r="1388" spans="1:14" ht="16" x14ac:dyDescent="0.2">
      <c r="A1388" s="3">
        <v>43437.043906264174</v>
      </c>
      <c r="B1388" s="1" t="s">
        <v>1773</v>
      </c>
      <c r="C1388" t="s">
        <v>110</v>
      </c>
      <c r="D1388">
        <v>9</v>
      </c>
      <c r="E1388">
        <v>144</v>
      </c>
      <c r="F1388">
        <v>36</v>
      </c>
      <c r="G1388">
        <v>1296</v>
      </c>
      <c r="H1388" s="4">
        <v>324</v>
      </c>
      <c r="I1388" s="4">
        <v>972</v>
      </c>
      <c r="J1388" t="s">
        <v>492</v>
      </c>
      <c r="K1388" t="s">
        <v>33</v>
      </c>
      <c r="L1388" s="4">
        <v>11.799431383856128</v>
      </c>
      <c r="M1388" s="1" t="s">
        <v>34</v>
      </c>
      <c r="N1388" s="11">
        <f t="shared" si="21"/>
        <v>1</v>
      </c>
    </row>
    <row r="1389" spans="1:14" ht="16" x14ac:dyDescent="0.2">
      <c r="A1389" s="3">
        <v>44216.84759181946</v>
      </c>
      <c r="B1389" s="1" t="s">
        <v>1774</v>
      </c>
      <c r="C1389" t="s">
        <v>188</v>
      </c>
      <c r="D1389">
        <v>18</v>
      </c>
      <c r="E1389">
        <v>368</v>
      </c>
      <c r="F1389">
        <v>92</v>
      </c>
      <c r="G1389">
        <v>6624</v>
      </c>
      <c r="H1389" s="4">
        <v>1656</v>
      </c>
      <c r="I1389" s="4">
        <v>4968</v>
      </c>
      <c r="J1389" t="s">
        <v>387</v>
      </c>
      <c r="K1389" t="s">
        <v>86</v>
      </c>
      <c r="L1389" s="4">
        <v>15.60430546146185</v>
      </c>
      <c r="M1389" s="1" t="s">
        <v>34</v>
      </c>
      <c r="N1389" s="11">
        <f t="shared" si="21"/>
        <v>1</v>
      </c>
    </row>
    <row r="1390" spans="1:14" ht="16" x14ac:dyDescent="0.2">
      <c r="A1390" s="3">
        <v>43452.212805161747</v>
      </c>
      <c r="B1390" s="1" t="s">
        <v>1775</v>
      </c>
      <c r="C1390" t="s">
        <v>257</v>
      </c>
      <c r="D1390">
        <v>7</v>
      </c>
      <c r="E1390">
        <v>160</v>
      </c>
      <c r="F1390">
        <v>80</v>
      </c>
      <c r="G1390">
        <v>1120</v>
      </c>
      <c r="H1390" s="4">
        <v>560</v>
      </c>
      <c r="I1390" s="4">
        <v>560</v>
      </c>
      <c r="J1390" t="s">
        <v>1253</v>
      </c>
      <c r="K1390" t="s">
        <v>49</v>
      </c>
      <c r="L1390" s="4">
        <v>10.518436853046438</v>
      </c>
      <c r="M1390" s="1" t="s">
        <v>38</v>
      </c>
      <c r="N1390" s="11">
        <f t="shared" si="21"/>
        <v>5</v>
      </c>
    </row>
    <row r="1391" spans="1:14" ht="16" x14ac:dyDescent="0.2">
      <c r="A1391" s="3">
        <v>43878.838528199085</v>
      </c>
      <c r="B1391" s="1" t="s">
        <v>1776</v>
      </c>
      <c r="C1391" t="s">
        <v>248</v>
      </c>
      <c r="D1391">
        <v>8</v>
      </c>
      <c r="E1391">
        <v>132</v>
      </c>
      <c r="F1391">
        <v>44</v>
      </c>
      <c r="G1391">
        <v>1056</v>
      </c>
      <c r="H1391" s="4">
        <v>352</v>
      </c>
      <c r="I1391" s="4">
        <v>704</v>
      </c>
      <c r="J1391" t="s">
        <v>1195</v>
      </c>
      <c r="K1391" t="s">
        <v>33</v>
      </c>
      <c r="L1391" s="4">
        <v>11.971065679104063</v>
      </c>
      <c r="M1391" s="1" t="s">
        <v>34</v>
      </c>
      <c r="N1391" s="11">
        <f t="shared" si="21"/>
        <v>1</v>
      </c>
    </row>
    <row r="1392" spans="1:14" ht="16" x14ac:dyDescent="0.2">
      <c r="A1392" s="3">
        <v>44913.108376449432</v>
      </c>
      <c r="B1392" s="1" t="s">
        <v>1777</v>
      </c>
      <c r="C1392" t="s">
        <v>487</v>
      </c>
      <c r="D1392">
        <v>12</v>
      </c>
      <c r="E1392">
        <v>264</v>
      </c>
      <c r="F1392">
        <v>88</v>
      </c>
      <c r="G1392">
        <v>3168</v>
      </c>
      <c r="H1392" s="4">
        <v>1056</v>
      </c>
      <c r="I1392" s="4">
        <v>2112</v>
      </c>
      <c r="J1392" t="s">
        <v>626</v>
      </c>
      <c r="K1392" t="s">
        <v>58</v>
      </c>
      <c r="L1392" s="4">
        <v>13.259563298324382</v>
      </c>
      <c r="M1392" s="1" t="s">
        <v>54</v>
      </c>
      <c r="N1392" s="11">
        <f t="shared" si="21"/>
        <v>10</v>
      </c>
    </row>
    <row r="1393" spans="1:14" ht="16" x14ac:dyDescent="0.2">
      <c r="A1393" s="3">
        <v>44180.288695380143</v>
      </c>
      <c r="B1393" s="1" t="s">
        <v>1778</v>
      </c>
      <c r="C1393" t="s">
        <v>98</v>
      </c>
      <c r="D1393">
        <v>9</v>
      </c>
      <c r="E1393">
        <v>156</v>
      </c>
      <c r="F1393">
        <v>78</v>
      </c>
      <c r="G1393">
        <v>1404</v>
      </c>
      <c r="H1393" s="4">
        <v>702</v>
      </c>
      <c r="I1393" s="4">
        <v>702</v>
      </c>
      <c r="J1393" t="s">
        <v>85</v>
      </c>
      <c r="K1393" t="s">
        <v>86</v>
      </c>
      <c r="L1393" s="4">
        <v>11.631646244583138</v>
      </c>
      <c r="M1393" s="1" t="s">
        <v>38</v>
      </c>
      <c r="N1393" s="11">
        <f t="shared" si="21"/>
        <v>5</v>
      </c>
    </row>
    <row r="1394" spans="1:14" ht="16" x14ac:dyDescent="0.2">
      <c r="A1394" s="3">
        <v>43846.466100824924</v>
      </c>
      <c r="B1394" s="1" t="s">
        <v>1779</v>
      </c>
      <c r="C1394" t="s">
        <v>88</v>
      </c>
      <c r="D1394">
        <v>16</v>
      </c>
      <c r="E1394">
        <v>210</v>
      </c>
      <c r="F1394">
        <v>70</v>
      </c>
      <c r="G1394">
        <v>3360</v>
      </c>
      <c r="H1394" s="4">
        <v>1120</v>
      </c>
      <c r="I1394" s="4">
        <v>2240</v>
      </c>
      <c r="J1394" t="s">
        <v>343</v>
      </c>
      <c r="K1394" t="s">
        <v>42</v>
      </c>
      <c r="L1394" s="4">
        <v>9.8928038181361391</v>
      </c>
      <c r="M1394" s="1" t="s">
        <v>38</v>
      </c>
      <c r="N1394" s="11">
        <f t="shared" si="21"/>
        <v>5</v>
      </c>
    </row>
    <row r="1395" spans="1:14" ht="16" x14ac:dyDescent="0.2">
      <c r="A1395" s="3">
        <v>43887.629563331655</v>
      </c>
      <c r="B1395" s="1" t="s">
        <v>1387</v>
      </c>
      <c r="C1395" t="s">
        <v>561</v>
      </c>
      <c r="D1395">
        <v>17</v>
      </c>
      <c r="E1395">
        <v>384</v>
      </c>
      <c r="F1395">
        <v>96</v>
      </c>
      <c r="G1395">
        <v>6528</v>
      </c>
      <c r="H1395" s="4">
        <v>1632</v>
      </c>
      <c r="I1395" s="4">
        <v>4896</v>
      </c>
      <c r="J1395" t="s">
        <v>197</v>
      </c>
      <c r="K1395" t="s">
        <v>49</v>
      </c>
      <c r="L1395" s="4">
        <v>13.288482149665386</v>
      </c>
      <c r="M1395" s="1" t="s">
        <v>38</v>
      </c>
      <c r="N1395" s="11">
        <f t="shared" si="21"/>
        <v>5</v>
      </c>
    </row>
    <row r="1396" spans="1:14" ht="16" x14ac:dyDescent="0.2">
      <c r="A1396" s="3">
        <v>43705.335308120106</v>
      </c>
      <c r="B1396" s="1" t="s">
        <v>1780</v>
      </c>
      <c r="C1396" t="s">
        <v>115</v>
      </c>
      <c r="D1396">
        <v>7</v>
      </c>
      <c r="E1396">
        <v>81</v>
      </c>
      <c r="F1396">
        <v>27</v>
      </c>
      <c r="G1396">
        <v>567</v>
      </c>
      <c r="H1396" s="4">
        <v>189</v>
      </c>
      <c r="I1396" s="4">
        <v>378</v>
      </c>
      <c r="J1396" t="s">
        <v>681</v>
      </c>
      <c r="K1396" t="s">
        <v>86</v>
      </c>
      <c r="L1396" s="4">
        <v>8.1628930629234038</v>
      </c>
      <c r="M1396" s="1" t="s">
        <v>34</v>
      </c>
      <c r="N1396" s="11">
        <f t="shared" si="21"/>
        <v>1</v>
      </c>
    </row>
    <row r="1397" spans="1:14" ht="16" x14ac:dyDescent="0.2">
      <c r="A1397" s="3">
        <v>44319.184853140432</v>
      </c>
      <c r="B1397" s="1" t="s">
        <v>1781</v>
      </c>
      <c r="C1397" t="s">
        <v>391</v>
      </c>
      <c r="D1397">
        <v>14</v>
      </c>
      <c r="E1397">
        <v>72</v>
      </c>
      <c r="F1397">
        <v>36</v>
      </c>
      <c r="G1397">
        <v>1008</v>
      </c>
      <c r="H1397" s="4">
        <v>504</v>
      </c>
      <c r="I1397" s="4">
        <v>504</v>
      </c>
      <c r="J1397" t="s">
        <v>253</v>
      </c>
      <c r="K1397" t="s">
        <v>53</v>
      </c>
      <c r="L1397" s="4">
        <v>13.918153610259502</v>
      </c>
      <c r="M1397" s="1" t="s">
        <v>54</v>
      </c>
      <c r="N1397" s="11">
        <f t="shared" si="21"/>
        <v>10</v>
      </c>
    </row>
    <row r="1398" spans="1:14" ht="16" x14ac:dyDescent="0.2">
      <c r="A1398" s="3">
        <v>44517.046820477917</v>
      </c>
      <c r="B1398" s="1" t="s">
        <v>1782</v>
      </c>
      <c r="C1398" t="s">
        <v>148</v>
      </c>
      <c r="D1398">
        <v>6</v>
      </c>
      <c r="E1398">
        <v>144</v>
      </c>
      <c r="F1398">
        <v>36</v>
      </c>
      <c r="G1398">
        <v>864</v>
      </c>
      <c r="H1398" s="4">
        <v>216</v>
      </c>
      <c r="I1398" s="4">
        <v>648</v>
      </c>
      <c r="J1398" t="s">
        <v>207</v>
      </c>
      <c r="K1398" t="s">
        <v>42</v>
      </c>
      <c r="L1398" s="4">
        <v>12.177709716438097</v>
      </c>
      <c r="M1398" s="1" t="s">
        <v>38</v>
      </c>
      <c r="N1398" s="11">
        <f t="shared" si="21"/>
        <v>5</v>
      </c>
    </row>
    <row r="1399" spans="1:14" ht="16" x14ac:dyDescent="0.2">
      <c r="A1399" s="3">
        <v>44442.619547411545</v>
      </c>
      <c r="B1399" s="1" t="s">
        <v>1443</v>
      </c>
      <c r="C1399" t="s">
        <v>93</v>
      </c>
      <c r="D1399">
        <v>4</v>
      </c>
      <c r="E1399">
        <v>204</v>
      </c>
      <c r="F1399">
        <v>51</v>
      </c>
      <c r="G1399">
        <v>816</v>
      </c>
      <c r="H1399" s="4">
        <v>204</v>
      </c>
      <c r="I1399" s="4">
        <v>612</v>
      </c>
      <c r="J1399" t="s">
        <v>890</v>
      </c>
      <c r="K1399" t="s">
        <v>86</v>
      </c>
      <c r="L1399" s="4">
        <v>15.856807810268592</v>
      </c>
      <c r="M1399" s="1" t="s">
        <v>38</v>
      </c>
      <c r="N1399" s="11">
        <f t="shared" si="21"/>
        <v>5</v>
      </c>
    </row>
    <row r="1400" spans="1:14" ht="16" x14ac:dyDescent="0.2">
      <c r="A1400" s="3">
        <v>42947.152160668222</v>
      </c>
      <c r="B1400" s="1" t="s">
        <v>1783</v>
      </c>
      <c r="C1400" t="s">
        <v>40</v>
      </c>
      <c r="D1400">
        <v>1</v>
      </c>
      <c r="E1400">
        <v>46</v>
      </c>
      <c r="F1400">
        <v>23</v>
      </c>
      <c r="G1400">
        <v>46</v>
      </c>
      <c r="H1400" s="4">
        <v>23</v>
      </c>
      <c r="I1400" s="4">
        <v>23</v>
      </c>
      <c r="J1400" t="s">
        <v>221</v>
      </c>
      <c r="K1400" t="s">
        <v>49</v>
      </c>
      <c r="L1400" s="4">
        <v>12.396052160428608</v>
      </c>
      <c r="M1400" s="1" t="s">
        <v>38</v>
      </c>
      <c r="N1400" s="11">
        <f t="shared" si="21"/>
        <v>5</v>
      </c>
    </row>
    <row r="1401" spans="1:14" ht="16" x14ac:dyDescent="0.2">
      <c r="A1401" s="3">
        <v>44148.682877742547</v>
      </c>
      <c r="B1401" s="1" t="s">
        <v>1784</v>
      </c>
      <c r="C1401" t="s">
        <v>328</v>
      </c>
      <c r="D1401">
        <v>16</v>
      </c>
      <c r="E1401">
        <v>124</v>
      </c>
      <c r="F1401">
        <v>62</v>
      </c>
      <c r="G1401">
        <v>1984</v>
      </c>
      <c r="H1401" s="4">
        <v>992</v>
      </c>
      <c r="I1401" s="4">
        <v>992</v>
      </c>
      <c r="J1401" t="s">
        <v>603</v>
      </c>
      <c r="K1401" t="s">
        <v>64</v>
      </c>
      <c r="L1401" s="4">
        <v>11.072271050116964</v>
      </c>
      <c r="M1401" s="1" t="s">
        <v>38</v>
      </c>
      <c r="N1401" s="11">
        <f t="shared" si="21"/>
        <v>5</v>
      </c>
    </row>
    <row r="1402" spans="1:14" ht="16" x14ac:dyDescent="0.2">
      <c r="A1402" s="3">
        <v>43981.917701819795</v>
      </c>
      <c r="B1402" s="1" t="s">
        <v>1785</v>
      </c>
      <c r="C1402" t="s">
        <v>365</v>
      </c>
      <c r="D1402">
        <v>19</v>
      </c>
      <c r="E1402">
        <v>255</v>
      </c>
      <c r="F1402">
        <v>85</v>
      </c>
      <c r="G1402">
        <v>4845</v>
      </c>
      <c r="H1402" s="4">
        <v>1615</v>
      </c>
      <c r="I1402" s="4">
        <v>3230</v>
      </c>
      <c r="J1402" t="s">
        <v>444</v>
      </c>
      <c r="K1402" t="s">
        <v>42</v>
      </c>
      <c r="L1402" s="4">
        <v>15.861056998489449</v>
      </c>
      <c r="M1402" s="1" t="s">
        <v>54</v>
      </c>
      <c r="N1402" s="11">
        <f t="shared" si="21"/>
        <v>10</v>
      </c>
    </row>
    <row r="1403" spans="1:14" ht="16" x14ac:dyDescent="0.2">
      <c r="A1403" s="3">
        <v>43924.000230065409</v>
      </c>
      <c r="B1403" s="1" t="s">
        <v>1786</v>
      </c>
      <c r="C1403" t="s">
        <v>125</v>
      </c>
      <c r="D1403">
        <v>1</v>
      </c>
      <c r="E1403">
        <v>176</v>
      </c>
      <c r="F1403">
        <v>88</v>
      </c>
      <c r="G1403">
        <v>176</v>
      </c>
      <c r="H1403" s="4">
        <v>88</v>
      </c>
      <c r="I1403" s="4">
        <v>88</v>
      </c>
      <c r="J1403" t="s">
        <v>341</v>
      </c>
      <c r="K1403" t="s">
        <v>64</v>
      </c>
      <c r="L1403" s="4">
        <v>10.816866337473218</v>
      </c>
      <c r="M1403" s="1" t="s">
        <v>38</v>
      </c>
      <c r="N1403" s="11">
        <f t="shared" si="21"/>
        <v>5</v>
      </c>
    </row>
    <row r="1404" spans="1:14" ht="16" x14ac:dyDescent="0.2">
      <c r="A1404" s="3">
        <v>44376.156075199709</v>
      </c>
      <c r="B1404" s="1" t="s">
        <v>1787</v>
      </c>
      <c r="C1404" t="s">
        <v>178</v>
      </c>
      <c r="D1404">
        <v>13</v>
      </c>
      <c r="E1404">
        <v>189</v>
      </c>
      <c r="F1404">
        <v>63</v>
      </c>
      <c r="G1404">
        <v>2457</v>
      </c>
      <c r="H1404" s="4">
        <v>819</v>
      </c>
      <c r="I1404" s="4">
        <v>1638</v>
      </c>
      <c r="J1404" t="s">
        <v>363</v>
      </c>
      <c r="K1404" t="s">
        <v>64</v>
      </c>
      <c r="L1404" s="4">
        <v>14.690198582365463</v>
      </c>
      <c r="M1404" s="1" t="s">
        <v>54</v>
      </c>
      <c r="N1404" s="11">
        <f t="shared" si="21"/>
        <v>10</v>
      </c>
    </row>
    <row r="1405" spans="1:14" ht="16" x14ac:dyDescent="0.2">
      <c r="A1405" s="3">
        <v>43956.149534796998</v>
      </c>
      <c r="B1405" s="1" t="s">
        <v>1788</v>
      </c>
      <c r="C1405" t="s">
        <v>779</v>
      </c>
      <c r="D1405">
        <v>12</v>
      </c>
      <c r="E1405">
        <v>120</v>
      </c>
      <c r="F1405">
        <v>30</v>
      </c>
      <c r="G1405">
        <v>1440</v>
      </c>
      <c r="H1405" s="4">
        <v>360</v>
      </c>
      <c r="I1405" s="4">
        <v>1080</v>
      </c>
      <c r="J1405" t="s">
        <v>429</v>
      </c>
      <c r="K1405" t="s">
        <v>33</v>
      </c>
      <c r="L1405" s="4">
        <v>11.701919153133453</v>
      </c>
      <c r="M1405" s="1" t="s">
        <v>34</v>
      </c>
      <c r="N1405" s="11">
        <f t="shared" si="21"/>
        <v>1</v>
      </c>
    </row>
    <row r="1406" spans="1:14" ht="16" x14ac:dyDescent="0.2">
      <c r="A1406" s="3">
        <v>43830.13631357596</v>
      </c>
      <c r="B1406" s="1" t="s">
        <v>1789</v>
      </c>
      <c r="C1406" t="s">
        <v>340</v>
      </c>
      <c r="D1406">
        <v>12</v>
      </c>
      <c r="E1406">
        <v>180</v>
      </c>
      <c r="F1406">
        <v>45</v>
      </c>
      <c r="G1406">
        <v>2160</v>
      </c>
      <c r="H1406" s="4">
        <v>540</v>
      </c>
      <c r="I1406" s="4">
        <v>1620</v>
      </c>
      <c r="J1406" t="s">
        <v>116</v>
      </c>
      <c r="K1406" t="s">
        <v>64</v>
      </c>
      <c r="L1406" s="4">
        <v>14.697745043716761</v>
      </c>
      <c r="M1406" s="1" t="s">
        <v>38</v>
      </c>
      <c r="N1406" s="11">
        <f t="shared" si="21"/>
        <v>5</v>
      </c>
    </row>
    <row r="1407" spans="1:14" ht="16" x14ac:dyDescent="0.2">
      <c r="A1407" s="3">
        <v>44617.498831748948</v>
      </c>
      <c r="B1407" s="1" t="s">
        <v>1790</v>
      </c>
      <c r="C1407" t="s">
        <v>93</v>
      </c>
      <c r="D1407">
        <v>11</v>
      </c>
      <c r="E1407">
        <v>204</v>
      </c>
      <c r="F1407">
        <v>51</v>
      </c>
      <c r="G1407">
        <v>2244</v>
      </c>
      <c r="H1407" s="4">
        <v>561</v>
      </c>
      <c r="I1407" s="4">
        <v>1683</v>
      </c>
      <c r="J1407" t="s">
        <v>738</v>
      </c>
      <c r="K1407" t="s">
        <v>33</v>
      </c>
      <c r="L1407" s="4">
        <v>12.985332015423809</v>
      </c>
      <c r="M1407" s="1" t="s">
        <v>54</v>
      </c>
      <c r="N1407" s="11">
        <f t="shared" si="21"/>
        <v>10</v>
      </c>
    </row>
    <row r="1408" spans="1:14" ht="16" x14ac:dyDescent="0.2">
      <c r="A1408" s="3">
        <v>43482.176096941344</v>
      </c>
      <c r="B1408" s="1" t="s">
        <v>1791</v>
      </c>
      <c r="C1408" t="s">
        <v>375</v>
      </c>
      <c r="D1408">
        <v>2</v>
      </c>
      <c r="E1408">
        <v>360</v>
      </c>
      <c r="F1408">
        <v>90</v>
      </c>
      <c r="G1408">
        <v>720</v>
      </c>
      <c r="H1408" s="4">
        <v>180</v>
      </c>
      <c r="I1408" s="4">
        <v>540</v>
      </c>
      <c r="J1408" t="s">
        <v>186</v>
      </c>
      <c r="K1408" t="s">
        <v>58</v>
      </c>
      <c r="L1408" s="4">
        <v>11.31221475547909</v>
      </c>
      <c r="M1408" s="1" t="s">
        <v>38</v>
      </c>
      <c r="N1408" s="11">
        <f t="shared" si="21"/>
        <v>5</v>
      </c>
    </row>
    <row r="1409" spans="1:14" ht="16" x14ac:dyDescent="0.2">
      <c r="A1409" s="3">
        <v>44513.243270293766</v>
      </c>
      <c r="B1409" s="1" t="s">
        <v>1792</v>
      </c>
      <c r="C1409" t="s">
        <v>88</v>
      </c>
      <c r="D1409">
        <v>8</v>
      </c>
      <c r="E1409">
        <v>210</v>
      </c>
      <c r="F1409">
        <v>70</v>
      </c>
      <c r="G1409">
        <v>1680</v>
      </c>
      <c r="H1409" s="4">
        <v>560</v>
      </c>
      <c r="I1409" s="4">
        <v>1120</v>
      </c>
      <c r="J1409" t="s">
        <v>745</v>
      </c>
      <c r="K1409" t="s">
        <v>33</v>
      </c>
      <c r="L1409" s="4">
        <v>9.1057685343725456</v>
      </c>
      <c r="M1409" s="1" t="s">
        <v>54</v>
      </c>
      <c r="N1409" s="11">
        <f t="shared" si="21"/>
        <v>10</v>
      </c>
    </row>
    <row r="1410" spans="1:14" ht="16" x14ac:dyDescent="0.2">
      <c r="A1410" s="3">
        <v>43328.115539627906</v>
      </c>
      <c r="B1410" s="1" t="s">
        <v>1793</v>
      </c>
      <c r="C1410" t="s">
        <v>145</v>
      </c>
      <c r="D1410">
        <v>8</v>
      </c>
      <c r="E1410">
        <v>207</v>
      </c>
      <c r="F1410">
        <v>69</v>
      </c>
      <c r="G1410">
        <v>1656</v>
      </c>
      <c r="H1410" s="4">
        <v>552</v>
      </c>
      <c r="I1410" s="4">
        <v>1104</v>
      </c>
      <c r="J1410" t="s">
        <v>99</v>
      </c>
      <c r="K1410" t="s">
        <v>86</v>
      </c>
      <c r="L1410" s="4">
        <v>15.140903556171683</v>
      </c>
      <c r="M1410" s="1" t="s">
        <v>54</v>
      </c>
      <c r="N1410" s="11">
        <f t="shared" si="21"/>
        <v>10</v>
      </c>
    </row>
    <row r="1411" spans="1:14" ht="16" x14ac:dyDescent="0.2">
      <c r="A1411" s="3">
        <v>43996.433224268112</v>
      </c>
      <c r="B1411" s="1" t="s">
        <v>1794</v>
      </c>
      <c r="C1411" t="s">
        <v>370</v>
      </c>
      <c r="D1411">
        <v>6</v>
      </c>
      <c r="E1411">
        <v>144</v>
      </c>
      <c r="F1411">
        <v>36</v>
      </c>
      <c r="G1411">
        <v>864</v>
      </c>
      <c r="H1411" s="4">
        <v>216</v>
      </c>
      <c r="I1411" s="4">
        <v>648</v>
      </c>
      <c r="J1411" t="s">
        <v>318</v>
      </c>
      <c r="K1411" t="s">
        <v>33</v>
      </c>
      <c r="L1411" s="4">
        <v>9.0350666811770921</v>
      </c>
      <c r="M1411" s="1" t="s">
        <v>38</v>
      </c>
      <c r="N1411" s="11">
        <f t="shared" ref="N1411:N1474" si="22">+IF(M1411="Dissatisfied",1,IF(M1411="Satisfied",10,5))</f>
        <v>5</v>
      </c>
    </row>
    <row r="1412" spans="1:14" ht="16" x14ac:dyDescent="0.2">
      <c r="A1412" s="3">
        <v>43817.673973560726</v>
      </c>
      <c r="B1412" s="1" t="s">
        <v>1795</v>
      </c>
      <c r="C1412" t="s">
        <v>93</v>
      </c>
      <c r="D1412">
        <v>12</v>
      </c>
      <c r="E1412">
        <v>204</v>
      </c>
      <c r="F1412">
        <v>51</v>
      </c>
      <c r="G1412">
        <v>2448</v>
      </c>
      <c r="H1412" s="4">
        <v>612</v>
      </c>
      <c r="I1412" s="4">
        <v>1836</v>
      </c>
      <c r="J1412" t="s">
        <v>804</v>
      </c>
      <c r="K1412" t="s">
        <v>53</v>
      </c>
      <c r="L1412" s="4">
        <v>9.4608554813364627</v>
      </c>
      <c r="M1412" s="1" t="s">
        <v>38</v>
      </c>
      <c r="N1412" s="11">
        <f t="shared" si="22"/>
        <v>5</v>
      </c>
    </row>
    <row r="1413" spans="1:14" ht="16" x14ac:dyDescent="0.2">
      <c r="A1413" s="3">
        <v>43496.547832154465</v>
      </c>
      <c r="B1413" s="1" t="s">
        <v>1796</v>
      </c>
      <c r="C1413" t="s">
        <v>115</v>
      </c>
      <c r="D1413">
        <v>5</v>
      </c>
      <c r="E1413">
        <v>81</v>
      </c>
      <c r="F1413">
        <v>27</v>
      </c>
      <c r="G1413">
        <v>405</v>
      </c>
      <c r="H1413" s="4">
        <v>135</v>
      </c>
      <c r="I1413" s="4">
        <v>270</v>
      </c>
      <c r="J1413" t="s">
        <v>121</v>
      </c>
      <c r="K1413" t="s">
        <v>64</v>
      </c>
      <c r="L1413" s="4">
        <v>14.16303548174143</v>
      </c>
      <c r="M1413" s="1" t="s">
        <v>38</v>
      </c>
      <c r="N1413" s="11">
        <f t="shared" si="22"/>
        <v>5</v>
      </c>
    </row>
    <row r="1414" spans="1:14" ht="16" x14ac:dyDescent="0.2">
      <c r="A1414" s="3">
        <v>43671.909148464372</v>
      </c>
      <c r="B1414" s="1" t="s">
        <v>1797</v>
      </c>
      <c r="C1414" t="s">
        <v>204</v>
      </c>
      <c r="D1414">
        <v>1</v>
      </c>
      <c r="E1414">
        <v>57</v>
      </c>
      <c r="F1414">
        <v>19</v>
      </c>
      <c r="G1414">
        <v>57</v>
      </c>
      <c r="H1414" s="4">
        <v>19</v>
      </c>
      <c r="I1414" s="4">
        <v>38</v>
      </c>
      <c r="J1414" t="s">
        <v>539</v>
      </c>
      <c r="K1414" t="s">
        <v>49</v>
      </c>
      <c r="L1414" s="4">
        <v>10.954865572729823</v>
      </c>
      <c r="M1414" s="1" t="s">
        <v>34</v>
      </c>
      <c r="N1414" s="11">
        <f t="shared" si="22"/>
        <v>1</v>
      </c>
    </row>
    <row r="1415" spans="1:14" ht="16" x14ac:dyDescent="0.2">
      <c r="A1415" s="3">
        <v>44161.169396799851</v>
      </c>
      <c r="B1415" s="1" t="s">
        <v>1798</v>
      </c>
      <c r="C1415" t="s">
        <v>487</v>
      </c>
      <c r="D1415">
        <v>16</v>
      </c>
      <c r="E1415">
        <v>264</v>
      </c>
      <c r="F1415">
        <v>88</v>
      </c>
      <c r="G1415">
        <v>4224</v>
      </c>
      <c r="H1415" s="4">
        <v>1408</v>
      </c>
      <c r="I1415" s="4">
        <v>2816</v>
      </c>
      <c r="J1415" t="s">
        <v>210</v>
      </c>
      <c r="K1415" t="s">
        <v>58</v>
      </c>
      <c r="L1415" s="4">
        <v>11.995406972581796</v>
      </c>
      <c r="M1415" s="1" t="s">
        <v>38</v>
      </c>
      <c r="N1415" s="11">
        <f t="shared" si="22"/>
        <v>5</v>
      </c>
    </row>
    <row r="1416" spans="1:14" ht="16" x14ac:dyDescent="0.2">
      <c r="A1416" s="3">
        <v>44193.67029268686</v>
      </c>
      <c r="B1416" s="1" t="s">
        <v>1799</v>
      </c>
      <c r="C1416" t="s">
        <v>286</v>
      </c>
      <c r="D1416">
        <v>4</v>
      </c>
      <c r="E1416">
        <v>34</v>
      </c>
      <c r="F1416">
        <v>17</v>
      </c>
      <c r="G1416">
        <v>136</v>
      </c>
      <c r="H1416" s="4">
        <v>68</v>
      </c>
      <c r="I1416" s="4">
        <v>68</v>
      </c>
      <c r="J1416" t="s">
        <v>1401</v>
      </c>
      <c r="K1416" t="s">
        <v>58</v>
      </c>
      <c r="L1416" s="4">
        <v>11.0700865530371</v>
      </c>
      <c r="M1416" s="1" t="s">
        <v>34</v>
      </c>
      <c r="N1416" s="11">
        <f t="shared" si="22"/>
        <v>1</v>
      </c>
    </row>
    <row r="1417" spans="1:14" ht="16" x14ac:dyDescent="0.2">
      <c r="A1417" s="3">
        <v>44518.517190696672</v>
      </c>
      <c r="B1417" s="1" t="s">
        <v>1800</v>
      </c>
      <c r="C1417" t="s">
        <v>252</v>
      </c>
      <c r="D1417">
        <v>9</v>
      </c>
      <c r="E1417">
        <v>252</v>
      </c>
      <c r="F1417">
        <v>63</v>
      </c>
      <c r="G1417">
        <v>2268</v>
      </c>
      <c r="H1417" s="4">
        <v>567</v>
      </c>
      <c r="I1417" s="4">
        <v>1701</v>
      </c>
      <c r="J1417" t="s">
        <v>1101</v>
      </c>
      <c r="K1417" t="s">
        <v>33</v>
      </c>
      <c r="L1417" s="4">
        <v>9.8776671534059073</v>
      </c>
      <c r="M1417" s="1" t="s">
        <v>38</v>
      </c>
      <c r="N1417" s="11">
        <f t="shared" si="22"/>
        <v>5</v>
      </c>
    </row>
    <row r="1418" spans="1:14" ht="16" x14ac:dyDescent="0.2">
      <c r="A1418" s="3">
        <v>44413.378939664493</v>
      </c>
      <c r="B1418" s="1" t="s">
        <v>1801</v>
      </c>
      <c r="C1418" t="s">
        <v>312</v>
      </c>
      <c r="D1418">
        <v>3</v>
      </c>
      <c r="E1418">
        <v>240</v>
      </c>
      <c r="F1418">
        <v>80</v>
      </c>
      <c r="G1418">
        <v>720</v>
      </c>
      <c r="H1418" s="4">
        <v>240</v>
      </c>
      <c r="I1418" s="4">
        <v>480</v>
      </c>
      <c r="J1418" t="s">
        <v>665</v>
      </c>
      <c r="K1418" t="s">
        <v>33</v>
      </c>
      <c r="L1418" s="4">
        <v>6.9183250411917196</v>
      </c>
      <c r="M1418" s="1" t="s">
        <v>38</v>
      </c>
      <c r="N1418" s="11">
        <f t="shared" si="22"/>
        <v>5</v>
      </c>
    </row>
    <row r="1419" spans="1:14" ht="16" x14ac:dyDescent="0.2">
      <c r="A1419" s="3">
        <v>45006.304126537703</v>
      </c>
      <c r="B1419" s="1" t="s">
        <v>1802</v>
      </c>
      <c r="C1419" t="s">
        <v>337</v>
      </c>
      <c r="D1419">
        <v>19</v>
      </c>
      <c r="E1419">
        <v>135</v>
      </c>
      <c r="F1419">
        <v>45</v>
      </c>
      <c r="G1419">
        <v>2565</v>
      </c>
      <c r="H1419" s="4">
        <v>855</v>
      </c>
      <c r="I1419" s="4">
        <v>1710</v>
      </c>
      <c r="J1419" t="s">
        <v>1273</v>
      </c>
      <c r="K1419" t="s">
        <v>42</v>
      </c>
      <c r="L1419" s="4">
        <v>12.427459362224146</v>
      </c>
      <c r="M1419" s="1" t="s">
        <v>38</v>
      </c>
      <c r="N1419" s="11">
        <f t="shared" si="22"/>
        <v>5</v>
      </c>
    </row>
    <row r="1420" spans="1:14" ht="16" x14ac:dyDescent="0.2">
      <c r="A1420" s="3">
        <v>43454.943970879511</v>
      </c>
      <c r="B1420" s="1" t="s">
        <v>1803</v>
      </c>
      <c r="C1420" t="s">
        <v>375</v>
      </c>
      <c r="D1420">
        <v>6</v>
      </c>
      <c r="E1420">
        <v>360</v>
      </c>
      <c r="F1420">
        <v>90</v>
      </c>
      <c r="G1420">
        <v>2160</v>
      </c>
      <c r="H1420" s="4">
        <v>540</v>
      </c>
      <c r="I1420" s="4">
        <v>1620</v>
      </c>
      <c r="J1420" t="s">
        <v>528</v>
      </c>
      <c r="K1420" t="s">
        <v>33</v>
      </c>
      <c r="L1420" s="4">
        <v>11.003496633574638</v>
      </c>
      <c r="M1420" s="1" t="s">
        <v>38</v>
      </c>
      <c r="N1420" s="11">
        <f t="shared" si="22"/>
        <v>5</v>
      </c>
    </row>
    <row r="1421" spans="1:14" ht="16" x14ac:dyDescent="0.2">
      <c r="A1421" s="3">
        <v>44082.764031396764</v>
      </c>
      <c r="B1421" s="1" t="s">
        <v>1804</v>
      </c>
      <c r="C1421" t="s">
        <v>304</v>
      </c>
      <c r="D1421">
        <v>14</v>
      </c>
      <c r="E1421">
        <v>116</v>
      </c>
      <c r="F1421">
        <v>29</v>
      </c>
      <c r="G1421">
        <v>1624</v>
      </c>
      <c r="H1421" s="4">
        <v>406</v>
      </c>
      <c r="I1421" s="4">
        <v>1218</v>
      </c>
      <c r="J1421" t="s">
        <v>968</v>
      </c>
      <c r="K1421" t="s">
        <v>42</v>
      </c>
      <c r="L1421" s="4">
        <v>11.961761925704458</v>
      </c>
      <c r="M1421" s="1" t="s">
        <v>38</v>
      </c>
      <c r="N1421" s="11">
        <f t="shared" si="22"/>
        <v>5</v>
      </c>
    </row>
    <row r="1422" spans="1:14" ht="16" x14ac:dyDescent="0.2">
      <c r="A1422" s="3">
        <v>44019.274588528853</v>
      </c>
      <c r="B1422" s="1" t="s">
        <v>1805</v>
      </c>
      <c r="C1422" t="s">
        <v>218</v>
      </c>
      <c r="D1422">
        <v>20</v>
      </c>
      <c r="E1422">
        <v>264</v>
      </c>
      <c r="F1422">
        <v>88</v>
      </c>
      <c r="G1422">
        <v>5280</v>
      </c>
      <c r="H1422" s="4">
        <v>1760</v>
      </c>
      <c r="I1422" s="4">
        <v>3520</v>
      </c>
      <c r="J1422" t="s">
        <v>116</v>
      </c>
      <c r="K1422" t="s">
        <v>64</v>
      </c>
      <c r="L1422" s="4">
        <v>14.697745043716761</v>
      </c>
      <c r="M1422" s="1" t="s">
        <v>54</v>
      </c>
      <c r="N1422" s="11">
        <f t="shared" si="22"/>
        <v>10</v>
      </c>
    </row>
    <row r="1423" spans="1:14" ht="16" x14ac:dyDescent="0.2">
      <c r="A1423" s="3">
        <v>43938.396746022023</v>
      </c>
      <c r="B1423" s="1" t="s">
        <v>1806</v>
      </c>
      <c r="C1423" t="s">
        <v>257</v>
      </c>
      <c r="D1423">
        <v>9</v>
      </c>
      <c r="E1423">
        <v>160</v>
      </c>
      <c r="F1423">
        <v>80</v>
      </c>
      <c r="G1423">
        <v>1440</v>
      </c>
      <c r="H1423" s="4">
        <v>720</v>
      </c>
      <c r="I1423" s="4">
        <v>720</v>
      </c>
      <c r="J1423" t="s">
        <v>205</v>
      </c>
      <c r="K1423" t="s">
        <v>33</v>
      </c>
      <c r="L1423" s="4">
        <v>12.007834550770397</v>
      </c>
      <c r="M1423" s="1" t="s">
        <v>38</v>
      </c>
      <c r="N1423" s="11">
        <f t="shared" si="22"/>
        <v>5</v>
      </c>
    </row>
    <row r="1424" spans="1:14" ht="16" x14ac:dyDescent="0.2">
      <c r="A1424" s="3">
        <v>44392.394902484608</v>
      </c>
      <c r="B1424" s="1" t="s">
        <v>1807</v>
      </c>
      <c r="C1424" t="s">
        <v>98</v>
      </c>
      <c r="D1424">
        <v>1</v>
      </c>
      <c r="E1424">
        <v>156</v>
      </c>
      <c r="F1424">
        <v>78</v>
      </c>
      <c r="G1424">
        <v>156</v>
      </c>
      <c r="H1424" s="4">
        <v>78</v>
      </c>
      <c r="I1424" s="4">
        <v>78</v>
      </c>
      <c r="J1424" t="s">
        <v>477</v>
      </c>
      <c r="K1424" t="s">
        <v>53</v>
      </c>
      <c r="L1424" s="4">
        <v>14.845213075061906</v>
      </c>
      <c r="M1424" s="1" t="s">
        <v>38</v>
      </c>
      <c r="N1424" s="11">
        <f t="shared" si="22"/>
        <v>5</v>
      </c>
    </row>
    <row r="1425" spans="1:14" ht="16" x14ac:dyDescent="0.2">
      <c r="A1425" s="3">
        <v>43883.571482367814</v>
      </c>
      <c r="B1425" s="1" t="s">
        <v>908</v>
      </c>
      <c r="C1425" t="s">
        <v>136</v>
      </c>
      <c r="D1425">
        <v>15</v>
      </c>
      <c r="E1425">
        <v>154</v>
      </c>
      <c r="F1425">
        <v>77</v>
      </c>
      <c r="G1425">
        <v>2310</v>
      </c>
      <c r="H1425" s="4">
        <v>1155</v>
      </c>
      <c r="I1425" s="4">
        <v>1155</v>
      </c>
      <c r="J1425" t="s">
        <v>635</v>
      </c>
      <c r="K1425" t="s">
        <v>33</v>
      </c>
      <c r="L1425" s="4">
        <v>15.478388039566896</v>
      </c>
      <c r="M1425" s="1" t="s">
        <v>38</v>
      </c>
      <c r="N1425" s="11">
        <f t="shared" si="22"/>
        <v>5</v>
      </c>
    </row>
    <row r="1426" spans="1:14" ht="16" x14ac:dyDescent="0.2">
      <c r="A1426" s="3">
        <v>44271.628313653528</v>
      </c>
      <c r="B1426" s="1" t="s">
        <v>1808</v>
      </c>
      <c r="C1426" t="s">
        <v>69</v>
      </c>
      <c r="D1426">
        <v>14</v>
      </c>
      <c r="E1426">
        <v>184</v>
      </c>
      <c r="F1426">
        <v>92</v>
      </c>
      <c r="G1426">
        <v>2576</v>
      </c>
      <c r="H1426" s="4">
        <v>1288</v>
      </c>
      <c r="I1426" s="4">
        <v>1288</v>
      </c>
      <c r="J1426" t="s">
        <v>223</v>
      </c>
      <c r="K1426" t="s">
        <v>64</v>
      </c>
      <c r="L1426" s="4">
        <v>14.030594525378042</v>
      </c>
      <c r="M1426" s="1" t="s">
        <v>54</v>
      </c>
      <c r="N1426" s="11">
        <f t="shared" si="22"/>
        <v>10</v>
      </c>
    </row>
    <row r="1427" spans="1:14" ht="16" x14ac:dyDescent="0.2">
      <c r="A1427" s="3">
        <v>44074.00285322027</v>
      </c>
      <c r="B1427" s="1" t="s">
        <v>1809</v>
      </c>
      <c r="C1427" t="s">
        <v>188</v>
      </c>
      <c r="D1427">
        <v>15</v>
      </c>
      <c r="E1427">
        <v>368</v>
      </c>
      <c r="F1427">
        <v>92</v>
      </c>
      <c r="G1427">
        <v>5520</v>
      </c>
      <c r="H1427" s="4">
        <v>1380</v>
      </c>
      <c r="I1427" s="4">
        <v>4140</v>
      </c>
      <c r="J1427" t="s">
        <v>406</v>
      </c>
      <c r="K1427" t="s">
        <v>58</v>
      </c>
      <c r="L1427" s="4">
        <v>11.082295381980092</v>
      </c>
      <c r="M1427" s="1" t="s">
        <v>54</v>
      </c>
      <c r="N1427" s="11">
        <f t="shared" si="22"/>
        <v>10</v>
      </c>
    </row>
    <row r="1428" spans="1:14" ht="16" x14ac:dyDescent="0.2">
      <c r="A1428" s="3">
        <v>43658.601283456439</v>
      </c>
      <c r="B1428" s="1" t="s">
        <v>1810</v>
      </c>
      <c r="C1428" t="s">
        <v>212</v>
      </c>
      <c r="D1428">
        <v>19</v>
      </c>
      <c r="E1428">
        <v>300</v>
      </c>
      <c r="F1428">
        <v>75</v>
      </c>
      <c r="G1428">
        <v>5700</v>
      </c>
      <c r="H1428" s="4">
        <v>1425</v>
      </c>
      <c r="I1428" s="4">
        <v>4275</v>
      </c>
      <c r="J1428" t="s">
        <v>106</v>
      </c>
      <c r="K1428" t="s">
        <v>42</v>
      </c>
      <c r="L1428" s="4">
        <v>13.717776078041958</v>
      </c>
      <c r="M1428" s="1" t="s">
        <v>38</v>
      </c>
      <c r="N1428" s="11">
        <f t="shared" si="22"/>
        <v>5</v>
      </c>
    </row>
    <row r="1429" spans="1:14" ht="16" x14ac:dyDescent="0.2">
      <c r="A1429" s="3">
        <v>44220.657981189914</v>
      </c>
      <c r="B1429" s="1" t="s">
        <v>1808</v>
      </c>
      <c r="C1429" t="s">
        <v>136</v>
      </c>
      <c r="D1429">
        <v>2</v>
      </c>
      <c r="E1429">
        <v>154</v>
      </c>
      <c r="F1429">
        <v>77</v>
      </c>
      <c r="G1429">
        <v>308</v>
      </c>
      <c r="H1429" s="4">
        <v>154</v>
      </c>
      <c r="I1429" s="4">
        <v>154</v>
      </c>
      <c r="J1429" t="s">
        <v>67</v>
      </c>
      <c r="K1429" t="s">
        <v>64</v>
      </c>
      <c r="L1429" s="4">
        <v>15.602184182549776</v>
      </c>
      <c r="M1429" s="1" t="s">
        <v>38</v>
      </c>
      <c r="N1429" s="11">
        <f t="shared" si="22"/>
        <v>5</v>
      </c>
    </row>
    <row r="1430" spans="1:14" ht="16" x14ac:dyDescent="0.2">
      <c r="A1430" s="3">
        <v>44023.360140012192</v>
      </c>
      <c r="B1430" s="1" t="s">
        <v>59</v>
      </c>
      <c r="C1430" t="s">
        <v>105</v>
      </c>
      <c r="D1430">
        <v>1</v>
      </c>
      <c r="E1430">
        <v>201</v>
      </c>
      <c r="F1430">
        <v>67</v>
      </c>
      <c r="G1430">
        <v>201</v>
      </c>
      <c r="H1430" s="4">
        <v>67</v>
      </c>
      <c r="I1430" s="4">
        <v>134</v>
      </c>
      <c r="J1430" t="s">
        <v>1065</v>
      </c>
      <c r="K1430" t="s">
        <v>53</v>
      </c>
      <c r="L1430" s="4">
        <v>13.00553764131261</v>
      </c>
      <c r="M1430" s="1" t="s">
        <v>54</v>
      </c>
      <c r="N1430" s="11">
        <f t="shared" si="22"/>
        <v>10</v>
      </c>
    </row>
    <row r="1431" spans="1:14" ht="16" x14ac:dyDescent="0.2">
      <c r="A1431" s="3">
        <v>44852.307933346812</v>
      </c>
      <c r="B1431" s="1" t="s">
        <v>1811</v>
      </c>
      <c r="C1431" t="s">
        <v>84</v>
      </c>
      <c r="D1431">
        <v>10</v>
      </c>
      <c r="E1431">
        <v>126</v>
      </c>
      <c r="F1431">
        <v>42</v>
      </c>
      <c r="G1431">
        <v>1260</v>
      </c>
      <c r="H1431" s="4">
        <v>420</v>
      </c>
      <c r="I1431" s="4">
        <v>840</v>
      </c>
      <c r="J1431" t="s">
        <v>183</v>
      </c>
      <c r="K1431" t="s">
        <v>58</v>
      </c>
      <c r="L1431" s="4">
        <v>11.939773463335372</v>
      </c>
      <c r="M1431" s="1" t="s">
        <v>34</v>
      </c>
      <c r="N1431" s="11">
        <f t="shared" si="22"/>
        <v>1</v>
      </c>
    </row>
    <row r="1432" spans="1:14" ht="16" x14ac:dyDescent="0.2">
      <c r="A1432" s="3">
        <v>43625.285497458382</v>
      </c>
      <c r="B1432" s="1" t="s">
        <v>1812</v>
      </c>
      <c r="C1432" t="s">
        <v>110</v>
      </c>
      <c r="D1432">
        <v>7</v>
      </c>
      <c r="E1432">
        <v>144</v>
      </c>
      <c r="F1432">
        <v>36</v>
      </c>
      <c r="G1432">
        <v>1008</v>
      </c>
      <c r="H1432" s="4">
        <v>252</v>
      </c>
      <c r="I1432" s="4">
        <v>756</v>
      </c>
      <c r="J1432" t="s">
        <v>933</v>
      </c>
      <c r="K1432" t="s">
        <v>58</v>
      </c>
      <c r="L1432" s="4">
        <v>11.130819205617987</v>
      </c>
      <c r="M1432" s="1" t="s">
        <v>54</v>
      </c>
      <c r="N1432" s="11">
        <f t="shared" si="22"/>
        <v>10</v>
      </c>
    </row>
    <row r="1433" spans="1:14" ht="16" x14ac:dyDescent="0.2">
      <c r="A1433" s="3">
        <v>43416.473765087139</v>
      </c>
      <c r="B1433" s="1" t="s">
        <v>1813</v>
      </c>
      <c r="C1433" t="s">
        <v>544</v>
      </c>
      <c r="D1433">
        <v>12</v>
      </c>
      <c r="E1433">
        <v>267</v>
      </c>
      <c r="F1433">
        <v>89</v>
      </c>
      <c r="G1433">
        <v>3204</v>
      </c>
      <c r="H1433" s="4">
        <v>1068</v>
      </c>
      <c r="I1433" s="4">
        <v>2136</v>
      </c>
      <c r="J1433" t="s">
        <v>172</v>
      </c>
      <c r="K1433" t="s">
        <v>33</v>
      </c>
      <c r="L1433" s="4">
        <v>9.9311000381363836</v>
      </c>
      <c r="M1433" s="1" t="s">
        <v>54</v>
      </c>
      <c r="N1433" s="11">
        <f t="shared" si="22"/>
        <v>10</v>
      </c>
    </row>
    <row r="1434" spans="1:14" ht="16" x14ac:dyDescent="0.2">
      <c r="A1434" s="3">
        <v>44499.525060630971</v>
      </c>
      <c r="B1434" s="1" t="s">
        <v>1814</v>
      </c>
      <c r="C1434" t="s">
        <v>365</v>
      </c>
      <c r="D1434">
        <v>4</v>
      </c>
      <c r="E1434">
        <v>255</v>
      </c>
      <c r="F1434">
        <v>85</v>
      </c>
      <c r="G1434">
        <v>1020</v>
      </c>
      <c r="H1434" s="4">
        <v>340</v>
      </c>
      <c r="I1434" s="4">
        <v>680</v>
      </c>
      <c r="J1434" t="s">
        <v>806</v>
      </c>
      <c r="K1434" t="s">
        <v>86</v>
      </c>
      <c r="L1434" s="4">
        <v>11.927799225928501</v>
      </c>
      <c r="M1434" s="1" t="s">
        <v>54</v>
      </c>
      <c r="N1434" s="11">
        <f t="shared" si="22"/>
        <v>10</v>
      </c>
    </row>
    <row r="1435" spans="1:14" ht="16" x14ac:dyDescent="0.2">
      <c r="A1435" s="3">
        <v>44263.143721675515</v>
      </c>
      <c r="B1435" s="1" t="s">
        <v>1815</v>
      </c>
      <c r="C1435" t="s">
        <v>175</v>
      </c>
      <c r="D1435">
        <v>20</v>
      </c>
      <c r="E1435">
        <v>38</v>
      </c>
      <c r="F1435">
        <v>19</v>
      </c>
      <c r="G1435">
        <v>760</v>
      </c>
      <c r="H1435" s="4">
        <v>380</v>
      </c>
      <c r="I1435" s="4">
        <v>380</v>
      </c>
      <c r="J1435" t="s">
        <v>146</v>
      </c>
      <c r="K1435" t="s">
        <v>64</v>
      </c>
      <c r="L1435" s="4">
        <v>12.487915239531313</v>
      </c>
      <c r="M1435" s="1" t="s">
        <v>38</v>
      </c>
      <c r="N1435" s="11">
        <f t="shared" si="22"/>
        <v>5</v>
      </c>
    </row>
    <row r="1436" spans="1:14" ht="16" x14ac:dyDescent="0.2">
      <c r="A1436" s="3">
        <v>43413.368026996512</v>
      </c>
      <c r="B1436" s="1" t="s">
        <v>1816</v>
      </c>
      <c r="C1436" t="s">
        <v>40</v>
      </c>
      <c r="D1436">
        <v>17</v>
      </c>
      <c r="E1436">
        <v>46</v>
      </c>
      <c r="F1436">
        <v>23</v>
      </c>
      <c r="G1436">
        <v>782</v>
      </c>
      <c r="H1436" s="4">
        <v>391</v>
      </c>
      <c r="I1436" s="4">
        <v>391</v>
      </c>
      <c r="J1436" t="s">
        <v>678</v>
      </c>
      <c r="K1436" t="s">
        <v>86</v>
      </c>
      <c r="L1436" s="4">
        <v>12.460490918487697</v>
      </c>
      <c r="M1436" s="1" t="s">
        <v>38</v>
      </c>
      <c r="N1436" s="11">
        <f t="shared" si="22"/>
        <v>5</v>
      </c>
    </row>
    <row r="1437" spans="1:14" ht="16" x14ac:dyDescent="0.2">
      <c r="A1437" s="3">
        <v>44234.891323864627</v>
      </c>
      <c r="B1437" s="1" t="s">
        <v>1817</v>
      </c>
      <c r="C1437" t="s">
        <v>93</v>
      </c>
      <c r="D1437">
        <v>3</v>
      </c>
      <c r="E1437">
        <v>204</v>
      </c>
      <c r="F1437">
        <v>51</v>
      </c>
      <c r="G1437">
        <v>612</v>
      </c>
      <c r="H1437" s="4">
        <v>153</v>
      </c>
      <c r="I1437" s="4">
        <v>459</v>
      </c>
      <c r="J1437" t="s">
        <v>528</v>
      </c>
      <c r="K1437" t="s">
        <v>33</v>
      </c>
      <c r="L1437" s="4">
        <v>11.003496633574638</v>
      </c>
      <c r="M1437" s="1" t="s">
        <v>38</v>
      </c>
      <c r="N1437" s="11">
        <f t="shared" si="22"/>
        <v>5</v>
      </c>
    </row>
    <row r="1438" spans="1:14" ht="16" x14ac:dyDescent="0.2">
      <c r="A1438" s="3">
        <v>43298.977132999331</v>
      </c>
      <c r="B1438" s="1" t="s">
        <v>1818</v>
      </c>
      <c r="C1438" t="s">
        <v>75</v>
      </c>
      <c r="D1438">
        <v>11</v>
      </c>
      <c r="E1438">
        <v>76</v>
      </c>
      <c r="F1438">
        <v>19</v>
      </c>
      <c r="G1438">
        <v>836</v>
      </c>
      <c r="H1438" s="4">
        <v>209</v>
      </c>
      <c r="I1438" s="4">
        <v>627</v>
      </c>
      <c r="J1438" t="s">
        <v>471</v>
      </c>
      <c r="K1438" t="s">
        <v>58</v>
      </c>
      <c r="L1438" s="4">
        <v>10.764293826791503</v>
      </c>
      <c r="M1438" s="1" t="s">
        <v>38</v>
      </c>
      <c r="N1438" s="11">
        <f t="shared" si="22"/>
        <v>5</v>
      </c>
    </row>
    <row r="1439" spans="1:14" ht="16" x14ac:dyDescent="0.2">
      <c r="A1439" s="3">
        <v>43072.093270881589</v>
      </c>
      <c r="B1439" s="1" t="s">
        <v>1819</v>
      </c>
      <c r="C1439" t="s">
        <v>394</v>
      </c>
      <c r="D1439">
        <v>3</v>
      </c>
      <c r="E1439">
        <v>58</v>
      </c>
      <c r="F1439">
        <v>29</v>
      </c>
      <c r="G1439">
        <v>174</v>
      </c>
      <c r="H1439" s="4">
        <v>87</v>
      </c>
      <c r="I1439" s="4">
        <v>87</v>
      </c>
      <c r="J1439" t="s">
        <v>587</v>
      </c>
      <c r="K1439" t="s">
        <v>49</v>
      </c>
      <c r="L1439" s="4">
        <v>14.760829371220243</v>
      </c>
      <c r="M1439" s="1" t="s">
        <v>54</v>
      </c>
      <c r="N1439" s="11">
        <f t="shared" si="22"/>
        <v>10</v>
      </c>
    </row>
    <row r="1440" spans="1:14" ht="16" x14ac:dyDescent="0.2">
      <c r="A1440" s="3">
        <v>43052.497108207375</v>
      </c>
      <c r="B1440" s="1" t="s">
        <v>1820</v>
      </c>
      <c r="C1440" t="s">
        <v>607</v>
      </c>
      <c r="D1440">
        <v>5</v>
      </c>
      <c r="E1440">
        <v>225</v>
      </c>
      <c r="F1440">
        <v>75</v>
      </c>
      <c r="G1440">
        <v>1125</v>
      </c>
      <c r="H1440" s="4">
        <v>375</v>
      </c>
      <c r="I1440" s="4">
        <v>750</v>
      </c>
      <c r="J1440" t="s">
        <v>1358</v>
      </c>
      <c r="K1440" t="s">
        <v>86</v>
      </c>
      <c r="L1440" s="4">
        <v>13.811876869930865</v>
      </c>
      <c r="M1440" s="1" t="s">
        <v>38</v>
      </c>
      <c r="N1440" s="11">
        <f t="shared" si="22"/>
        <v>5</v>
      </c>
    </row>
    <row r="1441" spans="1:14" ht="16" x14ac:dyDescent="0.2">
      <c r="A1441" s="3">
        <v>43374.689857449353</v>
      </c>
      <c r="B1441" s="1" t="s">
        <v>1821</v>
      </c>
      <c r="C1441" t="s">
        <v>276</v>
      </c>
      <c r="D1441">
        <v>3</v>
      </c>
      <c r="E1441">
        <v>57</v>
      </c>
      <c r="F1441">
        <v>19</v>
      </c>
      <c r="G1441">
        <v>171</v>
      </c>
      <c r="H1441" s="4">
        <v>57</v>
      </c>
      <c r="I1441" s="4">
        <v>114</v>
      </c>
      <c r="J1441" t="s">
        <v>580</v>
      </c>
      <c r="K1441" t="s">
        <v>58</v>
      </c>
      <c r="L1441" s="4">
        <v>14.66147716237918</v>
      </c>
      <c r="M1441" s="1" t="s">
        <v>34</v>
      </c>
      <c r="N1441" s="11">
        <f t="shared" si="22"/>
        <v>1</v>
      </c>
    </row>
    <row r="1442" spans="1:14" ht="16" x14ac:dyDescent="0.2">
      <c r="A1442" s="3">
        <v>43922.76405880315</v>
      </c>
      <c r="B1442" s="1" t="s">
        <v>1822</v>
      </c>
      <c r="C1442" t="s">
        <v>248</v>
      </c>
      <c r="D1442">
        <v>13</v>
      </c>
      <c r="E1442">
        <v>132</v>
      </c>
      <c r="F1442">
        <v>44</v>
      </c>
      <c r="G1442">
        <v>1716</v>
      </c>
      <c r="H1442" s="4">
        <v>572</v>
      </c>
      <c r="I1442" s="4">
        <v>1144</v>
      </c>
      <c r="J1442" t="s">
        <v>815</v>
      </c>
      <c r="K1442" t="s">
        <v>33</v>
      </c>
      <c r="L1442" s="4">
        <v>16.254955391951082</v>
      </c>
      <c r="M1442" s="1" t="s">
        <v>34</v>
      </c>
      <c r="N1442" s="11">
        <f t="shared" si="22"/>
        <v>1</v>
      </c>
    </row>
    <row r="1443" spans="1:14" ht="16" x14ac:dyDescent="0.2">
      <c r="A1443" s="3">
        <v>43526.088646515025</v>
      </c>
      <c r="B1443" s="1" t="s">
        <v>1823</v>
      </c>
      <c r="C1443" t="s">
        <v>243</v>
      </c>
      <c r="D1443">
        <v>18</v>
      </c>
      <c r="E1443">
        <v>90</v>
      </c>
      <c r="F1443">
        <v>45</v>
      </c>
      <c r="G1443">
        <v>1620</v>
      </c>
      <c r="H1443" s="4">
        <v>810</v>
      </c>
      <c r="I1443" s="4">
        <v>810</v>
      </c>
      <c r="J1443" t="s">
        <v>318</v>
      </c>
      <c r="K1443" t="s">
        <v>33</v>
      </c>
      <c r="L1443" s="4">
        <v>9.0350666811770921</v>
      </c>
      <c r="M1443" s="1" t="s">
        <v>54</v>
      </c>
      <c r="N1443" s="11">
        <f t="shared" si="22"/>
        <v>10</v>
      </c>
    </row>
    <row r="1444" spans="1:14" ht="16" x14ac:dyDescent="0.2">
      <c r="A1444" s="3">
        <v>44828.999070432728</v>
      </c>
      <c r="B1444" s="1" t="s">
        <v>1824</v>
      </c>
      <c r="C1444" t="s">
        <v>248</v>
      </c>
      <c r="D1444">
        <v>12</v>
      </c>
      <c r="E1444">
        <v>132</v>
      </c>
      <c r="F1444">
        <v>44</v>
      </c>
      <c r="G1444">
        <v>1584</v>
      </c>
      <c r="H1444" s="4">
        <v>528</v>
      </c>
      <c r="I1444" s="4">
        <v>1056</v>
      </c>
      <c r="J1444" t="s">
        <v>1065</v>
      </c>
      <c r="K1444" t="s">
        <v>53</v>
      </c>
      <c r="L1444" s="4">
        <v>13.00553764131261</v>
      </c>
      <c r="M1444" s="1" t="s">
        <v>38</v>
      </c>
      <c r="N1444" s="11">
        <f t="shared" si="22"/>
        <v>5</v>
      </c>
    </row>
    <row r="1445" spans="1:14" ht="16" x14ac:dyDescent="0.2">
      <c r="A1445" s="3">
        <v>43085.794480593111</v>
      </c>
      <c r="B1445" s="1" t="s">
        <v>1825</v>
      </c>
      <c r="C1445" t="s">
        <v>91</v>
      </c>
      <c r="D1445">
        <v>5</v>
      </c>
      <c r="E1445">
        <v>300</v>
      </c>
      <c r="F1445">
        <v>75</v>
      </c>
      <c r="G1445">
        <v>1500</v>
      </c>
      <c r="H1445" s="4">
        <v>375</v>
      </c>
      <c r="I1445" s="4">
        <v>1125</v>
      </c>
      <c r="J1445" t="s">
        <v>176</v>
      </c>
      <c r="K1445" t="s">
        <v>64</v>
      </c>
      <c r="L1445" s="4">
        <v>12.1334991293512</v>
      </c>
      <c r="M1445" s="1" t="s">
        <v>38</v>
      </c>
      <c r="N1445" s="11">
        <f t="shared" si="22"/>
        <v>5</v>
      </c>
    </row>
    <row r="1446" spans="1:14" ht="16" x14ac:dyDescent="0.2">
      <c r="A1446" s="3">
        <v>44707.1031832187</v>
      </c>
      <c r="B1446" s="1" t="s">
        <v>1826</v>
      </c>
      <c r="C1446" t="s">
        <v>36</v>
      </c>
      <c r="D1446">
        <v>4</v>
      </c>
      <c r="E1446">
        <v>102</v>
      </c>
      <c r="F1446">
        <v>51</v>
      </c>
      <c r="G1446">
        <v>408</v>
      </c>
      <c r="H1446" s="4">
        <v>204</v>
      </c>
      <c r="I1446" s="4">
        <v>204</v>
      </c>
      <c r="J1446" t="s">
        <v>323</v>
      </c>
      <c r="K1446" t="s">
        <v>53</v>
      </c>
      <c r="L1446" s="4">
        <v>11.221666113009938</v>
      </c>
      <c r="M1446" s="1" t="s">
        <v>54</v>
      </c>
      <c r="N1446" s="11">
        <f t="shared" si="22"/>
        <v>10</v>
      </c>
    </row>
    <row r="1447" spans="1:14" ht="16" x14ac:dyDescent="0.2">
      <c r="A1447" s="3">
        <v>43493.117401626245</v>
      </c>
      <c r="B1447" s="1" t="s">
        <v>1827</v>
      </c>
      <c r="C1447" t="s">
        <v>148</v>
      </c>
      <c r="D1447">
        <v>19</v>
      </c>
      <c r="E1447">
        <v>144</v>
      </c>
      <c r="F1447">
        <v>36</v>
      </c>
      <c r="G1447">
        <v>2736</v>
      </c>
      <c r="H1447" s="4">
        <v>684</v>
      </c>
      <c r="I1447" s="4">
        <v>2052</v>
      </c>
      <c r="J1447" t="s">
        <v>613</v>
      </c>
      <c r="K1447" t="s">
        <v>86</v>
      </c>
      <c r="L1447" s="4">
        <v>8.8169309002713945</v>
      </c>
      <c r="M1447" s="1" t="s">
        <v>54</v>
      </c>
      <c r="N1447" s="11">
        <f t="shared" si="22"/>
        <v>10</v>
      </c>
    </row>
    <row r="1448" spans="1:14" ht="16" x14ac:dyDescent="0.2">
      <c r="A1448" s="3">
        <v>44336.829001439415</v>
      </c>
      <c r="B1448" s="1" t="s">
        <v>1828</v>
      </c>
      <c r="C1448" t="s">
        <v>299</v>
      </c>
      <c r="D1448">
        <v>10</v>
      </c>
      <c r="E1448">
        <v>225</v>
      </c>
      <c r="F1448">
        <v>75</v>
      </c>
      <c r="G1448">
        <v>2250</v>
      </c>
      <c r="H1448" s="4">
        <v>750</v>
      </c>
      <c r="I1448" s="4">
        <v>1500</v>
      </c>
      <c r="J1448" t="s">
        <v>191</v>
      </c>
      <c r="K1448" t="s">
        <v>42</v>
      </c>
      <c r="L1448" s="4">
        <v>10.523527521613014</v>
      </c>
      <c r="M1448" s="1" t="s">
        <v>38</v>
      </c>
      <c r="N1448" s="11">
        <f t="shared" si="22"/>
        <v>5</v>
      </c>
    </row>
    <row r="1449" spans="1:14" ht="16" x14ac:dyDescent="0.2">
      <c r="A1449" s="3">
        <v>44080.683511549934</v>
      </c>
      <c r="B1449" s="1" t="s">
        <v>1829</v>
      </c>
      <c r="C1449" t="s">
        <v>286</v>
      </c>
      <c r="D1449">
        <v>2</v>
      </c>
      <c r="E1449">
        <v>34</v>
      </c>
      <c r="F1449">
        <v>17</v>
      </c>
      <c r="G1449">
        <v>68</v>
      </c>
      <c r="H1449" s="4">
        <v>34</v>
      </c>
      <c r="I1449" s="4">
        <v>34</v>
      </c>
      <c r="J1449" t="s">
        <v>851</v>
      </c>
      <c r="K1449" t="s">
        <v>49</v>
      </c>
      <c r="L1449" s="4">
        <v>9.5176115401380308</v>
      </c>
      <c r="M1449" s="1" t="s">
        <v>38</v>
      </c>
      <c r="N1449" s="11">
        <f t="shared" si="22"/>
        <v>5</v>
      </c>
    </row>
    <row r="1450" spans="1:14" ht="16" x14ac:dyDescent="0.2">
      <c r="A1450" s="3">
        <v>43421.346234160177</v>
      </c>
      <c r="B1450" s="1" t="s">
        <v>1830</v>
      </c>
      <c r="C1450" t="s">
        <v>779</v>
      </c>
      <c r="D1450">
        <v>1</v>
      </c>
      <c r="E1450">
        <v>120</v>
      </c>
      <c r="F1450">
        <v>30</v>
      </c>
      <c r="G1450">
        <v>120</v>
      </c>
      <c r="H1450" s="4">
        <v>30</v>
      </c>
      <c r="I1450" s="4">
        <v>90</v>
      </c>
      <c r="J1450" t="s">
        <v>819</v>
      </c>
      <c r="K1450" t="s">
        <v>86</v>
      </c>
      <c r="L1450" s="4">
        <v>12.155895475340943</v>
      </c>
      <c r="M1450" s="1" t="s">
        <v>38</v>
      </c>
      <c r="N1450" s="11">
        <f t="shared" si="22"/>
        <v>5</v>
      </c>
    </row>
    <row r="1451" spans="1:14" ht="16" x14ac:dyDescent="0.2">
      <c r="A1451" s="3">
        <v>44431.37486351491</v>
      </c>
      <c r="B1451" s="1" t="s">
        <v>1831</v>
      </c>
      <c r="C1451" t="s">
        <v>188</v>
      </c>
      <c r="D1451">
        <v>18</v>
      </c>
      <c r="E1451">
        <v>368</v>
      </c>
      <c r="F1451">
        <v>92</v>
      </c>
      <c r="G1451">
        <v>6624</v>
      </c>
      <c r="H1451" s="4">
        <v>1656</v>
      </c>
      <c r="I1451" s="4">
        <v>4968</v>
      </c>
      <c r="J1451" t="s">
        <v>1401</v>
      </c>
      <c r="K1451" t="s">
        <v>58</v>
      </c>
      <c r="L1451" s="4">
        <v>11.0700865530371</v>
      </c>
      <c r="M1451" s="1" t="s">
        <v>38</v>
      </c>
      <c r="N1451" s="11">
        <f t="shared" si="22"/>
        <v>5</v>
      </c>
    </row>
    <row r="1452" spans="1:14" ht="16" x14ac:dyDescent="0.2">
      <c r="A1452" s="3">
        <v>43445.849409647461</v>
      </c>
      <c r="B1452" s="1" t="s">
        <v>1832</v>
      </c>
      <c r="C1452" t="s">
        <v>399</v>
      </c>
      <c r="D1452">
        <v>10</v>
      </c>
      <c r="E1452">
        <v>160</v>
      </c>
      <c r="F1452">
        <v>80</v>
      </c>
      <c r="G1452">
        <v>1600</v>
      </c>
      <c r="H1452" s="4">
        <v>800</v>
      </c>
      <c r="I1452" s="4">
        <v>800</v>
      </c>
      <c r="J1452" t="s">
        <v>892</v>
      </c>
      <c r="K1452" t="s">
        <v>33</v>
      </c>
      <c r="L1452" s="4">
        <v>13.062292798511226</v>
      </c>
      <c r="M1452" s="1" t="s">
        <v>54</v>
      </c>
      <c r="N1452" s="11">
        <f t="shared" si="22"/>
        <v>10</v>
      </c>
    </row>
    <row r="1453" spans="1:14" ht="16" x14ac:dyDescent="0.2">
      <c r="A1453" s="3">
        <v>44342.716970600195</v>
      </c>
      <c r="B1453" s="1" t="s">
        <v>810</v>
      </c>
      <c r="C1453" t="s">
        <v>299</v>
      </c>
      <c r="D1453">
        <v>6</v>
      </c>
      <c r="E1453">
        <v>225</v>
      </c>
      <c r="F1453">
        <v>75</v>
      </c>
      <c r="G1453">
        <v>1350</v>
      </c>
      <c r="H1453" s="4">
        <v>450</v>
      </c>
      <c r="I1453" s="4">
        <v>900</v>
      </c>
      <c r="J1453" t="s">
        <v>318</v>
      </c>
      <c r="K1453" t="s">
        <v>33</v>
      </c>
      <c r="L1453" s="4">
        <v>9.0350666811770921</v>
      </c>
      <c r="M1453" s="1" t="s">
        <v>38</v>
      </c>
      <c r="N1453" s="11">
        <f t="shared" si="22"/>
        <v>5</v>
      </c>
    </row>
    <row r="1454" spans="1:14" ht="16" x14ac:dyDescent="0.2">
      <c r="A1454" s="3">
        <v>43800.276219923464</v>
      </c>
      <c r="B1454" s="1" t="s">
        <v>1833</v>
      </c>
      <c r="C1454" t="s">
        <v>317</v>
      </c>
      <c r="D1454">
        <v>12</v>
      </c>
      <c r="E1454">
        <v>352</v>
      </c>
      <c r="F1454">
        <v>88</v>
      </c>
      <c r="G1454">
        <v>4224</v>
      </c>
      <c r="H1454" s="4">
        <v>1056</v>
      </c>
      <c r="I1454" s="4">
        <v>3168</v>
      </c>
      <c r="J1454" t="s">
        <v>57</v>
      </c>
      <c r="K1454" t="s">
        <v>58</v>
      </c>
      <c r="L1454" s="4">
        <v>11.749993886708426</v>
      </c>
      <c r="M1454" s="1" t="s">
        <v>38</v>
      </c>
      <c r="N1454" s="11">
        <f t="shared" si="22"/>
        <v>5</v>
      </c>
    </row>
    <row r="1455" spans="1:14" ht="16" x14ac:dyDescent="0.2">
      <c r="A1455" s="3">
        <v>44214.064465476156</v>
      </c>
      <c r="B1455" s="1" t="s">
        <v>1834</v>
      </c>
      <c r="C1455" t="s">
        <v>101</v>
      </c>
      <c r="D1455">
        <v>14</v>
      </c>
      <c r="E1455">
        <v>50</v>
      </c>
      <c r="F1455">
        <v>25</v>
      </c>
      <c r="G1455">
        <v>700</v>
      </c>
      <c r="H1455" s="4">
        <v>350</v>
      </c>
      <c r="I1455" s="4">
        <v>350</v>
      </c>
      <c r="J1455" t="s">
        <v>678</v>
      </c>
      <c r="K1455" t="s">
        <v>86</v>
      </c>
      <c r="L1455" s="4">
        <v>12.460490918487697</v>
      </c>
      <c r="M1455" s="1" t="s">
        <v>38</v>
      </c>
      <c r="N1455" s="11">
        <f t="shared" si="22"/>
        <v>5</v>
      </c>
    </row>
    <row r="1456" spans="1:14" ht="16" x14ac:dyDescent="0.2">
      <c r="A1456" s="3">
        <v>42992.181891533481</v>
      </c>
      <c r="B1456" s="1" t="s">
        <v>1835</v>
      </c>
      <c r="C1456" t="s">
        <v>286</v>
      </c>
      <c r="D1456">
        <v>8</v>
      </c>
      <c r="E1456">
        <v>34</v>
      </c>
      <c r="F1456">
        <v>17</v>
      </c>
      <c r="G1456">
        <v>272</v>
      </c>
      <c r="H1456" s="4">
        <v>136</v>
      </c>
      <c r="I1456" s="4">
        <v>136</v>
      </c>
      <c r="J1456" t="s">
        <v>186</v>
      </c>
      <c r="K1456" t="s">
        <v>58</v>
      </c>
      <c r="L1456" s="4">
        <v>11.31221475547909</v>
      </c>
      <c r="M1456" s="1" t="s">
        <v>34</v>
      </c>
      <c r="N1456" s="11">
        <f t="shared" si="22"/>
        <v>1</v>
      </c>
    </row>
    <row r="1457" spans="1:14" ht="16" x14ac:dyDescent="0.2">
      <c r="A1457" s="3">
        <v>43938.035473538926</v>
      </c>
      <c r="B1457" s="1" t="s">
        <v>1836</v>
      </c>
      <c r="C1457" t="s">
        <v>304</v>
      </c>
      <c r="D1457">
        <v>11</v>
      </c>
      <c r="E1457">
        <v>116</v>
      </c>
      <c r="F1457">
        <v>29</v>
      </c>
      <c r="G1457">
        <v>1276</v>
      </c>
      <c r="H1457" s="4">
        <v>319</v>
      </c>
      <c r="I1457" s="4">
        <v>957</v>
      </c>
      <c r="J1457" t="s">
        <v>462</v>
      </c>
      <c r="K1457" t="s">
        <v>86</v>
      </c>
      <c r="L1457" s="4">
        <v>12.732640267350657</v>
      </c>
      <c r="M1457" s="1" t="s">
        <v>54</v>
      </c>
      <c r="N1457" s="11">
        <f t="shared" si="22"/>
        <v>10</v>
      </c>
    </row>
    <row r="1458" spans="1:14" ht="16" x14ac:dyDescent="0.2">
      <c r="A1458" s="3">
        <v>43784.573412201622</v>
      </c>
      <c r="B1458" s="1" t="s">
        <v>1837</v>
      </c>
      <c r="C1458" t="s">
        <v>115</v>
      </c>
      <c r="D1458">
        <v>9</v>
      </c>
      <c r="E1458">
        <v>81</v>
      </c>
      <c r="F1458">
        <v>27</v>
      </c>
      <c r="G1458">
        <v>729</v>
      </c>
      <c r="H1458" s="4">
        <v>243</v>
      </c>
      <c r="I1458" s="4">
        <v>486</v>
      </c>
      <c r="J1458" t="s">
        <v>172</v>
      </c>
      <c r="K1458" t="s">
        <v>33</v>
      </c>
      <c r="L1458" s="4">
        <v>9.9311000381363836</v>
      </c>
      <c r="M1458" s="1" t="s">
        <v>34</v>
      </c>
      <c r="N1458" s="11">
        <f t="shared" si="22"/>
        <v>1</v>
      </c>
    </row>
    <row r="1459" spans="1:14" ht="16" x14ac:dyDescent="0.2">
      <c r="A1459" s="3">
        <v>42693.272032490626</v>
      </c>
      <c r="B1459" s="1" t="s">
        <v>1838</v>
      </c>
      <c r="C1459" t="s">
        <v>69</v>
      </c>
      <c r="D1459">
        <v>8</v>
      </c>
      <c r="E1459">
        <v>184</v>
      </c>
      <c r="F1459">
        <v>92</v>
      </c>
      <c r="G1459">
        <v>1472</v>
      </c>
      <c r="H1459" s="4">
        <v>736</v>
      </c>
      <c r="I1459" s="4">
        <v>736</v>
      </c>
      <c r="J1459" t="s">
        <v>1223</v>
      </c>
      <c r="K1459" t="s">
        <v>53</v>
      </c>
      <c r="L1459" s="4">
        <v>10.428287009858728</v>
      </c>
      <c r="M1459" s="1" t="s">
        <v>38</v>
      </c>
      <c r="N1459" s="11">
        <f t="shared" si="22"/>
        <v>5</v>
      </c>
    </row>
    <row r="1460" spans="1:14" ht="16" x14ac:dyDescent="0.2">
      <c r="A1460" s="3">
        <v>43880.547612790702</v>
      </c>
      <c r="B1460" s="1" t="s">
        <v>1839</v>
      </c>
      <c r="C1460" t="s">
        <v>215</v>
      </c>
      <c r="D1460">
        <v>15</v>
      </c>
      <c r="E1460">
        <v>176</v>
      </c>
      <c r="F1460">
        <v>88</v>
      </c>
      <c r="G1460">
        <v>2640</v>
      </c>
      <c r="H1460" s="4">
        <v>1320</v>
      </c>
      <c r="I1460" s="4">
        <v>1320</v>
      </c>
      <c r="J1460" t="s">
        <v>94</v>
      </c>
      <c r="K1460" t="s">
        <v>49</v>
      </c>
      <c r="L1460" s="4">
        <v>9.8238489437106278</v>
      </c>
      <c r="M1460" s="1" t="s">
        <v>38</v>
      </c>
      <c r="N1460" s="11">
        <f t="shared" si="22"/>
        <v>5</v>
      </c>
    </row>
    <row r="1461" spans="1:14" ht="16" x14ac:dyDescent="0.2">
      <c r="A1461" s="3">
        <v>44434.615231788906</v>
      </c>
      <c r="B1461" s="1" t="s">
        <v>1840</v>
      </c>
      <c r="C1461" t="s">
        <v>84</v>
      </c>
      <c r="D1461">
        <v>4</v>
      </c>
      <c r="E1461">
        <v>126</v>
      </c>
      <c r="F1461">
        <v>42</v>
      </c>
      <c r="G1461">
        <v>504</v>
      </c>
      <c r="H1461" s="4">
        <v>168</v>
      </c>
      <c r="I1461" s="4">
        <v>336</v>
      </c>
      <c r="J1461" t="s">
        <v>429</v>
      </c>
      <c r="K1461" t="s">
        <v>33</v>
      </c>
      <c r="L1461" s="4">
        <v>11.701919153133453</v>
      </c>
      <c r="M1461" s="1" t="s">
        <v>54</v>
      </c>
      <c r="N1461" s="11">
        <f t="shared" si="22"/>
        <v>10</v>
      </c>
    </row>
    <row r="1462" spans="1:14" ht="16" x14ac:dyDescent="0.2">
      <c r="A1462" s="3">
        <v>43511.999509975263</v>
      </c>
      <c r="B1462" s="1" t="s">
        <v>1841</v>
      </c>
      <c r="C1462" t="s">
        <v>148</v>
      </c>
      <c r="D1462">
        <v>9</v>
      </c>
      <c r="E1462">
        <v>144</v>
      </c>
      <c r="F1462">
        <v>36</v>
      </c>
      <c r="G1462">
        <v>1296</v>
      </c>
      <c r="H1462" s="4">
        <v>324</v>
      </c>
      <c r="I1462" s="4">
        <v>972</v>
      </c>
      <c r="J1462" t="s">
        <v>57</v>
      </c>
      <c r="K1462" t="s">
        <v>58</v>
      </c>
      <c r="L1462" s="4">
        <v>11.749993886708426</v>
      </c>
      <c r="M1462" s="1" t="s">
        <v>38</v>
      </c>
      <c r="N1462" s="11">
        <f t="shared" si="22"/>
        <v>5</v>
      </c>
    </row>
    <row r="1463" spans="1:14" ht="16" x14ac:dyDescent="0.2">
      <c r="A1463" s="3">
        <v>44376.224177290547</v>
      </c>
      <c r="B1463" s="1" t="s">
        <v>1842</v>
      </c>
      <c r="C1463" t="s">
        <v>196</v>
      </c>
      <c r="D1463">
        <v>5</v>
      </c>
      <c r="E1463">
        <v>192</v>
      </c>
      <c r="F1463">
        <v>96</v>
      </c>
      <c r="G1463">
        <v>960</v>
      </c>
      <c r="H1463" s="4">
        <v>480</v>
      </c>
      <c r="I1463" s="4">
        <v>480</v>
      </c>
      <c r="J1463" t="s">
        <v>411</v>
      </c>
      <c r="K1463" t="s">
        <v>64</v>
      </c>
      <c r="L1463" s="4">
        <v>13.115597690631557</v>
      </c>
      <c r="M1463" s="1" t="s">
        <v>34</v>
      </c>
      <c r="N1463" s="11">
        <f t="shared" si="22"/>
        <v>1</v>
      </c>
    </row>
    <row r="1464" spans="1:14" ht="16" x14ac:dyDescent="0.2">
      <c r="A1464" s="3">
        <v>43268.270610806503</v>
      </c>
      <c r="B1464" s="1" t="s">
        <v>1843</v>
      </c>
      <c r="C1464" t="s">
        <v>312</v>
      </c>
      <c r="D1464">
        <v>7</v>
      </c>
      <c r="E1464">
        <v>240</v>
      </c>
      <c r="F1464">
        <v>80</v>
      </c>
      <c r="G1464">
        <v>1680</v>
      </c>
      <c r="H1464" s="4">
        <v>560</v>
      </c>
      <c r="I1464" s="4">
        <v>1120</v>
      </c>
      <c r="J1464" t="s">
        <v>341</v>
      </c>
      <c r="K1464" t="s">
        <v>64</v>
      </c>
      <c r="L1464" s="4">
        <v>10.816866337473218</v>
      </c>
      <c r="M1464" s="1" t="s">
        <v>34</v>
      </c>
      <c r="N1464" s="11">
        <f t="shared" si="22"/>
        <v>1</v>
      </c>
    </row>
    <row r="1465" spans="1:14" ht="16" x14ac:dyDescent="0.2">
      <c r="A1465" s="3">
        <v>44251.484479341059</v>
      </c>
      <c r="B1465" s="1" t="s">
        <v>1844</v>
      </c>
      <c r="C1465" t="s">
        <v>81</v>
      </c>
      <c r="D1465">
        <v>7</v>
      </c>
      <c r="E1465">
        <v>166</v>
      </c>
      <c r="F1465">
        <v>83</v>
      </c>
      <c r="G1465">
        <v>1162</v>
      </c>
      <c r="H1465" s="4">
        <v>581</v>
      </c>
      <c r="I1465" s="4">
        <v>581</v>
      </c>
      <c r="J1465" t="s">
        <v>67</v>
      </c>
      <c r="K1465" t="s">
        <v>64</v>
      </c>
      <c r="L1465" s="4">
        <v>15.602184182549776</v>
      </c>
      <c r="M1465" s="1" t="s">
        <v>38</v>
      </c>
      <c r="N1465" s="11">
        <f t="shared" si="22"/>
        <v>5</v>
      </c>
    </row>
    <row r="1466" spans="1:14" ht="16" x14ac:dyDescent="0.2">
      <c r="A1466" s="3">
        <v>44095.913495633373</v>
      </c>
      <c r="B1466" s="1" t="s">
        <v>1845</v>
      </c>
      <c r="C1466" t="s">
        <v>31</v>
      </c>
      <c r="D1466">
        <v>18</v>
      </c>
      <c r="E1466">
        <v>280</v>
      </c>
      <c r="F1466">
        <v>70</v>
      </c>
      <c r="G1466">
        <v>5040</v>
      </c>
      <c r="H1466" s="4">
        <v>1260</v>
      </c>
      <c r="I1466" s="4">
        <v>3780</v>
      </c>
      <c r="J1466" t="s">
        <v>423</v>
      </c>
      <c r="K1466" t="s">
        <v>86</v>
      </c>
      <c r="L1466" s="4">
        <v>10.813269600021069</v>
      </c>
      <c r="M1466" s="1" t="s">
        <v>54</v>
      </c>
      <c r="N1466" s="11">
        <f t="shared" si="22"/>
        <v>10</v>
      </c>
    </row>
    <row r="1467" spans="1:14" ht="16" x14ac:dyDescent="0.2">
      <c r="A1467" s="3">
        <v>43588.035711398101</v>
      </c>
      <c r="B1467" s="1" t="s">
        <v>1846</v>
      </c>
      <c r="C1467" t="s">
        <v>188</v>
      </c>
      <c r="D1467">
        <v>19</v>
      </c>
      <c r="E1467">
        <v>368</v>
      </c>
      <c r="F1467">
        <v>92</v>
      </c>
      <c r="G1467">
        <v>6992</v>
      </c>
      <c r="H1467" s="4">
        <v>1748</v>
      </c>
      <c r="I1467" s="4">
        <v>5244</v>
      </c>
      <c r="J1467" t="s">
        <v>123</v>
      </c>
      <c r="K1467" t="s">
        <v>53</v>
      </c>
      <c r="L1467" s="4">
        <v>10.42743035829395</v>
      </c>
      <c r="M1467" s="1" t="s">
        <v>38</v>
      </c>
      <c r="N1467" s="11">
        <f t="shared" si="22"/>
        <v>5</v>
      </c>
    </row>
    <row r="1468" spans="1:14" ht="16" x14ac:dyDescent="0.2">
      <c r="A1468" s="3">
        <v>44842.279486557607</v>
      </c>
      <c r="B1468" s="1" t="s">
        <v>1847</v>
      </c>
      <c r="C1468" t="s">
        <v>130</v>
      </c>
      <c r="D1468">
        <v>3</v>
      </c>
      <c r="E1468">
        <v>144</v>
      </c>
      <c r="F1468">
        <v>48</v>
      </c>
      <c r="G1468">
        <v>432</v>
      </c>
      <c r="H1468" s="4">
        <v>144</v>
      </c>
      <c r="I1468" s="4">
        <v>288</v>
      </c>
      <c r="J1468" t="s">
        <v>189</v>
      </c>
      <c r="K1468" t="s">
        <v>58</v>
      </c>
      <c r="L1468" s="4">
        <v>12.551203838971933</v>
      </c>
      <c r="M1468" s="1" t="s">
        <v>54</v>
      </c>
      <c r="N1468" s="11">
        <f t="shared" si="22"/>
        <v>10</v>
      </c>
    </row>
    <row r="1469" spans="1:14" ht="16" x14ac:dyDescent="0.2">
      <c r="A1469" s="3">
        <v>44162.572305081158</v>
      </c>
      <c r="B1469" s="1" t="s">
        <v>1848</v>
      </c>
      <c r="C1469" t="s">
        <v>142</v>
      </c>
      <c r="D1469">
        <v>17</v>
      </c>
      <c r="E1469">
        <v>210</v>
      </c>
      <c r="F1469">
        <v>70</v>
      </c>
      <c r="G1469">
        <v>3570</v>
      </c>
      <c r="H1469" s="4">
        <v>1190</v>
      </c>
      <c r="I1469" s="4">
        <v>2380</v>
      </c>
      <c r="J1469" t="s">
        <v>41</v>
      </c>
      <c r="K1469" t="s">
        <v>42</v>
      </c>
      <c r="L1469" s="4">
        <v>9.3226775515721787</v>
      </c>
      <c r="M1469" s="1" t="s">
        <v>38</v>
      </c>
      <c r="N1469" s="11">
        <f t="shared" si="22"/>
        <v>5</v>
      </c>
    </row>
    <row r="1470" spans="1:14" ht="16" x14ac:dyDescent="0.2">
      <c r="A1470" s="3">
        <v>43609.080465087711</v>
      </c>
      <c r="B1470" s="1" t="s">
        <v>1849</v>
      </c>
      <c r="C1470" t="s">
        <v>178</v>
      </c>
      <c r="D1470">
        <v>10</v>
      </c>
      <c r="E1470">
        <v>189</v>
      </c>
      <c r="F1470">
        <v>63</v>
      </c>
      <c r="G1470">
        <v>1890</v>
      </c>
      <c r="H1470" s="4">
        <v>630</v>
      </c>
      <c r="I1470" s="4">
        <v>1260</v>
      </c>
      <c r="J1470" t="s">
        <v>678</v>
      </c>
      <c r="K1470" t="s">
        <v>86</v>
      </c>
      <c r="L1470" s="4">
        <v>12.460490918487697</v>
      </c>
      <c r="M1470" s="1" t="s">
        <v>34</v>
      </c>
      <c r="N1470" s="11">
        <f t="shared" si="22"/>
        <v>1</v>
      </c>
    </row>
    <row r="1471" spans="1:14" ht="16" x14ac:dyDescent="0.2">
      <c r="A1471" s="3">
        <v>43631.40297850746</v>
      </c>
      <c r="B1471" s="1" t="s">
        <v>1850</v>
      </c>
      <c r="C1471" t="s">
        <v>44</v>
      </c>
      <c r="D1471">
        <v>14</v>
      </c>
      <c r="E1471">
        <v>114</v>
      </c>
      <c r="F1471">
        <v>57</v>
      </c>
      <c r="G1471">
        <v>1596</v>
      </c>
      <c r="H1471" s="4">
        <v>798</v>
      </c>
      <c r="I1471" s="4">
        <v>798</v>
      </c>
      <c r="J1471" t="s">
        <v>903</v>
      </c>
      <c r="K1471" t="s">
        <v>58</v>
      </c>
      <c r="L1471" s="4">
        <v>11.952554704438674</v>
      </c>
      <c r="M1471" s="1" t="s">
        <v>38</v>
      </c>
      <c r="N1471" s="11">
        <f t="shared" si="22"/>
        <v>5</v>
      </c>
    </row>
    <row r="1472" spans="1:14" ht="16" x14ac:dyDescent="0.2">
      <c r="A1472" s="3">
        <v>44029.283616984023</v>
      </c>
      <c r="B1472" s="1" t="s">
        <v>1851</v>
      </c>
      <c r="C1472" t="s">
        <v>142</v>
      </c>
      <c r="D1472">
        <v>19</v>
      </c>
      <c r="E1472">
        <v>210</v>
      </c>
      <c r="F1472">
        <v>70</v>
      </c>
      <c r="G1472">
        <v>3990</v>
      </c>
      <c r="H1472" s="4">
        <v>1330</v>
      </c>
      <c r="I1472" s="4">
        <v>2660</v>
      </c>
      <c r="J1472" t="s">
        <v>79</v>
      </c>
      <c r="K1472" t="s">
        <v>64</v>
      </c>
      <c r="L1472" s="4">
        <v>12.163730387337393</v>
      </c>
      <c r="M1472" s="1" t="s">
        <v>34</v>
      </c>
      <c r="N1472" s="11">
        <f t="shared" si="22"/>
        <v>1</v>
      </c>
    </row>
    <row r="1473" spans="1:14" ht="16" x14ac:dyDescent="0.2">
      <c r="A1473" s="3">
        <v>43608.975274561584</v>
      </c>
      <c r="B1473" s="1" t="s">
        <v>1852</v>
      </c>
      <c r="C1473" t="s">
        <v>51</v>
      </c>
      <c r="D1473">
        <v>12</v>
      </c>
      <c r="E1473">
        <v>160</v>
      </c>
      <c r="F1473">
        <v>80</v>
      </c>
      <c r="G1473">
        <v>1920</v>
      </c>
      <c r="H1473" s="4">
        <v>960</v>
      </c>
      <c r="I1473" s="4">
        <v>960</v>
      </c>
      <c r="J1473" t="s">
        <v>376</v>
      </c>
      <c r="K1473" t="s">
        <v>86</v>
      </c>
      <c r="L1473" s="4">
        <v>11.655355879643379</v>
      </c>
      <c r="M1473" s="1" t="s">
        <v>38</v>
      </c>
      <c r="N1473" s="11">
        <f t="shared" si="22"/>
        <v>5</v>
      </c>
    </row>
    <row r="1474" spans="1:14" ht="16" x14ac:dyDescent="0.2">
      <c r="A1474" s="3">
        <v>43732.611724050505</v>
      </c>
      <c r="B1474" s="1" t="s">
        <v>1853</v>
      </c>
      <c r="C1474" t="s">
        <v>312</v>
      </c>
      <c r="D1474">
        <v>16</v>
      </c>
      <c r="E1474">
        <v>240</v>
      </c>
      <c r="F1474">
        <v>80</v>
      </c>
      <c r="G1474">
        <v>3840</v>
      </c>
      <c r="H1474" s="4">
        <v>1280</v>
      </c>
      <c r="I1474" s="4">
        <v>2560</v>
      </c>
      <c r="J1474" t="s">
        <v>343</v>
      </c>
      <c r="K1474" t="s">
        <v>42</v>
      </c>
      <c r="L1474" s="4">
        <v>9.8928038181361391</v>
      </c>
      <c r="M1474" s="1" t="s">
        <v>54</v>
      </c>
      <c r="N1474" s="11">
        <f t="shared" si="22"/>
        <v>10</v>
      </c>
    </row>
    <row r="1475" spans="1:14" ht="16" x14ac:dyDescent="0.2">
      <c r="A1475" s="3">
        <v>43540.067414452016</v>
      </c>
      <c r="B1475" s="1" t="s">
        <v>1854</v>
      </c>
      <c r="C1475" t="s">
        <v>154</v>
      </c>
      <c r="D1475">
        <v>4</v>
      </c>
      <c r="E1475">
        <v>308</v>
      </c>
      <c r="F1475">
        <v>77</v>
      </c>
      <c r="G1475">
        <v>1232</v>
      </c>
      <c r="H1475" s="4">
        <v>308</v>
      </c>
      <c r="I1475" s="4">
        <v>924</v>
      </c>
      <c r="J1475" t="s">
        <v>882</v>
      </c>
      <c r="K1475" t="s">
        <v>64</v>
      </c>
      <c r="L1475" s="4">
        <v>12.701325659159139</v>
      </c>
      <c r="M1475" s="1" t="s">
        <v>38</v>
      </c>
      <c r="N1475" s="11">
        <f t="shared" ref="N1475:N1538" si="23">+IF(M1475="Dissatisfied",1,IF(M1475="Satisfied",10,5))</f>
        <v>5</v>
      </c>
    </row>
    <row r="1476" spans="1:14" ht="16" x14ac:dyDescent="0.2">
      <c r="A1476" s="3">
        <v>43752.776701502924</v>
      </c>
      <c r="B1476" s="1" t="s">
        <v>1855</v>
      </c>
      <c r="C1476" t="s">
        <v>133</v>
      </c>
      <c r="D1476">
        <v>6</v>
      </c>
      <c r="E1476">
        <v>189</v>
      </c>
      <c r="F1476">
        <v>63</v>
      </c>
      <c r="G1476">
        <v>1134</v>
      </c>
      <c r="H1476" s="4">
        <v>378</v>
      </c>
      <c r="I1476" s="4">
        <v>756</v>
      </c>
      <c r="J1476" t="s">
        <v>645</v>
      </c>
      <c r="K1476" t="s">
        <v>86</v>
      </c>
      <c r="L1476" s="4">
        <v>9.879282537628514</v>
      </c>
      <c r="M1476" s="1" t="s">
        <v>38</v>
      </c>
      <c r="N1476" s="11">
        <f t="shared" si="23"/>
        <v>5</v>
      </c>
    </row>
    <row r="1477" spans="1:14" ht="16" x14ac:dyDescent="0.2">
      <c r="A1477" s="3">
        <v>44924.969974467778</v>
      </c>
      <c r="B1477" s="1" t="s">
        <v>1856</v>
      </c>
      <c r="C1477" t="s">
        <v>544</v>
      </c>
      <c r="D1477">
        <v>1</v>
      </c>
      <c r="E1477">
        <v>267</v>
      </c>
      <c r="F1477">
        <v>89</v>
      </c>
      <c r="G1477">
        <v>267</v>
      </c>
      <c r="H1477" s="4">
        <v>89</v>
      </c>
      <c r="I1477" s="4">
        <v>178</v>
      </c>
      <c r="J1477" t="s">
        <v>236</v>
      </c>
      <c r="K1477" t="s">
        <v>53</v>
      </c>
      <c r="L1477" s="4">
        <v>9.3014286057233697</v>
      </c>
      <c r="M1477" s="1" t="s">
        <v>54</v>
      </c>
      <c r="N1477" s="11">
        <f t="shared" si="23"/>
        <v>10</v>
      </c>
    </row>
    <row r="1478" spans="1:14" ht="16" x14ac:dyDescent="0.2">
      <c r="A1478" s="3">
        <v>44035.22651973812</v>
      </c>
      <c r="B1478" s="1" t="s">
        <v>1857</v>
      </c>
      <c r="C1478" t="s">
        <v>215</v>
      </c>
      <c r="D1478">
        <v>6</v>
      </c>
      <c r="E1478">
        <v>176</v>
      </c>
      <c r="F1478">
        <v>88</v>
      </c>
      <c r="G1478">
        <v>1056</v>
      </c>
      <c r="H1478" s="4">
        <v>528</v>
      </c>
      <c r="I1478" s="4">
        <v>528</v>
      </c>
      <c r="J1478" t="s">
        <v>890</v>
      </c>
      <c r="K1478" t="s">
        <v>86</v>
      </c>
      <c r="L1478" s="4">
        <v>15.856807810268592</v>
      </c>
      <c r="M1478" s="1" t="s">
        <v>38</v>
      </c>
      <c r="N1478" s="11">
        <f t="shared" si="23"/>
        <v>5</v>
      </c>
    </row>
    <row r="1479" spans="1:14" ht="16" x14ac:dyDescent="0.2">
      <c r="A1479" s="3">
        <v>44418.545464521179</v>
      </c>
      <c r="B1479" s="1" t="s">
        <v>1858</v>
      </c>
      <c r="C1479" t="s">
        <v>78</v>
      </c>
      <c r="D1479">
        <v>16</v>
      </c>
      <c r="E1479">
        <v>94</v>
      </c>
      <c r="F1479">
        <v>47</v>
      </c>
      <c r="G1479">
        <v>1504</v>
      </c>
      <c r="H1479" s="4">
        <v>752</v>
      </c>
      <c r="I1479" s="4">
        <v>752</v>
      </c>
      <c r="J1479" t="s">
        <v>629</v>
      </c>
      <c r="K1479" t="s">
        <v>53</v>
      </c>
      <c r="L1479" s="4">
        <v>9.8892508156549788</v>
      </c>
      <c r="M1479" s="1" t="s">
        <v>38</v>
      </c>
      <c r="N1479" s="11">
        <f t="shared" si="23"/>
        <v>5</v>
      </c>
    </row>
    <row r="1480" spans="1:14" ht="16" x14ac:dyDescent="0.2">
      <c r="A1480" s="3">
        <v>43590.533784653089</v>
      </c>
      <c r="B1480" s="1" t="s">
        <v>1859</v>
      </c>
      <c r="C1480" t="s">
        <v>84</v>
      </c>
      <c r="D1480">
        <v>18</v>
      </c>
      <c r="E1480">
        <v>126</v>
      </c>
      <c r="F1480">
        <v>42</v>
      </c>
      <c r="G1480">
        <v>2268</v>
      </c>
      <c r="H1480" s="4">
        <v>756</v>
      </c>
      <c r="I1480" s="4">
        <v>1512</v>
      </c>
      <c r="J1480" t="s">
        <v>111</v>
      </c>
      <c r="K1480" t="s">
        <v>53</v>
      </c>
      <c r="L1480" s="4">
        <v>13.407340878370247</v>
      </c>
      <c r="M1480" s="1" t="s">
        <v>38</v>
      </c>
      <c r="N1480" s="11">
        <f t="shared" si="23"/>
        <v>5</v>
      </c>
    </row>
    <row r="1481" spans="1:14" ht="16" x14ac:dyDescent="0.2">
      <c r="A1481" s="3">
        <v>44972.551517073902</v>
      </c>
      <c r="B1481" s="1" t="s">
        <v>1860</v>
      </c>
      <c r="C1481" t="s">
        <v>299</v>
      </c>
      <c r="D1481">
        <v>8</v>
      </c>
      <c r="E1481">
        <v>225</v>
      </c>
      <c r="F1481">
        <v>75</v>
      </c>
      <c r="G1481">
        <v>1800</v>
      </c>
      <c r="H1481" s="4">
        <v>600</v>
      </c>
      <c r="I1481" s="4">
        <v>1200</v>
      </c>
      <c r="J1481" t="s">
        <v>1138</v>
      </c>
      <c r="K1481" t="s">
        <v>64</v>
      </c>
      <c r="L1481" s="4">
        <v>13.601235361661526</v>
      </c>
      <c r="M1481" s="1" t="s">
        <v>38</v>
      </c>
      <c r="N1481" s="11">
        <f t="shared" si="23"/>
        <v>5</v>
      </c>
    </row>
    <row r="1482" spans="1:14" ht="16" x14ac:dyDescent="0.2">
      <c r="A1482" s="3">
        <v>43791.555785376375</v>
      </c>
      <c r="B1482" s="1" t="s">
        <v>1861</v>
      </c>
      <c r="C1482" t="s">
        <v>78</v>
      </c>
      <c r="D1482">
        <v>7</v>
      </c>
      <c r="E1482">
        <v>94</v>
      </c>
      <c r="F1482">
        <v>47</v>
      </c>
      <c r="G1482">
        <v>658</v>
      </c>
      <c r="H1482" s="4">
        <v>329</v>
      </c>
      <c r="I1482" s="4">
        <v>329</v>
      </c>
      <c r="J1482" t="s">
        <v>123</v>
      </c>
      <c r="K1482" t="s">
        <v>53</v>
      </c>
      <c r="L1482" s="4">
        <v>10.42743035829395</v>
      </c>
      <c r="M1482" s="1" t="s">
        <v>38</v>
      </c>
      <c r="N1482" s="11">
        <f t="shared" si="23"/>
        <v>5</v>
      </c>
    </row>
    <row r="1483" spans="1:14" ht="16" x14ac:dyDescent="0.2">
      <c r="A1483" s="3">
        <v>43465.003879370786</v>
      </c>
      <c r="B1483" s="1" t="s">
        <v>1862</v>
      </c>
      <c r="C1483" t="s">
        <v>420</v>
      </c>
      <c r="D1483">
        <v>20</v>
      </c>
      <c r="E1483">
        <v>162</v>
      </c>
      <c r="F1483">
        <v>54</v>
      </c>
      <c r="G1483">
        <v>3240</v>
      </c>
      <c r="H1483" s="4">
        <v>1080</v>
      </c>
      <c r="I1483" s="4">
        <v>2160</v>
      </c>
      <c r="J1483" t="s">
        <v>1012</v>
      </c>
      <c r="K1483" t="s">
        <v>33</v>
      </c>
      <c r="L1483" s="4">
        <v>14.538471643780088</v>
      </c>
      <c r="M1483" s="1" t="s">
        <v>38</v>
      </c>
      <c r="N1483" s="11">
        <f t="shared" si="23"/>
        <v>5</v>
      </c>
    </row>
    <row r="1484" spans="1:14" ht="16" x14ac:dyDescent="0.2">
      <c r="A1484" s="3">
        <v>43932.273300675115</v>
      </c>
      <c r="B1484" s="1" t="s">
        <v>1863</v>
      </c>
      <c r="C1484" t="s">
        <v>72</v>
      </c>
      <c r="D1484">
        <v>1</v>
      </c>
      <c r="E1484">
        <v>352</v>
      </c>
      <c r="F1484">
        <v>88</v>
      </c>
      <c r="G1484">
        <v>352</v>
      </c>
      <c r="H1484" s="4">
        <v>88</v>
      </c>
      <c r="I1484" s="4">
        <v>264</v>
      </c>
      <c r="J1484" t="s">
        <v>48</v>
      </c>
      <c r="K1484" t="s">
        <v>49</v>
      </c>
      <c r="L1484" s="4">
        <v>15.24190997853951</v>
      </c>
      <c r="M1484" s="1" t="s">
        <v>54</v>
      </c>
      <c r="N1484" s="11">
        <f t="shared" si="23"/>
        <v>10</v>
      </c>
    </row>
    <row r="1485" spans="1:14" ht="16" x14ac:dyDescent="0.2">
      <c r="A1485" s="3">
        <v>44791.018976112813</v>
      </c>
      <c r="B1485" s="1" t="s">
        <v>1864</v>
      </c>
      <c r="C1485" t="s">
        <v>420</v>
      </c>
      <c r="D1485">
        <v>18</v>
      </c>
      <c r="E1485">
        <v>162</v>
      </c>
      <c r="F1485">
        <v>54</v>
      </c>
      <c r="G1485">
        <v>2916</v>
      </c>
      <c r="H1485" s="4">
        <v>972</v>
      </c>
      <c r="I1485" s="4">
        <v>1944</v>
      </c>
      <c r="J1485" t="s">
        <v>892</v>
      </c>
      <c r="K1485" t="s">
        <v>33</v>
      </c>
      <c r="L1485" s="4">
        <v>13.062292798511226</v>
      </c>
      <c r="M1485" s="1" t="s">
        <v>38</v>
      </c>
      <c r="N1485" s="11">
        <f t="shared" si="23"/>
        <v>5</v>
      </c>
    </row>
    <row r="1486" spans="1:14" ht="16" x14ac:dyDescent="0.2">
      <c r="A1486" s="3">
        <v>43894.794604402538</v>
      </c>
      <c r="B1486" s="1" t="s">
        <v>1865</v>
      </c>
      <c r="C1486" t="s">
        <v>544</v>
      </c>
      <c r="D1486">
        <v>12</v>
      </c>
      <c r="E1486">
        <v>267</v>
      </c>
      <c r="F1486">
        <v>89</v>
      </c>
      <c r="G1486">
        <v>3204</v>
      </c>
      <c r="H1486" s="4">
        <v>1068</v>
      </c>
      <c r="I1486" s="4">
        <v>2136</v>
      </c>
      <c r="J1486" t="s">
        <v>361</v>
      </c>
      <c r="K1486" t="s">
        <v>64</v>
      </c>
      <c r="L1486" s="4">
        <v>13.092530646074781</v>
      </c>
      <c r="M1486" s="1" t="s">
        <v>38</v>
      </c>
      <c r="N1486" s="11">
        <f t="shared" si="23"/>
        <v>5</v>
      </c>
    </row>
    <row r="1487" spans="1:14" ht="16" x14ac:dyDescent="0.2">
      <c r="A1487" s="3">
        <v>44426.285617084883</v>
      </c>
      <c r="B1487" s="1" t="s">
        <v>1866</v>
      </c>
      <c r="C1487" t="s">
        <v>142</v>
      </c>
      <c r="D1487">
        <v>13</v>
      </c>
      <c r="E1487">
        <v>210</v>
      </c>
      <c r="F1487">
        <v>70</v>
      </c>
      <c r="G1487">
        <v>2730</v>
      </c>
      <c r="H1487" s="4">
        <v>910</v>
      </c>
      <c r="I1487" s="4">
        <v>1820</v>
      </c>
      <c r="J1487" t="s">
        <v>194</v>
      </c>
      <c r="K1487" t="s">
        <v>42</v>
      </c>
      <c r="L1487" s="4">
        <v>14.573178107544177</v>
      </c>
      <c r="M1487" s="1" t="s">
        <v>38</v>
      </c>
      <c r="N1487" s="11">
        <f t="shared" si="23"/>
        <v>5</v>
      </c>
    </row>
    <row r="1488" spans="1:14" ht="16" x14ac:dyDescent="0.2">
      <c r="A1488" s="3">
        <v>44345.750729369858</v>
      </c>
      <c r="B1488" s="1" t="s">
        <v>1867</v>
      </c>
      <c r="C1488" t="s">
        <v>779</v>
      </c>
      <c r="D1488">
        <v>13</v>
      </c>
      <c r="E1488">
        <v>120</v>
      </c>
      <c r="F1488">
        <v>30</v>
      </c>
      <c r="G1488">
        <v>1560</v>
      </c>
      <c r="H1488" s="4">
        <v>390</v>
      </c>
      <c r="I1488" s="4">
        <v>1170</v>
      </c>
      <c r="J1488" t="s">
        <v>241</v>
      </c>
      <c r="K1488" t="s">
        <v>33</v>
      </c>
      <c r="L1488" s="4">
        <v>11.274864741138284</v>
      </c>
      <c r="M1488" s="1" t="s">
        <v>38</v>
      </c>
      <c r="N1488" s="11">
        <f t="shared" si="23"/>
        <v>5</v>
      </c>
    </row>
    <row r="1489" spans="1:14" ht="16" x14ac:dyDescent="0.2">
      <c r="A1489" s="3">
        <v>42980.80076044381</v>
      </c>
      <c r="B1489" s="1" t="s">
        <v>1868</v>
      </c>
      <c r="C1489" t="s">
        <v>171</v>
      </c>
      <c r="D1489">
        <v>6</v>
      </c>
      <c r="E1489">
        <v>225</v>
      </c>
      <c r="F1489">
        <v>75</v>
      </c>
      <c r="G1489">
        <v>1350</v>
      </c>
      <c r="H1489" s="4">
        <v>450</v>
      </c>
      <c r="I1489" s="4">
        <v>900</v>
      </c>
      <c r="J1489" t="s">
        <v>348</v>
      </c>
      <c r="K1489" t="s">
        <v>42</v>
      </c>
      <c r="L1489" s="4">
        <v>11.769293993029555</v>
      </c>
      <c r="M1489" s="1" t="s">
        <v>38</v>
      </c>
      <c r="N1489" s="11">
        <f t="shared" si="23"/>
        <v>5</v>
      </c>
    </row>
    <row r="1490" spans="1:14" ht="16" x14ac:dyDescent="0.2">
      <c r="A1490" s="3">
        <v>44760.401333002133</v>
      </c>
      <c r="B1490" s="1" t="s">
        <v>1869</v>
      </c>
      <c r="C1490" t="s">
        <v>365</v>
      </c>
      <c r="D1490">
        <v>4</v>
      </c>
      <c r="E1490">
        <v>255</v>
      </c>
      <c r="F1490">
        <v>85</v>
      </c>
      <c r="G1490">
        <v>1020</v>
      </c>
      <c r="H1490" s="4">
        <v>340</v>
      </c>
      <c r="I1490" s="4">
        <v>680</v>
      </c>
      <c r="J1490" t="s">
        <v>704</v>
      </c>
      <c r="K1490" t="s">
        <v>86</v>
      </c>
      <c r="L1490" s="4">
        <v>12.699042739101285</v>
      </c>
      <c r="M1490" s="1" t="s">
        <v>38</v>
      </c>
      <c r="N1490" s="11">
        <f t="shared" si="23"/>
        <v>5</v>
      </c>
    </row>
    <row r="1491" spans="1:14" ht="16" x14ac:dyDescent="0.2">
      <c r="A1491" s="3">
        <v>44011.195364190709</v>
      </c>
      <c r="B1491" s="1" t="s">
        <v>1870</v>
      </c>
      <c r="C1491" t="s">
        <v>125</v>
      </c>
      <c r="D1491">
        <v>3</v>
      </c>
      <c r="E1491">
        <v>176</v>
      </c>
      <c r="F1491">
        <v>88</v>
      </c>
      <c r="G1491">
        <v>528</v>
      </c>
      <c r="H1491" s="4">
        <v>264</v>
      </c>
      <c r="I1491" s="4">
        <v>264</v>
      </c>
      <c r="J1491" t="s">
        <v>521</v>
      </c>
      <c r="K1491" t="s">
        <v>58</v>
      </c>
      <c r="L1491" s="4">
        <v>8.8514729234790472</v>
      </c>
      <c r="M1491" s="1" t="s">
        <v>34</v>
      </c>
      <c r="N1491" s="11">
        <f t="shared" si="23"/>
        <v>1</v>
      </c>
    </row>
    <row r="1492" spans="1:14" ht="16" x14ac:dyDescent="0.2">
      <c r="A1492" s="3">
        <v>43238.0702682384</v>
      </c>
      <c r="B1492" s="1" t="s">
        <v>1871</v>
      </c>
      <c r="C1492" t="s">
        <v>410</v>
      </c>
      <c r="D1492">
        <v>13</v>
      </c>
      <c r="E1492">
        <v>84</v>
      </c>
      <c r="F1492">
        <v>21</v>
      </c>
      <c r="G1492">
        <v>1092</v>
      </c>
      <c r="H1492" s="4">
        <v>273</v>
      </c>
      <c r="I1492" s="4">
        <v>819</v>
      </c>
      <c r="J1492" t="s">
        <v>673</v>
      </c>
      <c r="K1492" t="s">
        <v>53</v>
      </c>
      <c r="L1492" s="4">
        <v>14.460020532456038</v>
      </c>
      <c r="M1492" s="1" t="s">
        <v>38</v>
      </c>
      <c r="N1492" s="11">
        <f t="shared" si="23"/>
        <v>5</v>
      </c>
    </row>
    <row r="1493" spans="1:14" ht="16" x14ac:dyDescent="0.2">
      <c r="A1493" s="3">
        <v>43530.494503308735</v>
      </c>
      <c r="B1493" s="1" t="s">
        <v>1872</v>
      </c>
      <c r="C1493" t="s">
        <v>227</v>
      </c>
      <c r="D1493">
        <v>6</v>
      </c>
      <c r="E1493">
        <v>144</v>
      </c>
      <c r="F1493">
        <v>48</v>
      </c>
      <c r="G1493">
        <v>864</v>
      </c>
      <c r="H1493" s="4">
        <v>288</v>
      </c>
      <c r="I1493" s="4">
        <v>576</v>
      </c>
      <c r="J1493" t="s">
        <v>485</v>
      </c>
      <c r="K1493" t="s">
        <v>49</v>
      </c>
      <c r="L1493" s="4">
        <v>12.889576147248359</v>
      </c>
      <c r="M1493" s="1" t="s">
        <v>34</v>
      </c>
      <c r="N1493" s="11">
        <f t="shared" si="23"/>
        <v>1</v>
      </c>
    </row>
    <row r="1494" spans="1:14" ht="16" x14ac:dyDescent="0.2">
      <c r="A1494" s="3">
        <v>43618.631437818665</v>
      </c>
      <c r="B1494" s="1" t="s">
        <v>1873</v>
      </c>
      <c r="C1494" t="s">
        <v>175</v>
      </c>
      <c r="D1494">
        <v>6</v>
      </c>
      <c r="E1494">
        <v>38</v>
      </c>
      <c r="F1494">
        <v>19</v>
      </c>
      <c r="G1494">
        <v>228</v>
      </c>
      <c r="H1494" s="4">
        <v>114</v>
      </c>
      <c r="I1494" s="4">
        <v>114</v>
      </c>
      <c r="J1494" t="s">
        <v>310</v>
      </c>
      <c r="K1494" t="s">
        <v>58</v>
      </c>
      <c r="L1494" s="4">
        <v>11.03324198943719</v>
      </c>
      <c r="M1494" s="1" t="s">
        <v>54</v>
      </c>
      <c r="N1494" s="11">
        <f t="shared" si="23"/>
        <v>10</v>
      </c>
    </row>
    <row r="1495" spans="1:14" ht="16" x14ac:dyDescent="0.2">
      <c r="A1495" s="3">
        <v>43728.819030189276</v>
      </c>
      <c r="B1495" s="1" t="s">
        <v>1874</v>
      </c>
      <c r="C1495" t="s">
        <v>175</v>
      </c>
      <c r="D1495">
        <v>9</v>
      </c>
      <c r="E1495">
        <v>38</v>
      </c>
      <c r="F1495">
        <v>19</v>
      </c>
      <c r="G1495">
        <v>342</v>
      </c>
      <c r="H1495" s="4">
        <v>171</v>
      </c>
      <c r="I1495" s="4">
        <v>171</v>
      </c>
      <c r="J1495" t="s">
        <v>143</v>
      </c>
      <c r="K1495" t="s">
        <v>64</v>
      </c>
      <c r="L1495" s="4">
        <v>11.406233913305266</v>
      </c>
      <c r="M1495" s="1" t="s">
        <v>34</v>
      </c>
      <c r="N1495" s="11">
        <f t="shared" si="23"/>
        <v>1</v>
      </c>
    </row>
    <row r="1496" spans="1:14" ht="16" x14ac:dyDescent="0.2">
      <c r="A1496" s="3">
        <v>43897.263327931418</v>
      </c>
      <c r="B1496" s="1" t="s">
        <v>1875</v>
      </c>
      <c r="C1496" t="s">
        <v>252</v>
      </c>
      <c r="D1496">
        <v>1</v>
      </c>
      <c r="E1496">
        <v>252</v>
      </c>
      <c r="F1496">
        <v>63</v>
      </c>
      <c r="G1496">
        <v>252</v>
      </c>
      <c r="H1496" s="4">
        <v>63</v>
      </c>
      <c r="I1496" s="4">
        <v>189</v>
      </c>
      <c r="J1496" t="s">
        <v>962</v>
      </c>
      <c r="K1496" t="s">
        <v>86</v>
      </c>
      <c r="L1496" s="4">
        <v>10.968401424454578</v>
      </c>
      <c r="M1496" s="1" t="s">
        <v>38</v>
      </c>
      <c r="N1496" s="11">
        <f t="shared" si="23"/>
        <v>5</v>
      </c>
    </row>
    <row r="1497" spans="1:14" ht="16" x14ac:dyDescent="0.2">
      <c r="A1497" s="3">
        <v>44037.318699388117</v>
      </c>
      <c r="B1497" s="1" t="s">
        <v>1876</v>
      </c>
      <c r="C1497" t="s">
        <v>133</v>
      </c>
      <c r="D1497">
        <v>5</v>
      </c>
      <c r="E1497">
        <v>189</v>
      </c>
      <c r="F1497">
        <v>63</v>
      </c>
      <c r="G1497">
        <v>945</v>
      </c>
      <c r="H1497" s="4">
        <v>315</v>
      </c>
      <c r="I1497" s="4">
        <v>630</v>
      </c>
      <c r="J1497" t="s">
        <v>432</v>
      </c>
      <c r="K1497" t="s">
        <v>49</v>
      </c>
      <c r="L1497" s="4">
        <v>13.857835104514242</v>
      </c>
      <c r="M1497" s="1" t="s">
        <v>34</v>
      </c>
      <c r="N1497" s="11">
        <f t="shared" si="23"/>
        <v>1</v>
      </c>
    </row>
    <row r="1498" spans="1:14" ht="16" x14ac:dyDescent="0.2">
      <c r="A1498" s="3">
        <v>45298.181990615893</v>
      </c>
      <c r="B1498" s="1" t="s">
        <v>1877</v>
      </c>
      <c r="C1498" t="s">
        <v>410</v>
      </c>
      <c r="D1498">
        <v>1</v>
      </c>
      <c r="E1498">
        <v>84</v>
      </c>
      <c r="F1498">
        <v>21</v>
      </c>
      <c r="G1498">
        <v>84</v>
      </c>
      <c r="H1498" s="4">
        <v>21</v>
      </c>
      <c r="I1498" s="4">
        <v>63</v>
      </c>
      <c r="J1498" t="s">
        <v>1085</v>
      </c>
      <c r="K1498" t="s">
        <v>49</v>
      </c>
      <c r="L1498" s="4">
        <v>10.818241047231139</v>
      </c>
      <c r="M1498" s="1" t="s">
        <v>38</v>
      </c>
      <c r="N1498" s="11">
        <f t="shared" si="23"/>
        <v>5</v>
      </c>
    </row>
    <row r="1499" spans="1:14" ht="16" x14ac:dyDescent="0.2">
      <c r="A1499" s="3">
        <v>42676.558114577754</v>
      </c>
      <c r="B1499" s="1" t="s">
        <v>1878</v>
      </c>
      <c r="C1499" t="s">
        <v>51</v>
      </c>
      <c r="D1499">
        <v>16</v>
      </c>
      <c r="E1499">
        <v>160</v>
      </c>
      <c r="F1499">
        <v>80</v>
      </c>
      <c r="G1499">
        <v>2560</v>
      </c>
      <c r="H1499" s="4">
        <v>1280</v>
      </c>
      <c r="I1499" s="4">
        <v>1280</v>
      </c>
      <c r="J1499" t="s">
        <v>1157</v>
      </c>
      <c r="K1499" t="s">
        <v>42</v>
      </c>
      <c r="L1499" s="4">
        <v>10.517826055804084</v>
      </c>
      <c r="M1499" s="1" t="s">
        <v>38</v>
      </c>
      <c r="N1499" s="11">
        <f t="shared" si="23"/>
        <v>5</v>
      </c>
    </row>
    <row r="1500" spans="1:14" ht="16" x14ac:dyDescent="0.2">
      <c r="A1500" s="3">
        <v>43521.419629996984</v>
      </c>
      <c r="B1500" s="1" t="s">
        <v>1879</v>
      </c>
      <c r="C1500" t="s">
        <v>78</v>
      </c>
      <c r="D1500">
        <v>14</v>
      </c>
      <c r="E1500">
        <v>94</v>
      </c>
      <c r="F1500">
        <v>47</v>
      </c>
      <c r="G1500">
        <v>1316</v>
      </c>
      <c r="H1500" s="4">
        <v>658</v>
      </c>
      <c r="I1500" s="4">
        <v>658</v>
      </c>
      <c r="J1500" t="s">
        <v>882</v>
      </c>
      <c r="K1500" t="s">
        <v>64</v>
      </c>
      <c r="L1500" s="4">
        <v>12.701325659159139</v>
      </c>
      <c r="M1500" s="1" t="s">
        <v>38</v>
      </c>
      <c r="N1500" s="11">
        <f t="shared" si="23"/>
        <v>5</v>
      </c>
    </row>
    <row r="1501" spans="1:14" ht="16" x14ac:dyDescent="0.2">
      <c r="A1501" s="3">
        <v>43860.59639234739</v>
      </c>
      <c r="B1501" s="1" t="s">
        <v>1880</v>
      </c>
      <c r="C1501" t="s">
        <v>130</v>
      </c>
      <c r="D1501">
        <v>11</v>
      </c>
      <c r="E1501">
        <v>144</v>
      </c>
      <c r="F1501">
        <v>48</v>
      </c>
      <c r="G1501">
        <v>1584</v>
      </c>
      <c r="H1501" s="4">
        <v>528</v>
      </c>
      <c r="I1501" s="4">
        <v>1056</v>
      </c>
      <c r="J1501" t="s">
        <v>321</v>
      </c>
      <c r="K1501" t="s">
        <v>42</v>
      </c>
      <c r="L1501" s="4">
        <v>7.7337149713827413</v>
      </c>
      <c r="M1501" s="1" t="s">
        <v>34</v>
      </c>
      <c r="N1501" s="11">
        <f t="shared" si="23"/>
        <v>1</v>
      </c>
    </row>
    <row r="1502" spans="1:14" ht="16" x14ac:dyDescent="0.2">
      <c r="A1502" s="3">
        <v>43789.371224745548</v>
      </c>
      <c r="B1502" s="1" t="s">
        <v>1881</v>
      </c>
      <c r="C1502" t="s">
        <v>394</v>
      </c>
      <c r="D1502">
        <v>7</v>
      </c>
      <c r="E1502">
        <v>58</v>
      </c>
      <c r="F1502">
        <v>29</v>
      </c>
      <c r="G1502">
        <v>406</v>
      </c>
      <c r="H1502" s="4">
        <v>203</v>
      </c>
      <c r="I1502" s="4">
        <v>203</v>
      </c>
      <c r="J1502" t="s">
        <v>741</v>
      </c>
      <c r="K1502" t="s">
        <v>42</v>
      </c>
      <c r="L1502" s="4">
        <v>14.817898176328208</v>
      </c>
      <c r="M1502" s="1" t="s">
        <v>38</v>
      </c>
      <c r="N1502" s="11">
        <f t="shared" si="23"/>
        <v>5</v>
      </c>
    </row>
    <row r="1503" spans="1:14" ht="16" x14ac:dyDescent="0.2">
      <c r="A1503" s="3">
        <v>44411.474222884535</v>
      </c>
      <c r="B1503" s="1" t="s">
        <v>1882</v>
      </c>
      <c r="C1503" t="s">
        <v>243</v>
      </c>
      <c r="D1503">
        <v>1</v>
      </c>
      <c r="E1503">
        <v>90</v>
      </c>
      <c r="F1503">
        <v>45</v>
      </c>
      <c r="G1503">
        <v>90</v>
      </c>
      <c r="H1503" s="4">
        <v>45</v>
      </c>
      <c r="I1503" s="4">
        <v>45</v>
      </c>
      <c r="J1503" t="s">
        <v>181</v>
      </c>
      <c r="K1503" t="s">
        <v>53</v>
      </c>
      <c r="L1503" s="4">
        <v>11.727497850343074</v>
      </c>
      <c r="M1503" s="1" t="s">
        <v>38</v>
      </c>
      <c r="N1503" s="11">
        <f t="shared" si="23"/>
        <v>5</v>
      </c>
    </row>
    <row r="1504" spans="1:14" ht="16" x14ac:dyDescent="0.2">
      <c r="A1504" s="3">
        <v>44160.810321468976</v>
      </c>
      <c r="B1504" s="1" t="s">
        <v>1883</v>
      </c>
      <c r="C1504" t="s">
        <v>36</v>
      </c>
      <c r="D1504">
        <v>3</v>
      </c>
      <c r="E1504">
        <v>102</v>
      </c>
      <c r="F1504">
        <v>51</v>
      </c>
      <c r="G1504">
        <v>306</v>
      </c>
      <c r="H1504" s="4">
        <v>153</v>
      </c>
      <c r="I1504" s="4">
        <v>153</v>
      </c>
      <c r="J1504" t="s">
        <v>199</v>
      </c>
      <c r="K1504" t="s">
        <v>86</v>
      </c>
      <c r="L1504" s="4">
        <v>13.890275354050972</v>
      </c>
      <c r="M1504" s="1" t="s">
        <v>34</v>
      </c>
      <c r="N1504" s="11">
        <f t="shared" si="23"/>
        <v>1</v>
      </c>
    </row>
    <row r="1505" spans="1:14" ht="16" x14ac:dyDescent="0.2">
      <c r="A1505" s="3">
        <v>43724.086968893265</v>
      </c>
      <c r="B1505" s="1" t="s">
        <v>1884</v>
      </c>
      <c r="C1505" t="s">
        <v>105</v>
      </c>
      <c r="D1505">
        <v>15</v>
      </c>
      <c r="E1505">
        <v>201</v>
      </c>
      <c r="F1505">
        <v>67</v>
      </c>
      <c r="G1505">
        <v>3015</v>
      </c>
      <c r="H1505" s="4">
        <v>1005</v>
      </c>
      <c r="I1505" s="4">
        <v>2010</v>
      </c>
      <c r="J1505" t="s">
        <v>611</v>
      </c>
      <c r="K1505" t="s">
        <v>58</v>
      </c>
      <c r="L1505" s="4">
        <v>7.8974070387684714</v>
      </c>
      <c r="M1505" s="1" t="s">
        <v>34</v>
      </c>
      <c r="N1505" s="11">
        <f t="shared" si="23"/>
        <v>1</v>
      </c>
    </row>
    <row r="1506" spans="1:14" ht="16" x14ac:dyDescent="0.2">
      <c r="A1506" s="3">
        <v>44302.289625708152</v>
      </c>
      <c r="B1506" s="1" t="s">
        <v>1885</v>
      </c>
      <c r="C1506" t="s">
        <v>410</v>
      </c>
      <c r="D1506">
        <v>17</v>
      </c>
      <c r="E1506">
        <v>84</v>
      </c>
      <c r="F1506">
        <v>21</v>
      </c>
      <c r="G1506">
        <v>1428</v>
      </c>
      <c r="H1506" s="4">
        <v>357</v>
      </c>
      <c r="I1506" s="4">
        <v>1071</v>
      </c>
      <c r="J1506" t="s">
        <v>444</v>
      </c>
      <c r="K1506" t="s">
        <v>42</v>
      </c>
      <c r="L1506" s="4">
        <v>15.861056998489449</v>
      </c>
      <c r="M1506" s="1" t="s">
        <v>54</v>
      </c>
      <c r="N1506" s="11">
        <f t="shared" si="23"/>
        <v>10</v>
      </c>
    </row>
    <row r="1507" spans="1:14" ht="16" x14ac:dyDescent="0.2">
      <c r="A1507" s="3">
        <v>43671.461573419161</v>
      </c>
      <c r="B1507" s="1" t="s">
        <v>1886</v>
      </c>
      <c r="C1507" t="s">
        <v>196</v>
      </c>
      <c r="D1507">
        <v>7</v>
      </c>
      <c r="E1507">
        <v>192</v>
      </c>
      <c r="F1507">
        <v>96</v>
      </c>
      <c r="G1507">
        <v>1344</v>
      </c>
      <c r="H1507" s="4">
        <v>672</v>
      </c>
      <c r="I1507" s="4">
        <v>672</v>
      </c>
      <c r="J1507" t="s">
        <v>1223</v>
      </c>
      <c r="K1507" t="s">
        <v>53</v>
      </c>
      <c r="L1507" s="4">
        <v>10.428287009858728</v>
      </c>
      <c r="M1507" s="1" t="s">
        <v>38</v>
      </c>
      <c r="N1507" s="11">
        <f t="shared" si="23"/>
        <v>5</v>
      </c>
    </row>
    <row r="1508" spans="1:14" ht="16" x14ac:dyDescent="0.2">
      <c r="A1508" s="3">
        <v>43994.032822722715</v>
      </c>
      <c r="B1508" s="1" t="s">
        <v>1547</v>
      </c>
      <c r="C1508" t="s">
        <v>592</v>
      </c>
      <c r="D1508">
        <v>14</v>
      </c>
      <c r="E1508">
        <v>312</v>
      </c>
      <c r="F1508">
        <v>78</v>
      </c>
      <c r="G1508">
        <v>4368</v>
      </c>
      <c r="H1508" s="4">
        <v>1092</v>
      </c>
      <c r="I1508" s="4">
        <v>3276</v>
      </c>
      <c r="J1508" t="s">
        <v>1721</v>
      </c>
      <c r="K1508" t="s">
        <v>58</v>
      </c>
      <c r="L1508" s="4">
        <v>13.537350739681813</v>
      </c>
      <c r="M1508" s="1" t="s">
        <v>34</v>
      </c>
      <c r="N1508" s="11">
        <f t="shared" si="23"/>
        <v>1</v>
      </c>
    </row>
    <row r="1509" spans="1:14" ht="16" x14ac:dyDescent="0.2">
      <c r="A1509" s="3">
        <v>43620.101371529214</v>
      </c>
      <c r="B1509" s="1" t="s">
        <v>1887</v>
      </c>
      <c r="C1509" t="s">
        <v>101</v>
      </c>
      <c r="D1509">
        <v>6</v>
      </c>
      <c r="E1509">
        <v>50</v>
      </c>
      <c r="F1509">
        <v>25</v>
      </c>
      <c r="G1509">
        <v>300</v>
      </c>
      <c r="H1509" s="4">
        <v>150</v>
      </c>
      <c r="I1509" s="4">
        <v>150</v>
      </c>
      <c r="J1509" t="s">
        <v>89</v>
      </c>
      <c r="K1509" t="s">
        <v>64</v>
      </c>
      <c r="L1509" s="4">
        <v>12.865074657680612</v>
      </c>
      <c r="M1509" s="1" t="s">
        <v>38</v>
      </c>
      <c r="N1509" s="11">
        <f t="shared" si="23"/>
        <v>5</v>
      </c>
    </row>
    <row r="1510" spans="1:14" ht="16" x14ac:dyDescent="0.2">
      <c r="A1510" s="3">
        <v>43498.279767684602</v>
      </c>
      <c r="B1510" s="1" t="s">
        <v>1888</v>
      </c>
      <c r="C1510" t="s">
        <v>188</v>
      </c>
      <c r="D1510">
        <v>7</v>
      </c>
      <c r="E1510">
        <v>368</v>
      </c>
      <c r="F1510">
        <v>92</v>
      </c>
      <c r="G1510">
        <v>2576</v>
      </c>
      <c r="H1510" s="4">
        <v>644</v>
      </c>
      <c r="I1510" s="4">
        <v>1932</v>
      </c>
      <c r="J1510" t="s">
        <v>611</v>
      </c>
      <c r="K1510" t="s">
        <v>58</v>
      </c>
      <c r="L1510" s="4">
        <v>7.8974070387684714</v>
      </c>
      <c r="M1510" s="1" t="s">
        <v>38</v>
      </c>
      <c r="N1510" s="11">
        <f t="shared" si="23"/>
        <v>5</v>
      </c>
    </row>
    <row r="1511" spans="1:14" ht="16" x14ac:dyDescent="0.2">
      <c r="A1511" s="3">
        <v>44049.630823246342</v>
      </c>
      <c r="B1511" s="1" t="s">
        <v>1889</v>
      </c>
      <c r="C1511" t="s">
        <v>399</v>
      </c>
      <c r="D1511">
        <v>18</v>
      </c>
      <c r="E1511">
        <v>160</v>
      </c>
      <c r="F1511">
        <v>80</v>
      </c>
      <c r="G1511">
        <v>2880</v>
      </c>
      <c r="H1511" s="4">
        <v>1440</v>
      </c>
      <c r="I1511" s="4">
        <v>1440</v>
      </c>
      <c r="J1511" t="s">
        <v>912</v>
      </c>
      <c r="K1511" t="s">
        <v>64</v>
      </c>
      <c r="L1511" s="4">
        <v>11.816651848338852</v>
      </c>
      <c r="M1511" s="1" t="s">
        <v>38</v>
      </c>
      <c r="N1511" s="11">
        <f t="shared" si="23"/>
        <v>5</v>
      </c>
    </row>
    <row r="1512" spans="1:14" ht="16" x14ac:dyDescent="0.2">
      <c r="A1512" s="3">
        <v>43914.497918577428</v>
      </c>
      <c r="B1512" s="1" t="s">
        <v>256</v>
      </c>
      <c r="C1512" t="s">
        <v>51</v>
      </c>
      <c r="D1512">
        <v>8</v>
      </c>
      <c r="E1512">
        <v>160</v>
      </c>
      <c r="F1512">
        <v>80</v>
      </c>
      <c r="G1512">
        <v>1280</v>
      </c>
      <c r="H1512" s="4">
        <v>640</v>
      </c>
      <c r="I1512" s="4">
        <v>640</v>
      </c>
      <c r="J1512" t="s">
        <v>1068</v>
      </c>
      <c r="K1512" t="s">
        <v>42</v>
      </c>
      <c r="L1512" s="4">
        <v>8.1352386075080023</v>
      </c>
      <c r="M1512" s="1" t="s">
        <v>38</v>
      </c>
      <c r="N1512" s="11">
        <f t="shared" si="23"/>
        <v>5</v>
      </c>
    </row>
    <row r="1513" spans="1:14" ht="16" x14ac:dyDescent="0.2">
      <c r="A1513" s="3">
        <v>43271.915968061694</v>
      </c>
      <c r="B1513" s="1" t="s">
        <v>1890</v>
      </c>
      <c r="C1513" t="s">
        <v>72</v>
      </c>
      <c r="D1513">
        <v>17</v>
      </c>
      <c r="E1513">
        <v>352</v>
      </c>
      <c r="F1513">
        <v>88</v>
      </c>
      <c r="G1513">
        <v>5984</v>
      </c>
      <c r="H1513" s="4">
        <v>1496</v>
      </c>
      <c r="I1513" s="4">
        <v>4488</v>
      </c>
      <c r="J1513" t="s">
        <v>1012</v>
      </c>
      <c r="K1513" t="s">
        <v>33</v>
      </c>
      <c r="L1513" s="4">
        <v>14.538471643780088</v>
      </c>
      <c r="M1513" s="1" t="s">
        <v>38</v>
      </c>
      <c r="N1513" s="11">
        <f t="shared" si="23"/>
        <v>5</v>
      </c>
    </row>
    <row r="1514" spans="1:14" ht="16" x14ac:dyDescent="0.2">
      <c r="A1514" s="3">
        <v>43901.805567675256</v>
      </c>
      <c r="B1514" s="1" t="s">
        <v>1891</v>
      </c>
      <c r="C1514" t="s">
        <v>157</v>
      </c>
      <c r="D1514">
        <v>17</v>
      </c>
      <c r="E1514">
        <v>50</v>
      </c>
      <c r="F1514">
        <v>25</v>
      </c>
      <c r="G1514">
        <v>850</v>
      </c>
      <c r="H1514" s="4">
        <v>425</v>
      </c>
      <c r="I1514" s="4">
        <v>425</v>
      </c>
      <c r="J1514" t="s">
        <v>923</v>
      </c>
      <c r="K1514" t="s">
        <v>42</v>
      </c>
      <c r="L1514" s="4">
        <v>12.502346728827876</v>
      </c>
      <c r="M1514" s="1" t="s">
        <v>38</v>
      </c>
      <c r="N1514" s="11">
        <f t="shared" si="23"/>
        <v>5</v>
      </c>
    </row>
    <row r="1515" spans="1:14" ht="16" x14ac:dyDescent="0.2">
      <c r="A1515" s="3">
        <v>43421.606495163644</v>
      </c>
      <c r="B1515" s="1" t="s">
        <v>1892</v>
      </c>
      <c r="C1515" t="s">
        <v>105</v>
      </c>
      <c r="D1515">
        <v>17</v>
      </c>
      <c r="E1515">
        <v>201</v>
      </c>
      <c r="F1515">
        <v>67</v>
      </c>
      <c r="G1515">
        <v>3417</v>
      </c>
      <c r="H1515" s="4">
        <v>1139</v>
      </c>
      <c r="I1515" s="4">
        <v>2278</v>
      </c>
      <c r="J1515" t="s">
        <v>1085</v>
      </c>
      <c r="K1515" t="s">
        <v>49</v>
      </c>
      <c r="L1515" s="4">
        <v>10.818241047231139</v>
      </c>
      <c r="M1515" s="1" t="s">
        <v>38</v>
      </c>
      <c r="N1515" s="11">
        <f t="shared" si="23"/>
        <v>5</v>
      </c>
    </row>
    <row r="1516" spans="1:14" ht="16" x14ac:dyDescent="0.2">
      <c r="A1516" s="3">
        <v>43965.594750819255</v>
      </c>
      <c r="B1516" s="1" t="s">
        <v>1893</v>
      </c>
      <c r="C1516" t="s">
        <v>47</v>
      </c>
      <c r="D1516">
        <v>15</v>
      </c>
      <c r="E1516">
        <v>231</v>
      </c>
      <c r="F1516">
        <v>77</v>
      </c>
      <c r="G1516">
        <v>3465</v>
      </c>
      <c r="H1516" s="4">
        <v>1155</v>
      </c>
      <c r="I1516" s="4">
        <v>2310</v>
      </c>
      <c r="J1516" t="s">
        <v>611</v>
      </c>
      <c r="K1516" t="s">
        <v>58</v>
      </c>
      <c r="L1516" s="4">
        <v>7.8974070387684714</v>
      </c>
      <c r="M1516" s="1" t="s">
        <v>38</v>
      </c>
      <c r="N1516" s="11">
        <f t="shared" si="23"/>
        <v>5</v>
      </c>
    </row>
    <row r="1517" spans="1:14" ht="16" x14ac:dyDescent="0.2">
      <c r="A1517" s="3">
        <v>43781.296618383283</v>
      </c>
      <c r="B1517" s="1" t="s">
        <v>1894</v>
      </c>
      <c r="C1517" t="s">
        <v>301</v>
      </c>
      <c r="D1517">
        <v>7</v>
      </c>
      <c r="E1517">
        <v>188</v>
      </c>
      <c r="F1517">
        <v>94</v>
      </c>
      <c r="G1517">
        <v>1316</v>
      </c>
      <c r="H1517" s="4">
        <v>658</v>
      </c>
      <c r="I1517" s="4">
        <v>658</v>
      </c>
      <c r="J1517" t="s">
        <v>416</v>
      </c>
      <c r="K1517" t="s">
        <v>58</v>
      </c>
      <c r="L1517" s="4">
        <v>12.399050786131125</v>
      </c>
      <c r="M1517" s="1" t="s">
        <v>38</v>
      </c>
      <c r="N1517" s="11">
        <f t="shared" si="23"/>
        <v>5</v>
      </c>
    </row>
    <row r="1518" spans="1:14" ht="16" x14ac:dyDescent="0.2">
      <c r="A1518" s="3">
        <v>43150.849456645905</v>
      </c>
      <c r="B1518" s="1" t="s">
        <v>1895</v>
      </c>
      <c r="C1518" t="s">
        <v>178</v>
      </c>
      <c r="D1518">
        <v>18</v>
      </c>
      <c r="E1518">
        <v>189</v>
      </c>
      <c r="F1518">
        <v>63</v>
      </c>
      <c r="G1518">
        <v>3402</v>
      </c>
      <c r="H1518" s="4">
        <v>1134</v>
      </c>
      <c r="I1518" s="4">
        <v>2268</v>
      </c>
      <c r="J1518" t="s">
        <v>738</v>
      </c>
      <c r="K1518" t="s">
        <v>33</v>
      </c>
      <c r="L1518" s="4">
        <v>12.985332015423809</v>
      </c>
      <c r="M1518" s="1" t="s">
        <v>54</v>
      </c>
      <c r="N1518" s="11">
        <f t="shared" si="23"/>
        <v>10</v>
      </c>
    </row>
    <row r="1519" spans="1:14" ht="16" x14ac:dyDescent="0.2">
      <c r="A1519" s="3">
        <v>45683.834384099544</v>
      </c>
      <c r="B1519" s="1" t="s">
        <v>1896</v>
      </c>
      <c r="C1519" t="s">
        <v>101</v>
      </c>
      <c r="D1519">
        <v>16</v>
      </c>
      <c r="E1519">
        <v>50</v>
      </c>
      <c r="F1519">
        <v>25</v>
      </c>
      <c r="G1519">
        <v>800</v>
      </c>
      <c r="H1519" s="4">
        <v>400</v>
      </c>
      <c r="I1519" s="4">
        <v>400</v>
      </c>
      <c r="J1519" t="s">
        <v>89</v>
      </c>
      <c r="K1519" t="s">
        <v>64</v>
      </c>
      <c r="L1519" s="4">
        <v>12.865074657680612</v>
      </c>
      <c r="M1519" s="1" t="s">
        <v>54</v>
      </c>
      <c r="N1519" s="11">
        <f t="shared" si="23"/>
        <v>10</v>
      </c>
    </row>
    <row r="1520" spans="1:14" ht="16" x14ac:dyDescent="0.2">
      <c r="A1520" s="3">
        <v>43680.345749535278</v>
      </c>
      <c r="B1520" s="1" t="s">
        <v>412</v>
      </c>
      <c r="C1520" t="s">
        <v>410</v>
      </c>
      <c r="D1520">
        <v>15</v>
      </c>
      <c r="E1520">
        <v>84</v>
      </c>
      <c r="F1520">
        <v>21</v>
      </c>
      <c r="G1520">
        <v>1260</v>
      </c>
      <c r="H1520" s="4">
        <v>315</v>
      </c>
      <c r="I1520" s="4">
        <v>945</v>
      </c>
      <c r="J1520" t="s">
        <v>776</v>
      </c>
      <c r="K1520" t="s">
        <v>86</v>
      </c>
      <c r="L1520" s="4">
        <v>13.611804647345796</v>
      </c>
      <c r="M1520" s="1" t="s">
        <v>38</v>
      </c>
      <c r="N1520" s="11">
        <f t="shared" si="23"/>
        <v>5</v>
      </c>
    </row>
    <row r="1521" spans="1:14" ht="16" x14ac:dyDescent="0.2">
      <c r="A1521" s="3">
        <v>44300.696210617876</v>
      </c>
      <c r="B1521" s="1" t="s">
        <v>1897</v>
      </c>
      <c r="C1521" t="s">
        <v>410</v>
      </c>
      <c r="D1521">
        <v>13</v>
      </c>
      <c r="E1521">
        <v>84</v>
      </c>
      <c r="F1521">
        <v>21</v>
      </c>
      <c r="G1521">
        <v>1092</v>
      </c>
      <c r="H1521" s="4">
        <v>273</v>
      </c>
      <c r="I1521" s="4">
        <v>819</v>
      </c>
      <c r="J1521" t="s">
        <v>318</v>
      </c>
      <c r="K1521" t="s">
        <v>33</v>
      </c>
      <c r="L1521" s="4">
        <v>9.0350666811770921</v>
      </c>
      <c r="M1521" s="1" t="s">
        <v>38</v>
      </c>
      <c r="N1521" s="11">
        <f t="shared" si="23"/>
        <v>5</v>
      </c>
    </row>
    <row r="1522" spans="1:14" ht="16" x14ac:dyDescent="0.2">
      <c r="A1522" s="3">
        <v>43910.745209595436</v>
      </c>
      <c r="B1522" s="1" t="s">
        <v>1898</v>
      </c>
      <c r="C1522" t="s">
        <v>154</v>
      </c>
      <c r="D1522">
        <v>5</v>
      </c>
      <c r="E1522">
        <v>308</v>
      </c>
      <c r="F1522">
        <v>77</v>
      </c>
      <c r="G1522">
        <v>1540</v>
      </c>
      <c r="H1522" s="4">
        <v>385</v>
      </c>
      <c r="I1522" s="4">
        <v>1155</v>
      </c>
      <c r="J1522" t="s">
        <v>653</v>
      </c>
      <c r="K1522" t="s">
        <v>86</v>
      </c>
      <c r="L1522" s="4">
        <v>12.869841591513939</v>
      </c>
      <c r="M1522" s="1" t="s">
        <v>34</v>
      </c>
      <c r="N1522" s="11">
        <f t="shared" si="23"/>
        <v>1</v>
      </c>
    </row>
    <row r="1523" spans="1:14" ht="16" x14ac:dyDescent="0.2">
      <c r="A1523" s="3">
        <v>44345.169681561412</v>
      </c>
      <c r="B1523" s="1" t="s">
        <v>1899</v>
      </c>
      <c r="C1523" t="s">
        <v>178</v>
      </c>
      <c r="D1523">
        <v>18</v>
      </c>
      <c r="E1523">
        <v>189</v>
      </c>
      <c r="F1523">
        <v>63</v>
      </c>
      <c r="G1523">
        <v>3402</v>
      </c>
      <c r="H1523" s="4">
        <v>1134</v>
      </c>
      <c r="I1523" s="4">
        <v>2268</v>
      </c>
      <c r="J1523" t="s">
        <v>474</v>
      </c>
      <c r="K1523" t="s">
        <v>33</v>
      </c>
      <c r="L1523" s="4">
        <v>9.629298039722805</v>
      </c>
      <c r="M1523" s="1" t="s">
        <v>38</v>
      </c>
      <c r="N1523" s="11">
        <f t="shared" si="23"/>
        <v>5</v>
      </c>
    </row>
    <row r="1524" spans="1:14" ht="16" x14ac:dyDescent="0.2">
      <c r="A1524" s="3">
        <v>43752.977812652927</v>
      </c>
      <c r="B1524" s="1" t="s">
        <v>1900</v>
      </c>
      <c r="C1524" t="s">
        <v>145</v>
      </c>
      <c r="D1524">
        <v>3</v>
      </c>
      <c r="E1524">
        <v>207</v>
      </c>
      <c r="F1524">
        <v>69</v>
      </c>
      <c r="G1524">
        <v>621</v>
      </c>
      <c r="H1524" s="4">
        <v>207</v>
      </c>
      <c r="I1524" s="4">
        <v>414</v>
      </c>
      <c r="J1524" t="s">
        <v>752</v>
      </c>
      <c r="K1524" t="s">
        <v>49</v>
      </c>
      <c r="L1524" s="4">
        <v>11.862005526237752</v>
      </c>
      <c r="M1524" s="1" t="s">
        <v>38</v>
      </c>
      <c r="N1524" s="11">
        <f t="shared" si="23"/>
        <v>5</v>
      </c>
    </row>
    <row r="1525" spans="1:14" ht="16" x14ac:dyDescent="0.2">
      <c r="A1525" s="3">
        <v>44047.513005013498</v>
      </c>
      <c r="B1525" s="1" t="s">
        <v>1901</v>
      </c>
      <c r="C1525" t="s">
        <v>201</v>
      </c>
      <c r="D1525">
        <v>13</v>
      </c>
      <c r="E1525">
        <v>30</v>
      </c>
      <c r="F1525">
        <v>15</v>
      </c>
      <c r="G1525">
        <v>390</v>
      </c>
      <c r="H1525" s="4">
        <v>195</v>
      </c>
      <c r="I1525" s="4">
        <v>195</v>
      </c>
      <c r="J1525" t="s">
        <v>310</v>
      </c>
      <c r="K1525" t="s">
        <v>58</v>
      </c>
      <c r="L1525" s="4">
        <v>11.03324198943719</v>
      </c>
      <c r="M1525" s="1" t="s">
        <v>38</v>
      </c>
      <c r="N1525" s="11">
        <f t="shared" si="23"/>
        <v>5</v>
      </c>
    </row>
    <row r="1526" spans="1:14" ht="16" x14ac:dyDescent="0.2">
      <c r="A1526" s="3">
        <v>44035.738648744256</v>
      </c>
      <c r="B1526" s="1" t="s">
        <v>1902</v>
      </c>
      <c r="C1526" t="s">
        <v>261</v>
      </c>
      <c r="D1526">
        <v>19</v>
      </c>
      <c r="E1526">
        <v>92</v>
      </c>
      <c r="F1526">
        <v>46</v>
      </c>
      <c r="G1526">
        <v>1748</v>
      </c>
      <c r="H1526" s="4">
        <v>874</v>
      </c>
      <c r="I1526" s="4">
        <v>874</v>
      </c>
      <c r="J1526" t="s">
        <v>701</v>
      </c>
      <c r="K1526" t="s">
        <v>42</v>
      </c>
      <c r="L1526" s="4">
        <v>10.434860153112215</v>
      </c>
      <c r="M1526" s="1" t="s">
        <v>34</v>
      </c>
      <c r="N1526" s="11">
        <f t="shared" si="23"/>
        <v>1</v>
      </c>
    </row>
    <row r="1527" spans="1:14" ht="16" x14ac:dyDescent="0.2">
      <c r="A1527" s="3">
        <v>44192.698323293662</v>
      </c>
      <c r="B1527" s="1" t="s">
        <v>1903</v>
      </c>
      <c r="C1527" t="s">
        <v>130</v>
      </c>
      <c r="D1527">
        <v>13</v>
      </c>
      <c r="E1527">
        <v>144</v>
      </c>
      <c r="F1527">
        <v>48</v>
      </c>
      <c r="G1527">
        <v>1872</v>
      </c>
      <c r="H1527" s="4">
        <v>624</v>
      </c>
      <c r="I1527" s="4">
        <v>1248</v>
      </c>
      <c r="J1527" t="s">
        <v>504</v>
      </c>
      <c r="K1527" t="s">
        <v>53</v>
      </c>
      <c r="L1527" s="4">
        <v>12.801144805697081</v>
      </c>
      <c r="M1527" s="1" t="s">
        <v>54</v>
      </c>
      <c r="N1527" s="11">
        <f t="shared" si="23"/>
        <v>10</v>
      </c>
    </row>
    <row r="1528" spans="1:14" ht="16" x14ac:dyDescent="0.2">
      <c r="A1528" s="3">
        <v>43512.774737101216</v>
      </c>
      <c r="B1528" s="1" t="s">
        <v>1904</v>
      </c>
      <c r="C1528" t="s">
        <v>538</v>
      </c>
      <c r="D1528">
        <v>2</v>
      </c>
      <c r="E1528">
        <v>261</v>
      </c>
      <c r="F1528">
        <v>87</v>
      </c>
      <c r="G1528">
        <v>522</v>
      </c>
      <c r="H1528" s="4">
        <v>174</v>
      </c>
      <c r="I1528" s="4">
        <v>348</v>
      </c>
      <c r="J1528" t="s">
        <v>968</v>
      </c>
      <c r="K1528" t="s">
        <v>42</v>
      </c>
      <c r="L1528" s="4">
        <v>11.961761925704458</v>
      </c>
      <c r="M1528" s="1" t="s">
        <v>38</v>
      </c>
      <c r="N1528" s="11">
        <f t="shared" si="23"/>
        <v>5</v>
      </c>
    </row>
    <row r="1529" spans="1:14" ht="16" x14ac:dyDescent="0.2">
      <c r="A1529" s="3">
        <v>43297.272633416047</v>
      </c>
      <c r="B1529" s="1" t="s">
        <v>1905</v>
      </c>
      <c r="C1529" t="s">
        <v>151</v>
      </c>
      <c r="D1529">
        <v>17</v>
      </c>
      <c r="E1529">
        <v>153</v>
      </c>
      <c r="F1529">
        <v>51</v>
      </c>
      <c r="G1529">
        <v>2601</v>
      </c>
      <c r="H1529" s="4">
        <v>867</v>
      </c>
      <c r="I1529" s="4">
        <v>1734</v>
      </c>
      <c r="J1529" t="s">
        <v>622</v>
      </c>
      <c r="K1529" t="s">
        <v>49</v>
      </c>
      <c r="L1529" s="4">
        <v>8.3272837771733244</v>
      </c>
      <c r="M1529" s="1" t="s">
        <v>34</v>
      </c>
      <c r="N1529" s="11">
        <f t="shared" si="23"/>
        <v>1</v>
      </c>
    </row>
    <row r="1530" spans="1:14" ht="16" x14ac:dyDescent="0.2">
      <c r="A1530" s="3">
        <v>43917.703719232013</v>
      </c>
      <c r="B1530" s="1" t="s">
        <v>1556</v>
      </c>
      <c r="C1530" t="s">
        <v>188</v>
      </c>
      <c r="D1530">
        <v>11</v>
      </c>
      <c r="E1530">
        <v>368</v>
      </c>
      <c r="F1530">
        <v>92</v>
      </c>
      <c r="G1530">
        <v>4048</v>
      </c>
      <c r="H1530" s="4">
        <v>1012</v>
      </c>
      <c r="I1530" s="4">
        <v>3036</v>
      </c>
      <c r="J1530" t="s">
        <v>89</v>
      </c>
      <c r="K1530" t="s">
        <v>64</v>
      </c>
      <c r="L1530" s="4">
        <v>12.865074657680612</v>
      </c>
      <c r="M1530" s="1" t="s">
        <v>54</v>
      </c>
      <c r="N1530" s="11">
        <f t="shared" si="23"/>
        <v>10</v>
      </c>
    </row>
    <row r="1531" spans="1:14" ht="16" x14ac:dyDescent="0.2">
      <c r="A1531" s="3">
        <v>45000.679203165244</v>
      </c>
      <c r="B1531" s="1" t="s">
        <v>1906</v>
      </c>
      <c r="C1531" t="s">
        <v>201</v>
      </c>
      <c r="D1531">
        <v>15</v>
      </c>
      <c r="E1531">
        <v>30</v>
      </c>
      <c r="F1531">
        <v>15</v>
      </c>
      <c r="G1531">
        <v>450</v>
      </c>
      <c r="H1531" s="4">
        <v>225</v>
      </c>
      <c r="I1531" s="4">
        <v>225</v>
      </c>
      <c r="J1531" t="s">
        <v>786</v>
      </c>
      <c r="K1531" t="s">
        <v>86</v>
      </c>
      <c r="L1531" s="4">
        <v>13.095446915421235</v>
      </c>
      <c r="M1531" s="1" t="s">
        <v>38</v>
      </c>
      <c r="N1531" s="11">
        <f t="shared" si="23"/>
        <v>5</v>
      </c>
    </row>
    <row r="1532" spans="1:14" ht="16" x14ac:dyDescent="0.2">
      <c r="A1532" s="3">
        <v>43750.992135332708</v>
      </c>
      <c r="B1532" s="1" t="s">
        <v>1907</v>
      </c>
      <c r="C1532" t="s">
        <v>204</v>
      </c>
      <c r="D1532">
        <v>10</v>
      </c>
      <c r="E1532">
        <v>57</v>
      </c>
      <c r="F1532">
        <v>19</v>
      </c>
      <c r="G1532">
        <v>570</v>
      </c>
      <c r="H1532" s="4">
        <v>190</v>
      </c>
      <c r="I1532" s="4">
        <v>380</v>
      </c>
      <c r="J1532" t="s">
        <v>99</v>
      </c>
      <c r="K1532" t="s">
        <v>86</v>
      </c>
      <c r="L1532" s="4">
        <v>15.140903556171683</v>
      </c>
      <c r="M1532" s="1" t="s">
        <v>38</v>
      </c>
      <c r="N1532" s="11">
        <f t="shared" si="23"/>
        <v>5</v>
      </c>
    </row>
    <row r="1533" spans="1:14" ht="16" x14ac:dyDescent="0.2">
      <c r="A1533" s="3">
        <v>43573.714183793876</v>
      </c>
      <c r="B1533" s="1" t="s">
        <v>1908</v>
      </c>
      <c r="C1533" t="s">
        <v>139</v>
      </c>
      <c r="D1533">
        <v>9</v>
      </c>
      <c r="E1533">
        <v>320</v>
      </c>
      <c r="F1533">
        <v>80</v>
      </c>
      <c r="G1533">
        <v>2880</v>
      </c>
      <c r="H1533" s="4">
        <v>720</v>
      </c>
      <c r="I1533" s="4">
        <v>2160</v>
      </c>
      <c r="J1533" t="s">
        <v>432</v>
      </c>
      <c r="K1533" t="s">
        <v>49</v>
      </c>
      <c r="L1533" s="4">
        <v>13.857835104514242</v>
      </c>
      <c r="M1533" s="1" t="s">
        <v>38</v>
      </c>
      <c r="N1533" s="11">
        <f t="shared" si="23"/>
        <v>5</v>
      </c>
    </row>
    <row r="1534" spans="1:14" ht="16" x14ac:dyDescent="0.2">
      <c r="A1534" s="3">
        <v>43873.118069477314</v>
      </c>
      <c r="B1534" s="1" t="s">
        <v>1396</v>
      </c>
      <c r="C1534" t="s">
        <v>212</v>
      </c>
      <c r="D1534">
        <v>7</v>
      </c>
      <c r="E1534">
        <v>300</v>
      </c>
      <c r="F1534">
        <v>75</v>
      </c>
      <c r="G1534">
        <v>2100</v>
      </c>
      <c r="H1534" s="4">
        <v>525</v>
      </c>
      <c r="I1534" s="4">
        <v>1575</v>
      </c>
      <c r="J1534" t="s">
        <v>1068</v>
      </c>
      <c r="K1534" t="s">
        <v>42</v>
      </c>
      <c r="L1534" s="4">
        <v>8.1352386075080023</v>
      </c>
      <c r="M1534" s="1" t="s">
        <v>34</v>
      </c>
      <c r="N1534" s="11">
        <f t="shared" si="23"/>
        <v>1</v>
      </c>
    </row>
    <row r="1535" spans="1:14" ht="16" x14ac:dyDescent="0.2">
      <c r="A1535" s="3">
        <v>43955.082944044523</v>
      </c>
      <c r="B1535" s="1" t="s">
        <v>1909</v>
      </c>
      <c r="C1535" t="s">
        <v>299</v>
      </c>
      <c r="D1535">
        <v>5</v>
      </c>
      <c r="E1535">
        <v>225</v>
      </c>
      <c r="F1535">
        <v>75</v>
      </c>
      <c r="G1535">
        <v>1125</v>
      </c>
      <c r="H1535" s="4">
        <v>375</v>
      </c>
      <c r="I1535" s="4">
        <v>750</v>
      </c>
      <c r="J1535" t="s">
        <v>118</v>
      </c>
      <c r="K1535" t="s">
        <v>64</v>
      </c>
      <c r="L1535" s="4">
        <v>11.128721898968678</v>
      </c>
      <c r="M1535" s="1" t="s">
        <v>54</v>
      </c>
      <c r="N1535" s="11">
        <f t="shared" si="23"/>
        <v>10</v>
      </c>
    </row>
    <row r="1536" spans="1:14" ht="16" x14ac:dyDescent="0.2">
      <c r="A1536" s="3">
        <v>44352.111497065489</v>
      </c>
      <c r="B1536" s="1" t="s">
        <v>1910</v>
      </c>
      <c r="C1536" t="s">
        <v>145</v>
      </c>
      <c r="D1536">
        <v>9</v>
      </c>
      <c r="E1536">
        <v>207</v>
      </c>
      <c r="F1536">
        <v>69</v>
      </c>
      <c r="G1536">
        <v>1863</v>
      </c>
      <c r="H1536" s="4">
        <v>621</v>
      </c>
      <c r="I1536" s="4">
        <v>1242</v>
      </c>
      <c r="J1536" t="s">
        <v>202</v>
      </c>
      <c r="K1536" t="s">
        <v>58</v>
      </c>
      <c r="L1536" s="4">
        <v>13.765798454641494</v>
      </c>
      <c r="M1536" s="1" t="s">
        <v>54</v>
      </c>
      <c r="N1536" s="11">
        <f t="shared" si="23"/>
        <v>10</v>
      </c>
    </row>
    <row r="1537" spans="1:14" ht="16" x14ac:dyDescent="0.2">
      <c r="A1537" s="3">
        <v>42922.593654455944</v>
      </c>
      <c r="B1537" s="1" t="s">
        <v>1911</v>
      </c>
      <c r="C1537" t="s">
        <v>84</v>
      </c>
      <c r="D1537">
        <v>12</v>
      </c>
      <c r="E1537">
        <v>126</v>
      </c>
      <c r="F1537">
        <v>42</v>
      </c>
      <c r="G1537">
        <v>1512</v>
      </c>
      <c r="H1537" s="4">
        <v>504</v>
      </c>
      <c r="I1537" s="4">
        <v>1008</v>
      </c>
      <c r="J1537" t="s">
        <v>244</v>
      </c>
      <c r="K1537" t="s">
        <v>86</v>
      </c>
      <c r="L1537" s="4">
        <v>15.458859683514467</v>
      </c>
      <c r="M1537" s="1" t="s">
        <v>54</v>
      </c>
      <c r="N1537" s="11">
        <f t="shared" si="23"/>
        <v>10</v>
      </c>
    </row>
    <row r="1538" spans="1:14" ht="16" x14ac:dyDescent="0.2">
      <c r="A1538" s="3">
        <v>44817.451651877629</v>
      </c>
      <c r="B1538" s="1" t="s">
        <v>1912</v>
      </c>
      <c r="C1538" t="s">
        <v>365</v>
      </c>
      <c r="D1538">
        <v>15</v>
      </c>
      <c r="E1538">
        <v>255</v>
      </c>
      <c r="F1538">
        <v>85</v>
      </c>
      <c r="G1538">
        <v>3825</v>
      </c>
      <c r="H1538" s="4">
        <v>1275</v>
      </c>
      <c r="I1538" s="4">
        <v>2550</v>
      </c>
      <c r="J1538" t="s">
        <v>435</v>
      </c>
      <c r="K1538" t="s">
        <v>33</v>
      </c>
      <c r="L1538" s="4">
        <v>5.9872353338051019</v>
      </c>
      <c r="M1538" s="1" t="s">
        <v>34</v>
      </c>
      <c r="N1538" s="11">
        <f t="shared" si="23"/>
        <v>1</v>
      </c>
    </row>
    <row r="1539" spans="1:14" ht="16" x14ac:dyDescent="0.2">
      <c r="A1539" s="3">
        <v>44122.381916668368</v>
      </c>
      <c r="B1539" s="1" t="s">
        <v>1913</v>
      </c>
      <c r="C1539" t="s">
        <v>91</v>
      </c>
      <c r="D1539">
        <v>13</v>
      </c>
      <c r="E1539">
        <v>300</v>
      </c>
      <c r="F1539">
        <v>75</v>
      </c>
      <c r="G1539">
        <v>3900</v>
      </c>
      <c r="H1539" s="4">
        <v>975</v>
      </c>
      <c r="I1539" s="4">
        <v>2925</v>
      </c>
      <c r="J1539" t="s">
        <v>378</v>
      </c>
      <c r="K1539" t="s">
        <v>53</v>
      </c>
      <c r="L1539" s="4">
        <v>14.423322704129969</v>
      </c>
      <c r="M1539" s="1" t="s">
        <v>34</v>
      </c>
      <c r="N1539" s="11">
        <f t="shared" ref="N1539:N1602" si="24">+IF(M1539="Dissatisfied",1,IF(M1539="Satisfied",10,5))</f>
        <v>1</v>
      </c>
    </row>
    <row r="1540" spans="1:14" ht="16" x14ac:dyDescent="0.2">
      <c r="A1540" s="3">
        <v>43856.781798995209</v>
      </c>
      <c r="B1540" s="1" t="s">
        <v>1578</v>
      </c>
      <c r="C1540" t="s">
        <v>431</v>
      </c>
      <c r="D1540">
        <v>4</v>
      </c>
      <c r="E1540">
        <v>356</v>
      </c>
      <c r="F1540">
        <v>89</v>
      </c>
      <c r="G1540">
        <v>1424</v>
      </c>
      <c r="H1540" s="4">
        <v>356</v>
      </c>
      <c r="I1540" s="4">
        <v>1068</v>
      </c>
      <c r="J1540" t="s">
        <v>517</v>
      </c>
      <c r="K1540" t="s">
        <v>86</v>
      </c>
      <c r="L1540" s="4">
        <v>13.57003172959007</v>
      </c>
      <c r="M1540" s="1" t="s">
        <v>34</v>
      </c>
      <c r="N1540" s="11">
        <f t="shared" si="24"/>
        <v>1</v>
      </c>
    </row>
    <row r="1541" spans="1:14" ht="16" x14ac:dyDescent="0.2">
      <c r="A1541" s="3">
        <v>43938.032775063541</v>
      </c>
      <c r="B1541" s="1" t="s">
        <v>1914</v>
      </c>
      <c r="C1541" t="s">
        <v>218</v>
      </c>
      <c r="D1541">
        <v>20</v>
      </c>
      <c r="E1541">
        <v>264</v>
      </c>
      <c r="F1541">
        <v>88</v>
      </c>
      <c r="G1541">
        <v>5280</v>
      </c>
      <c r="H1541" s="4">
        <v>1760</v>
      </c>
      <c r="I1541" s="4">
        <v>3520</v>
      </c>
      <c r="J1541" t="s">
        <v>361</v>
      </c>
      <c r="K1541" t="s">
        <v>64</v>
      </c>
      <c r="L1541" s="4">
        <v>13.092530646074781</v>
      </c>
      <c r="M1541" s="1" t="s">
        <v>38</v>
      </c>
      <c r="N1541" s="11">
        <f t="shared" si="24"/>
        <v>5</v>
      </c>
    </row>
    <row r="1542" spans="1:14" ht="16" x14ac:dyDescent="0.2">
      <c r="A1542" s="3">
        <v>44353.685980777445</v>
      </c>
      <c r="B1542" s="1" t="s">
        <v>1915</v>
      </c>
      <c r="C1542" t="s">
        <v>75</v>
      </c>
      <c r="D1542">
        <v>5</v>
      </c>
      <c r="E1542">
        <v>76</v>
      </c>
      <c r="F1542">
        <v>19</v>
      </c>
      <c r="G1542">
        <v>380</v>
      </c>
      <c r="H1542" s="4">
        <v>95</v>
      </c>
      <c r="I1542" s="4">
        <v>285</v>
      </c>
      <c r="J1542" t="s">
        <v>825</v>
      </c>
      <c r="K1542" t="s">
        <v>42</v>
      </c>
      <c r="L1542" s="4">
        <v>14.060995290679429</v>
      </c>
      <c r="M1542" s="1" t="s">
        <v>54</v>
      </c>
      <c r="N1542" s="11">
        <f t="shared" si="24"/>
        <v>10</v>
      </c>
    </row>
    <row r="1543" spans="1:14" ht="16" x14ac:dyDescent="0.2">
      <c r="A1543" s="3">
        <v>44031.079628057392</v>
      </c>
      <c r="B1543" s="1" t="s">
        <v>1916</v>
      </c>
      <c r="C1543" t="s">
        <v>193</v>
      </c>
      <c r="D1543">
        <v>7</v>
      </c>
      <c r="E1543">
        <v>348</v>
      </c>
      <c r="F1543">
        <v>87</v>
      </c>
      <c r="G1543">
        <v>2436</v>
      </c>
      <c r="H1543" s="4">
        <v>609</v>
      </c>
      <c r="I1543" s="4">
        <v>1827</v>
      </c>
      <c r="J1543" t="s">
        <v>729</v>
      </c>
      <c r="K1543" t="s">
        <v>64</v>
      </c>
      <c r="L1543" s="4">
        <v>11.443503623244197</v>
      </c>
      <c r="M1543" s="1" t="s">
        <v>38</v>
      </c>
      <c r="N1543" s="11">
        <f t="shared" si="24"/>
        <v>5</v>
      </c>
    </row>
    <row r="1544" spans="1:14" ht="16" x14ac:dyDescent="0.2">
      <c r="A1544" s="3">
        <v>44213.738304630358</v>
      </c>
      <c r="B1544" s="1" t="s">
        <v>1917</v>
      </c>
      <c r="C1544" t="s">
        <v>386</v>
      </c>
      <c r="D1544">
        <v>1</v>
      </c>
      <c r="E1544">
        <v>110</v>
      </c>
      <c r="F1544">
        <v>55</v>
      </c>
      <c r="G1544">
        <v>110</v>
      </c>
      <c r="H1544" s="4">
        <v>55</v>
      </c>
      <c r="I1544" s="4">
        <v>55</v>
      </c>
      <c r="J1544" t="s">
        <v>230</v>
      </c>
      <c r="K1544" t="s">
        <v>42</v>
      </c>
      <c r="L1544" s="4">
        <v>12.172922939334034</v>
      </c>
      <c r="M1544" s="1" t="s">
        <v>38</v>
      </c>
      <c r="N1544" s="11">
        <f t="shared" si="24"/>
        <v>5</v>
      </c>
    </row>
    <row r="1545" spans="1:14" ht="16" x14ac:dyDescent="0.2">
      <c r="A1545" s="3">
        <v>43247.281144345165</v>
      </c>
      <c r="B1545" s="1" t="s">
        <v>1918</v>
      </c>
      <c r="C1545" t="s">
        <v>301</v>
      </c>
      <c r="D1545">
        <v>3</v>
      </c>
      <c r="E1545">
        <v>188</v>
      </c>
      <c r="F1545">
        <v>94</v>
      </c>
      <c r="G1545">
        <v>564</v>
      </c>
      <c r="H1545" s="4">
        <v>282</v>
      </c>
      <c r="I1545" s="4">
        <v>282</v>
      </c>
      <c r="J1545" t="s">
        <v>862</v>
      </c>
      <c r="K1545" t="s">
        <v>58</v>
      </c>
      <c r="L1545" s="4">
        <v>13.827196127590291</v>
      </c>
      <c r="M1545" s="1" t="s">
        <v>38</v>
      </c>
      <c r="N1545" s="11">
        <f t="shared" si="24"/>
        <v>5</v>
      </c>
    </row>
    <row r="1546" spans="1:14" ht="16" x14ac:dyDescent="0.2">
      <c r="A1546" s="3">
        <v>43835.22116089896</v>
      </c>
      <c r="B1546" s="1" t="s">
        <v>1919</v>
      </c>
      <c r="C1546" t="s">
        <v>420</v>
      </c>
      <c r="D1546">
        <v>4</v>
      </c>
      <c r="E1546">
        <v>162</v>
      </c>
      <c r="F1546">
        <v>54</v>
      </c>
      <c r="G1546">
        <v>648</v>
      </c>
      <c r="H1546" s="4">
        <v>216</v>
      </c>
      <c r="I1546" s="4">
        <v>432</v>
      </c>
      <c r="J1546" t="s">
        <v>958</v>
      </c>
      <c r="K1546" t="s">
        <v>58</v>
      </c>
      <c r="L1546" s="4">
        <v>9.1591412531773226</v>
      </c>
      <c r="M1546" s="1" t="s">
        <v>38</v>
      </c>
      <c r="N1546" s="11">
        <f t="shared" si="24"/>
        <v>5</v>
      </c>
    </row>
    <row r="1547" spans="1:14" ht="16" x14ac:dyDescent="0.2">
      <c r="A1547" s="3">
        <v>43661.729721153039</v>
      </c>
      <c r="B1547" s="1" t="s">
        <v>1920</v>
      </c>
      <c r="C1547" t="s">
        <v>218</v>
      </c>
      <c r="D1547">
        <v>5</v>
      </c>
      <c r="E1547">
        <v>264</v>
      </c>
      <c r="F1547">
        <v>88</v>
      </c>
      <c r="G1547">
        <v>1320</v>
      </c>
      <c r="H1547" s="4">
        <v>440</v>
      </c>
      <c r="I1547" s="4">
        <v>880</v>
      </c>
      <c r="J1547" t="s">
        <v>264</v>
      </c>
      <c r="K1547" t="s">
        <v>42</v>
      </c>
      <c r="L1547" s="4">
        <v>12.514998090845811</v>
      </c>
      <c r="M1547" s="1" t="s">
        <v>38</v>
      </c>
      <c r="N1547" s="11">
        <f t="shared" si="24"/>
        <v>5</v>
      </c>
    </row>
    <row r="1548" spans="1:14" ht="16" x14ac:dyDescent="0.2">
      <c r="A1548" s="3">
        <v>43543.213156682548</v>
      </c>
      <c r="B1548" s="1" t="s">
        <v>1921</v>
      </c>
      <c r="C1548" t="s">
        <v>240</v>
      </c>
      <c r="D1548">
        <v>15</v>
      </c>
      <c r="E1548">
        <v>108</v>
      </c>
      <c r="F1548">
        <v>54</v>
      </c>
      <c r="G1548">
        <v>1620</v>
      </c>
      <c r="H1548" s="4">
        <v>810</v>
      </c>
      <c r="I1548" s="4">
        <v>810</v>
      </c>
      <c r="J1548" t="s">
        <v>528</v>
      </c>
      <c r="K1548" t="s">
        <v>33</v>
      </c>
      <c r="L1548" s="4">
        <v>11.003496633574638</v>
      </c>
      <c r="M1548" s="1" t="s">
        <v>38</v>
      </c>
      <c r="N1548" s="11">
        <f t="shared" si="24"/>
        <v>5</v>
      </c>
    </row>
    <row r="1549" spans="1:14" ht="16" x14ac:dyDescent="0.2">
      <c r="A1549" s="3">
        <v>44016.73441964791</v>
      </c>
      <c r="B1549" s="1" t="s">
        <v>1922</v>
      </c>
      <c r="C1549" t="s">
        <v>340</v>
      </c>
      <c r="D1549">
        <v>2</v>
      </c>
      <c r="E1549">
        <v>180</v>
      </c>
      <c r="F1549">
        <v>45</v>
      </c>
      <c r="G1549">
        <v>360</v>
      </c>
      <c r="H1549" s="4">
        <v>90</v>
      </c>
      <c r="I1549" s="4">
        <v>270</v>
      </c>
      <c r="J1549" t="s">
        <v>1432</v>
      </c>
      <c r="K1549" t="s">
        <v>53</v>
      </c>
      <c r="L1549" s="4">
        <v>13.2671922973198</v>
      </c>
      <c r="M1549" s="1" t="s">
        <v>38</v>
      </c>
      <c r="N1549" s="11">
        <f t="shared" si="24"/>
        <v>5</v>
      </c>
    </row>
    <row r="1550" spans="1:14" ht="16" x14ac:dyDescent="0.2">
      <c r="A1550" s="3">
        <v>43967.74667890479</v>
      </c>
      <c r="B1550" s="1" t="s">
        <v>1923</v>
      </c>
      <c r="C1550" t="s">
        <v>215</v>
      </c>
      <c r="D1550">
        <v>4</v>
      </c>
      <c r="E1550">
        <v>176</v>
      </c>
      <c r="F1550">
        <v>88</v>
      </c>
      <c r="G1550">
        <v>704</v>
      </c>
      <c r="H1550" s="4">
        <v>352</v>
      </c>
      <c r="I1550" s="4">
        <v>352</v>
      </c>
      <c r="J1550" t="s">
        <v>366</v>
      </c>
      <c r="K1550" t="s">
        <v>64</v>
      </c>
      <c r="L1550" s="4">
        <v>12.342715162719054</v>
      </c>
      <c r="M1550" s="1" t="s">
        <v>38</v>
      </c>
      <c r="N1550" s="11">
        <f t="shared" si="24"/>
        <v>5</v>
      </c>
    </row>
    <row r="1551" spans="1:14" ht="16" x14ac:dyDescent="0.2">
      <c r="A1551" s="3">
        <v>44501.605339232454</v>
      </c>
      <c r="B1551" s="1" t="s">
        <v>1924</v>
      </c>
      <c r="C1551" t="s">
        <v>212</v>
      </c>
      <c r="D1551">
        <v>16</v>
      </c>
      <c r="E1551">
        <v>300</v>
      </c>
      <c r="F1551">
        <v>75</v>
      </c>
      <c r="G1551">
        <v>4800</v>
      </c>
      <c r="H1551" s="4">
        <v>1200</v>
      </c>
      <c r="I1551" s="4">
        <v>3600</v>
      </c>
      <c r="J1551" t="s">
        <v>205</v>
      </c>
      <c r="K1551" t="s">
        <v>33</v>
      </c>
      <c r="L1551" s="4">
        <v>12.007834550770397</v>
      </c>
      <c r="M1551" s="1" t="s">
        <v>38</v>
      </c>
      <c r="N1551" s="11">
        <f t="shared" si="24"/>
        <v>5</v>
      </c>
    </row>
    <row r="1552" spans="1:14" ht="16" x14ac:dyDescent="0.2">
      <c r="A1552" s="3">
        <v>44058.103548881714</v>
      </c>
      <c r="B1552" s="1" t="s">
        <v>1925</v>
      </c>
      <c r="C1552" t="s">
        <v>328</v>
      </c>
      <c r="D1552">
        <v>17</v>
      </c>
      <c r="E1552">
        <v>124</v>
      </c>
      <c r="F1552">
        <v>62</v>
      </c>
      <c r="G1552">
        <v>2108</v>
      </c>
      <c r="H1552" s="4">
        <v>1054</v>
      </c>
      <c r="I1552" s="4">
        <v>1054</v>
      </c>
      <c r="J1552" t="s">
        <v>281</v>
      </c>
      <c r="K1552" t="s">
        <v>33</v>
      </c>
      <c r="L1552" s="4">
        <v>11.428575823958646</v>
      </c>
      <c r="M1552" s="1" t="s">
        <v>34</v>
      </c>
      <c r="N1552" s="11">
        <f t="shared" si="24"/>
        <v>1</v>
      </c>
    </row>
    <row r="1553" spans="1:14" ht="16" x14ac:dyDescent="0.2">
      <c r="A1553" s="3">
        <v>44734.816290495037</v>
      </c>
      <c r="B1553" s="1" t="s">
        <v>1926</v>
      </c>
      <c r="C1553" t="s">
        <v>299</v>
      </c>
      <c r="D1553">
        <v>8</v>
      </c>
      <c r="E1553">
        <v>225</v>
      </c>
      <c r="F1553">
        <v>75</v>
      </c>
      <c r="G1553">
        <v>1800</v>
      </c>
      <c r="H1553" s="4">
        <v>600</v>
      </c>
      <c r="I1553" s="4">
        <v>1200</v>
      </c>
      <c r="J1553" t="s">
        <v>752</v>
      </c>
      <c r="K1553" t="s">
        <v>49</v>
      </c>
      <c r="L1553" s="4">
        <v>11.862005526237752</v>
      </c>
      <c r="M1553" s="1" t="s">
        <v>38</v>
      </c>
      <c r="N1553" s="11">
        <f t="shared" si="24"/>
        <v>5</v>
      </c>
    </row>
    <row r="1554" spans="1:14" ht="16" x14ac:dyDescent="0.2">
      <c r="A1554" s="3">
        <v>43712.840428954463</v>
      </c>
      <c r="B1554" s="1" t="s">
        <v>1927</v>
      </c>
      <c r="C1554" t="s">
        <v>145</v>
      </c>
      <c r="D1554">
        <v>4</v>
      </c>
      <c r="E1554">
        <v>207</v>
      </c>
      <c r="F1554">
        <v>69</v>
      </c>
      <c r="G1554">
        <v>828</v>
      </c>
      <c r="H1554" s="4">
        <v>276</v>
      </c>
      <c r="I1554" s="4">
        <v>552</v>
      </c>
      <c r="J1554" t="s">
        <v>236</v>
      </c>
      <c r="K1554" t="s">
        <v>53</v>
      </c>
      <c r="L1554" s="4">
        <v>9.3014286057233697</v>
      </c>
      <c r="M1554" s="1" t="s">
        <v>38</v>
      </c>
      <c r="N1554" s="11">
        <f t="shared" si="24"/>
        <v>5</v>
      </c>
    </row>
    <row r="1555" spans="1:14" ht="16" x14ac:dyDescent="0.2">
      <c r="A1555" s="3">
        <v>43625.594721239271</v>
      </c>
      <c r="B1555" s="1" t="s">
        <v>1928</v>
      </c>
      <c r="C1555" t="s">
        <v>328</v>
      </c>
      <c r="D1555">
        <v>18</v>
      </c>
      <c r="E1555">
        <v>124</v>
      </c>
      <c r="F1555">
        <v>62</v>
      </c>
      <c r="G1555">
        <v>2232</v>
      </c>
      <c r="H1555" s="4">
        <v>1116</v>
      </c>
      <c r="I1555" s="4">
        <v>1116</v>
      </c>
      <c r="J1555" t="s">
        <v>79</v>
      </c>
      <c r="K1555" t="s">
        <v>64</v>
      </c>
      <c r="L1555" s="4">
        <v>12.163730387337393</v>
      </c>
      <c r="M1555" s="1" t="s">
        <v>38</v>
      </c>
      <c r="N1555" s="11">
        <f t="shared" si="24"/>
        <v>5</v>
      </c>
    </row>
    <row r="1556" spans="1:14" ht="16" x14ac:dyDescent="0.2">
      <c r="A1556" s="3">
        <v>43382.515827247211</v>
      </c>
      <c r="B1556" s="1" t="s">
        <v>1929</v>
      </c>
      <c r="C1556" t="s">
        <v>255</v>
      </c>
      <c r="D1556">
        <v>15</v>
      </c>
      <c r="E1556">
        <v>140</v>
      </c>
      <c r="F1556">
        <v>70</v>
      </c>
      <c r="G1556">
        <v>2100</v>
      </c>
      <c r="H1556" s="4">
        <v>1050</v>
      </c>
      <c r="I1556" s="4">
        <v>1050</v>
      </c>
      <c r="J1556" t="s">
        <v>1432</v>
      </c>
      <c r="K1556" t="s">
        <v>53</v>
      </c>
      <c r="L1556" s="4">
        <v>13.2671922973198</v>
      </c>
      <c r="M1556" s="1" t="s">
        <v>38</v>
      </c>
      <c r="N1556" s="11">
        <f t="shared" si="24"/>
        <v>5</v>
      </c>
    </row>
    <row r="1557" spans="1:14" ht="16" x14ac:dyDescent="0.2">
      <c r="A1557" s="3">
        <v>43778.205308706296</v>
      </c>
      <c r="B1557" s="1" t="s">
        <v>920</v>
      </c>
      <c r="C1557" t="s">
        <v>188</v>
      </c>
      <c r="D1557">
        <v>8</v>
      </c>
      <c r="E1557">
        <v>368</v>
      </c>
      <c r="F1557">
        <v>92</v>
      </c>
      <c r="G1557">
        <v>2944</v>
      </c>
      <c r="H1557" s="4">
        <v>736</v>
      </c>
      <c r="I1557" s="4">
        <v>2208</v>
      </c>
      <c r="J1557" t="s">
        <v>189</v>
      </c>
      <c r="K1557" t="s">
        <v>58</v>
      </c>
      <c r="L1557" s="4">
        <v>12.551203838971933</v>
      </c>
      <c r="M1557" s="1" t="s">
        <v>38</v>
      </c>
      <c r="N1557" s="11">
        <f t="shared" si="24"/>
        <v>5</v>
      </c>
    </row>
    <row r="1558" spans="1:14" ht="16" x14ac:dyDescent="0.2">
      <c r="A1558" s="3">
        <v>44440.080496101305</v>
      </c>
      <c r="B1558" s="1" t="s">
        <v>1930</v>
      </c>
      <c r="C1558" t="s">
        <v>261</v>
      </c>
      <c r="D1558">
        <v>14</v>
      </c>
      <c r="E1558">
        <v>92</v>
      </c>
      <c r="F1558">
        <v>46</v>
      </c>
      <c r="G1558">
        <v>1288</v>
      </c>
      <c r="H1558" s="4">
        <v>644</v>
      </c>
      <c r="I1558" s="4">
        <v>644</v>
      </c>
      <c r="J1558" t="s">
        <v>1750</v>
      </c>
      <c r="K1558" t="s">
        <v>58</v>
      </c>
      <c r="L1558" s="4">
        <v>7.9096461399190003</v>
      </c>
      <c r="M1558" s="1" t="s">
        <v>34</v>
      </c>
      <c r="N1558" s="11">
        <f t="shared" si="24"/>
        <v>1</v>
      </c>
    </row>
    <row r="1559" spans="1:14" ht="16" x14ac:dyDescent="0.2">
      <c r="A1559" s="3">
        <v>43859.694973019235</v>
      </c>
      <c r="B1559" s="1" t="s">
        <v>1931</v>
      </c>
      <c r="C1559" t="s">
        <v>93</v>
      </c>
      <c r="D1559">
        <v>9</v>
      </c>
      <c r="E1559">
        <v>204</v>
      </c>
      <c r="F1559">
        <v>51</v>
      </c>
      <c r="G1559">
        <v>1836</v>
      </c>
      <c r="H1559" s="4">
        <v>459</v>
      </c>
      <c r="I1559" s="4">
        <v>1377</v>
      </c>
      <c r="J1559" t="s">
        <v>635</v>
      </c>
      <c r="K1559" t="s">
        <v>33</v>
      </c>
      <c r="L1559" s="4">
        <v>15.478388039566896</v>
      </c>
      <c r="M1559" s="1" t="s">
        <v>54</v>
      </c>
      <c r="N1559" s="11">
        <f t="shared" si="24"/>
        <v>10</v>
      </c>
    </row>
    <row r="1560" spans="1:14" ht="16" x14ac:dyDescent="0.2">
      <c r="A1560" s="3">
        <v>43643.097428162211</v>
      </c>
      <c r="B1560" s="1" t="s">
        <v>1932</v>
      </c>
      <c r="C1560" t="s">
        <v>142</v>
      </c>
      <c r="D1560">
        <v>8</v>
      </c>
      <c r="E1560">
        <v>210</v>
      </c>
      <c r="F1560">
        <v>70</v>
      </c>
      <c r="G1560">
        <v>1680</v>
      </c>
      <c r="H1560" s="4">
        <v>560</v>
      </c>
      <c r="I1560" s="4">
        <v>1120</v>
      </c>
      <c r="J1560" t="s">
        <v>426</v>
      </c>
      <c r="K1560" t="s">
        <v>53</v>
      </c>
      <c r="L1560" s="4">
        <v>13.923194761258239</v>
      </c>
      <c r="M1560" s="1" t="s">
        <v>34</v>
      </c>
      <c r="N1560" s="11">
        <f t="shared" si="24"/>
        <v>1</v>
      </c>
    </row>
    <row r="1561" spans="1:14" ht="16" x14ac:dyDescent="0.2">
      <c r="A1561" s="3">
        <v>43831.670130502956</v>
      </c>
      <c r="B1561" s="1" t="s">
        <v>1933</v>
      </c>
      <c r="C1561" t="s">
        <v>473</v>
      </c>
      <c r="D1561">
        <v>18</v>
      </c>
      <c r="E1561">
        <v>72</v>
      </c>
      <c r="F1561">
        <v>36</v>
      </c>
      <c r="G1561">
        <v>1296</v>
      </c>
      <c r="H1561" s="4">
        <v>648</v>
      </c>
      <c r="I1561" s="4">
        <v>648</v>
      </c>
      <c r="J1561" t="s">
        <v>99</v>
      </c>
      <c r="K1561" t="s">
        <v>86</v>
      </c>
      <c r="L1561" s="4">
        <v>15.140903556171683</v>
      </c>
      <c r="M1561" s="1" t="s">
        <v>54</v>
      </c>
      <c r="N1561" s="11">
        <f t="shared" si="24"/>
        <v>10</v>
      </c>
    </row>
    <row r="1562" spans="1:14" ht="16" x14ac:dyDescent="0.2">
      <c r="A1562" s="3">
        <v>45383.316593154574</v>
      </c>
      <c r="B1562" s="1" t="s">
        <v>1934</v>
      </c>
      <c r="C1562" t="s">
        <v>120</v>
      </c>
      <c r="D1562">
        <v>14</v>
      </c>
      <c r="E1562">
        <v>252</v>
      </c>
      <c r="F1562">
        <v>63</v>
      </c>
      <c r="G1562">
        <v>3528</v>
      </c>
      <c r="H1562" s="4">
        <v>882</v>
      </c>
      <c r="I1562" s="4">
        <v>2646</v>
      </c>
      <c r="J1562" t="s">
        <v>440</v>
      </c>
      <c r="K1562" t="s">
        <v>33</v>
      </c>
      <c r="L1562" s="4">
        <v>10.408704992688252</v>
      </c>
      <c r="M1562" s="1" t="s">
        <v>38</v>
      </c>
      <c r="N1562" s="11">
        <f t="shared" si="24"/>
        <v>5</v>
      </c>
    </row>
    <row r="1563" spans="1:14" ht="16" x14ac:dyDescent="0.2">
      <c r="A1563" s="3">
        <v>43232.185880149518</v>
      </c>
      <c r="B1563" s="1" t="s">
        <v>1935</v>
      </c>
      <c r="C1563" t="s">
        <v>561</v>
      </c>
      <c r="D1563">
        <v>15</v>
      </c>
      <c r="E1563">
        <v>384</v>
      </c>
      <c r="F1563">
        <v>96</v>
      </c>
      <c r="G1563">
        <v>5760</v>
      </c>
      <c r="H1563" s="4">
        <v>1440</v>
      </c>
      <c r="I1563" s="4">
        <v>4320</v>
      </c>
      <c r="J1563" t="s">
        <v>466</v>
      </c>
      <c r="K1563" t="s">
        <v>49</v>
      </c>
      <c r="L1563" s="4">
        <v>16.368863536738775</v>
      </c>
      <c r="M1563" s="1" t="s">
        <v>34</v>
      </c>
      <c r="N1563" s="11">
        <f t="shared" si="24"/>
        <v>1</v>
      </c>
    </row>
    <row r="1564" spans="1:14" ht="16" x14ac:dyDescent="0.2">
      <c r="A1564" s="3">
        <v>44887.809591544043</v>
      </c>
      <c r="B1564" s="1" t="s">
        <v>1936</v>
      </c>
      <c r="C1564" t="s">
        <v>583</v>
      </c>
      <c r="D1564">
        <v>11</v>
      </c>
      <c r="E1564">
        <v>57</v>
      </c>
      <c r="F1564">
        <v>19</v>
      </c>
      <c r="G1564">
        <v>627</v>
      </c>
      <c r="H1564" s="4">
        <v>209</v>
      </c>
      <c r="I1564" s="4">
        <v>418</v>
      </c>
      <c r="J1564" t="s">
        <v>589</v>
      </c>
      <c r="K1564" t="s">
        <v>58</v>
      </c>
      <c r="L1564" s="4">
        <v>12.207242573430314</v>
      </c>
      <c r="M1564" s="1" t="s">
        <v>38</v>
      </c>
      <c r="N1564" s="11">
        <f t="shared" si="24"/>
        <v>5</v>
      </c>
    </row>
    <row r="1565" spans="1:14" ht="16" x14ac:dyDescent="0.2">
      <c r="A1565" s="3">
        <v>43719.25162780971</v>
      </c>
      <c r="B1565" s="1" t="s">
        <v>1937</v>
      </c>
      <c r="C1565" t="s">
        <v>288</v>
      </c>
      <c r="D1565">
        <v>18</v>
      </c>
      <c r="E1565">
        <v>48</v>
      </c>
      <c r="F1565">
        <v>24</v>
      </c>
      <c r="G1565">
        <v>864</v>
      </c>
      <c r="H1565" s="4">
        <v>432</v>
      </c>
      <c r="I1565" s="4">
        <v>432</v>
      </c>
      <c r="J1565" t="s">
        <v>111</v>
      </c>
      <c r="K1565" t="s">
        <v>53</v>
      </c>
      <c r="L1565" s="4">
        <v>13.407340878370247</v>
      </c>
      <c r="M1565" s="1" t="s">
        <v>38</v>
      </c>
      <c r="N1565" s="11">
        <f t="shared" si="24"/>
        <v>5</v>
      </c>
    </row>
    <row r="1566" spans="1:14" ht="16" x14ac:dyDescent="0.2">
      <c r="A1566" s="3">
        <v>44502.120246046426</v>
      </c>
      <c r="B1566" s="1" t="s">
        <v>1938</v>
      </c>
      <c r="C1566" t="s">
        <v>431</v>
      </c>
      <c r="D1566">
        <v>8</v>
      </c>
      <c r="E1566">
        <v>356</v>
      </c>
      <c r="F1566">
        <v>89</v>
      </c>
      <c r="G1566">
        <v>2848</v>
      </c>
      <c r="H1566" s="4">
        <v>712</v>
      </c>
      <c r="I1566" s="4">
        <v>2136</v>
      </c>
      <c r="J1566" t="s">
        <v>877</v>
      </c>
      <c r="K1566" t="s">
        <v>49</v>
      </c>
      <c r="L1566" s="4">
        <v>13.275355576494196</v>
      </c>
      <c r="M1566" s="1" t="s">
        <v>38</v>
      </c>
      <c r="N1566" s="11">
        <f t="shared" si="24"/>
        <v>5</v>
      </c>
    </row>
    <row r="1567" spans="1:14" ht="16" x14ac:dyDescent="0.2">
      <c r="A1567" s="3">
        <v>44178.369150924525</v>
      </c>
      <c r="B1567" s="1" t="s">
        <v>1213</v>
      </c>
      <c r="C1567" t="s">
        <v>248</v>
      </c>
      <c r="D1567">
        <v>13</v>
      </c>
      <c r="E1567">
        <v>132</v>
      </c>
      <c r="F1567">
        <v>44</v>
      </c>
      <c r="G1567">
        <v>1716</v>
      </c>
      <c r="H1567" s="4">
        <v>572</v>
      </c>
      <c r="I1567" s="4">
        <v>1144</v>
      </c>
      <c r="J1567" t="s">
        <v>455</v>
      </c>
      <c r="K1567" t="s">
        <v>53</v>
      </c>
      <c r="L1567" s="4">
        <v>13.574227261506472</v>
      </c>
      <c r="M1567" s="1" t="s">
        <v>38</v>
      </c>
      <c r="N1567" s="11">
        <f t="shared" si="24"/>
        <v>5</v>
      </c>
    </row>
    <row r="1568" spans="1:14" ht="16" x14ac:dyDescent="0.2">
      <c r="A1568" s="3">
        <v>44266.578566543751</v>
      </c>
      <c r="B1568" s="1" t="s">
        <v>1939</v>
      </c>
      <c r="C1568" t="s">
        <v>375</v>
      </c>
      <c r="D1568">
        <v>19</v>
      </c>
      <c r="E1568">
        <v>360</v>
      </c>
      <c r="F1568">
        <v>90</v>
      </c>
      <c r="G1568">
        <v>6840</v>
      </c>
      <c r="H1568" s="4">
        <v>1710</v>
      </c>
      <c r="I1568" s="4">
        <v>5130</v>
      </c>
      <c r="J1568" t="s">
        <v>205</v>
      </c>
      <c r="K1568" t="s">
        <v>33</v>
      </c>
      <c r="L1568" s="4">
        <v>12.007834550770397</v>
      </c>
      <c r="M1568" s="1" t="s">
        <v>54</v>
      </c>
      <c r="N1568" s="11">
        <f t="shared" si="24"/>
        <v>10</v>
      </c>
    </row>
    <row r="1569" spans="1:14" ht="16" x14ac:dyDescent="0.2">
      <c r="A1569" s="3">
        <v>44597.664111232654</v>
      </c>
      <c r="B1569" s="1" t="s">
        <v>1940</v>
      </c>
      <c r="C1569" t="s">
        <v>178</v>
      </c>
      <c r="D1569">
        <v>20</v>
      </c>
      <c r="E1569">
        <v>189</v>
      </c>
      <c r="F1569">
        <v>63</v>
      </c>
      <c r="G1569">
        <v>3780</v>
      </c>
      <c r="H1569" s="4">
        <v>1260</v>
      </c>
      <c r="I1569" s="4">
        <v>2520</v>
      </c>
      <c r="J1569" t="s">
        <v>587</v>
      </c>
      <c r="K1569" t="s">
        <v>49</v>
      </c>
      <c r="L1569" s="4">
        <v>14.760829371220243</v>
      </c>
      <c r="M1569" s="1" t="s">
        <v>38</v>
      </c>
      <c r="N1569" s="11">
        <f t="shared" si="24"/>
        <v>5</v>
      </c>
    </row>
    <row r="1570" spans="1:14" ht="16" x14ac:dyDescent="0.2">
      <c r="A1570" s="3">
        <v>44260.659693358895</v>
      </c>
      <c r="B1570" s="1" t="s">
        <v>1941</v>
      </c>
      <c r="C1570" t="s">
        <v>607</v>
      </c>
      <c r="D1570">
        <v>7</v>
      </c>
      <c r="E1570">
        <v>225</v>
      </c>
      <c r="F1570">
        <v>75</v>
      </c>
      <c r="G1570">
        <v>1575</v>
      </c>
      <c r="H1570" s="4">
        <v>525</v>
      </c>
      <c r="I1570" s="4">
        <v>1050</v>
      </c>
      <c r="J1570" t="s">
        <v>73</v>
      </c>
      <c r="K1570" t="s">
        <v>58</v>
      </c>
      <c r="L1570" s="4">
        <v>8.2871811249429097</v>
      </c>
      <c r="M1570" s="1" t="s">
        <v>38</v>
      </c>
      <c r="N1570" s="11">
        <f t="shared" si="24"/>
        <v>5</v>
      </c>
    </row>
    <row r="1571" spans="1:14" ht="16" x14ac:dyDescent="0.2">
      <c r="A1571" s="3">
        <v>43800.432193527617</v>
      </c>
      <c r="B1571" s="1" t="s">
        <v>1942</v>
      </c>
      <c r="C1571" t="s">
        <v>56</v>
      </c>
      <c r="D1571">
        <v>13</v>
      </c>
      <c r="E1571">
        <v>38</v>
      </c>
      <c r="F1571">
        <v>19</v>
      </c>
      <c r="G1571">
        <v>494</v>
      </c>
      <c r="H1571" s="4">
        <v>247</v>
      </c>
      <c r="I1571" s="4">
        <v>247</v>
      </c>
      <c r="J1571" t="s">
        <v>786</v>
      </c>
      <c r="K1571" t="s">
        <v>86</v>
      </c>
      <c r="L1571" s="4">
        <v>13.095446915421235</v>
      </c>
      <c r="M1571" s="1" t="s">
        <v>54</v>
      </c>
      <c r="N1571" s="11">
        <f t="shared" si="24"/>
        <v>10</v>
      </c>
    </row>
    <row r="1572" spans="1:14" ht="16" x14ac:dyDescent="0.2">
      <c r="A1572" s="3">
        <v>43954.051149749881</v>
      </c>
      <c r="B1572" s="1" t="s">
        <v>1943</v>
      </c>
      <c r="C1572" t="s">
        <v>91</v>
      </c>
      <c r="D1572">
        <v>2</v>
      </c>
      <c r="E1572">
        <v>300</v>
      </c>
      <c r="F1572">
        <v>75</v>
      </c>
      <c r="G1572">
        <v>600</v>
      </c>
      <c r="H1572" s="4">
        <v>150</v>
      </c>
      <c r="I1572" s="4">
        <v>450</v>
      </c>
      <c r="J1572" t="s">
        <v>108</v>
      </c>
      <c r="K1572" t="s">
        <v>64</v>
      </c>
      <c r="L1572" s="4">
        <v>9.7467096260695598</v>
      </c>
      <c r="M1572" s="1" t="s">
        <v>38</v>
      </c>
      <c r="N1572" s="11">
        <f t="shared" si="24"/>
        <v>5</v>
      </c>
    </row>
    <row r="1573" spans="1:14" ht="16" x14ac:dyDescent="0.2">
      <c r="A1573" s="3">
        <v>42686.703566422337</v>
      </c>
      <c r="B1573" s="1" t="s">
        <v>1944</v>
      </c>
      <c r="C1573" t="s">
        <v>312</v>
      </c>
      <c r="D1573">
        <v>18</v>
      </c>
      <c r="E1573">
        <v>240</v>
      </c>
      <c r="F1573">
        <v>80</v>
      </c>
      <c r="G1573">
        <v>4320</v>
      </c>
      <c r="H1573" s="4">
        <v>1440</v>
      </c>
      <c r="I1573" s="4">
        <v>2880</v>
      </c>
      <c r="J1573" t="s">
        <v>1259</v>
      </c>
      <c r="K1573" t="s">
        <v>64</v>
      </c>
      <c r="L1573" s="4">
        <v>10.01033276255276</v>
      </c>
      <c r="M1573" s="1" t="s">
        <v>38</v>
      </c>
      <c r="N1573" s="11">
        <f t="shared" si="24"/>
        <v>5</v>
      </c>
    </row>
    <row r="1574" spans="1:14" ht="16" x14ac:dyDescent="0.2">
      <c r="A1574" s="3">
        <v>44839.313128061272</v>
      </c>
      <c r="B1574" s="1" t="s">
        <v>1945</v>
      </c>
      <c r="C1574" t="s">
        <v>204</v>
      </c>
      <c r="D1574">
        <v>2</v>
      </c>
      <c r="E1574">
        <v>57</v>
      </c>
      <c r="F1574">
        <v>19</v>
      </c>
      <c r="G1574">
        <v>114</v>
      </c>
      <c r="H1574" s="4">
        <v>38</v>
      </c>
      <c r="I1574" s="4">
        <v>76</v>
      </c>
      <c r="J1574" t="s">
        <v>277</v>
      </c>
      <c r="K1574" t="s">
        <v>58</v>
      </c>
      <c r="L1574" s="4">
        <v>11.883396013219548</v>
      </c>
      <c r="M1574" s="1" t="s">
        <v>34</v>
      </c>
      <c r="N1574" s="11">
        <f t="shared" si="24"/>
        <v>1</v>
      </c>
    </row>
    <row r="1575" spans="1:14" ht="16" x14ac:dyDescent="0.2">
      <c r="A1575" s="3">
        <v>44132.833264323235</v>
      </c>
      <c r="B1575" s="1" t="s">
        <v>1946</v>
      </c>
      <c r="C1575" t="s">
        <v>163</v>
      </c>
      <c r="D1575">
        <v>17</v>
      </c>
      <c r="E1575">
        <v>108</v>
      </c>
      <c r="F1575">
        <v>36</v>
      </c>
      <c r="G1575">
        <v>1836</v>
      </c>
      <c r="H1575" s="4">
        <v>612</v>
      </c>
      <c r="I1575" s="4">
        <v>1224</v>
      </c>
      <c r="J1575" t="s">
        <v>397</v>
      </c>
      <c r="K1575" t="s">
        <v>49</v>
      </c>
      <c r="L1575" s="4">
        <v>9.4239783062860578</v>
      </c>
      <c r="M1575" s="1" t="s">
        <v>38</v>
      </c>
      <c r="N1575" s="11">
        <f t="shared" si="24"/>
        <v>5</v>
      </c>
    </row>
    <row r="1576" spans="1:14" ht="16" x14ac:dyDescent="0.2">
      <c r="A1576" s="3">
        <v>44444.594786597263</v>
      </c>
      <c r="B1576" s="1" t="s">
        <v>1947</v>
      </c>
      <c r="C1576" t="s">
        <v>431</v>
      </c>
      <c r="D1576">
        <v>13</v>
      </c>
      <c r="E1576">
        <v>356</v>
      </c>
      <c r="F1576">
        <v>89</v>
      </c>
      <c r="G1576">
        <v>4628</v>
      </c>
      <c r="H1576" s="4">
        <v>1157</v>
      </c>
      <c r="I1576" s="4">
        <v>3471</v>
      </c>
      <c r="J1576" t="s">
        <v>155</v>
      </c>
      <c r="K1576" t="s">
        <v>42</v>
      </c>
      <c r="L1576" s="4">
        <v>13.378080355059918</v>
      </c>
      <c r="M1576" s="1" t="s">
        <v>54</v>
      </c>
      <c r="N1576" s="11">
        <f t="shared" si="24"/>
        <v>10</v>
      </c>
    </row>
    <row r="1577" spans="1:14" ht="16" x14ac:dyDescent="0.2">
      <c r="A1577" s="3">
        <v>44010.631171616944</v>
      </c>
      <c r="B1577" s="1" t="s">
        <v>1948</v>
      </c>
      <c r="C1577" t="s">
        <v>304</v>
      </c>
      <c r="D1577">
        <v>16</v>
      </c>
      <c r="E1577">
        <v>116</v>
      </c>
      <c r="F1577">
        <v>29</v>
      </c>
      <c r="G1577">
        <v>1856</v>
      </c>
      <c r="H1577" s="4">
        <v>464</v>
      </c>
      <c r="I1577" s="4">
        <v>1392</v>
      </c>
      <c r="J1577" t="s">
        <v>1401</v>
      </c>
      <c r="K1577" t="s">
        <v>58</v>
      </c>
      <c r="L1577" s="4">
        <v>11.0700865530371</v>
      </c>
      <c r="M1577" s="1" t="s">
        <v>54</v>
      </c>
      <c r="N1577" s="11">
        <f t="shared" si="24"/>
        <v>10</v>
      </c>
    </row>
    <row r="1578" spans="1:14" ht="16" x14ac:dyDescent="0.2">
      <c r="A1578" s="3">
        <v>43825.276798013409</v>
      </c>
      <c r="B1578" s="1" t="s">
        <v>1949</v>
      </c>
      <c r="C1578" t="s">
        <v>193</v>
      </c>
      <c r="D1578">
        <v>19</v>
      </c>
      <c r="E1578">
        <v>348</v>
      </c>
      <c r="F1578">
        <v>87</v>
      </c>
      <c r="G1578">
        <v>6612</v>
      </c>
      <c r="H1578" s="4">
        <v>1653</v>
      </c>
      <c r="I1578" s="4">
        <v>4959</v>
      </c>
      <c r="J1578" t="s">
        <v>1012</v>
      </c>
      <c r="K1578" t="s">
        <v>33</v>
      </c>
      <c r="L1578" s="4">
        <v>14.538471643780088</v>
      </c>
      <c r="M1578" s="1" t="s">
        <v>38</v>
      </c>
      <c r="N1578" s="11">
        <f t="shared" si="24"/>
        <v>5</v>
      </c>
    </row>
    <row r="1579" spans="1:14" ht="16" x14ac:dyDescent="0.2">
      <c r="A1579" s="3">
        <v>43693.428286383394</v>
      </c>
      <c r="B1579" s="1" t="s">
        <v>1950</v>
      </c>
      <c r="C1579" t="s">
        <v>304</v>
      </c>
      <c r="D1579">
        <v>10</v>
      </c>
      <c r="E1579">
        <v>116</v>
      </c>
      <c r="F1579">
        <v>29</v>
      </c>
      <c r="G1579">
        <v>1160</v>
      </c>
      <c r="H1579" s="4">
        <v>290</v>
      </c>
      <c r="I1579" s="4">
        <v>870</v>
      </c>
      <c r="J1579" t="s">
        <v>653</v>
      </c>
      <c r="K1579" t="s">
        <v>86</v>
      </c>
      <c r="L1579" s="4">
        <v>12.869841591513939</v>
      </c>
      <c r="M1579" s="1" t="s">
        <v>38</v>
      </c>
      <c r="N1579" s="11">
        <f t="shared" si="24"/>
        <v>5</v>
      </c>
    </row>
    <row r="1580" spans="1:14" ht="16" x14ac:dyDescent="0.2">
      <c r="A1580" s="3">
        <v>43945.969277622527</v>
      </c>
      <c r="B1580" s="1" t="s">
        <v>1951</v>
      </c>
      <c r="C1580" t="s">
        <v>69</v>
      </c>
      <c r="D1580">
        <v>4</v>
      </c>
      <c r="E1580">
        <v>184</v>
      </c>
      <c r="F1580">
        <v>92</v>
      </c>
      <c r="G1580">
        <v>736</v>
      </c>
      <c r="H1580" s="4">
        <v>368</v>
      </c>
      <c r="I1580" s="4">
        <v>368</v>
      </c>
      <c r="J1580" t="s">
        <v>535</v>
      </c>
      <c r="K1580" t="s">
        <v>33</v>
      </c>
      <c r="L1580" s="4">
        <v>14.554851510602212</v>
      </c>
      <c r="M1580" s="1" t="s">
        <v>38</v>
      </c>
      <c r="N1580" s="11">
        <f t="shared" si="24"/>
        <v>5</v>
      </c>
    </row>
    <row r="1581" spans="1:14" ht="16" x14ac:dyDescent="0.2">
      <c r="A1581" s="3">
        <v>44068.172399264673</v>
      </c>
      <c r="B1581" s="1" t="s">
        <v>1952</v>
      </c>
      <c r="C1581" t="s">
        <v>243</v>
      </c>
      <c r="D1581">
        <v>16</v>
      </c>
      <c r="E1581">
        <v>90</v>
      </c>
      <c r="F1581">
        <v>45</v>
      </c>
      <c r="G1581">
        <v>1440</v>
      </c>
      <c r="H1581" s="4">
        <v>720</v>
      </c>
      <c r="I1581" s="4">
        <v>720</v>
      </c>
      <c r="J1581" t="s">
        <v>167</v>
      </c>
      <c r="K1581" t="s">
        <v>86</v>
      </c>
      <c r="L1581" s="4">
        <v>10.216282609482219</v>
      </c>
      <c r="M1581" s="1" t="s">
        <v>38</v>
      </c>
      <c r="N1581" s="11">
        <f t="shared" si="24"/>
        <v>5</v>
      </c>
    </row>
    <row r="1582" spans="1:14" ht="16" x14ac:dyDescent="0.2">
      <c r="A1582" s="3">
        <v>44341.321357760637</v>
      </c>
      <c r="B1582" s="1" t="s">
        <v>1953</v>
      </c>
      <c r="C1582" t="s">
        <v>193</v>
      </c>
      <c r="D1582">
        <v>17</v>
      </c>
      <c r="E1582">
        <v>348</v>
      </c>
      <c r="F1582">
        <v>87</v>
      </c>
      <c r="G1582">
        <v>5916</v>
      </c>
      <c r="H1582" s="4">
        <v>1479</v>
      </c>
      <c r="I1582" s="4">
        <v>4437</v>
      </c>
      <c r="J1582" t="s">
        <v>292</v>
      </c>
      <c r="K1582" t="s">
        <v>49</v>
      </c>
      <c r="L1582" s="4">
        <v>11.710935611749917</v>
      </c>
      <c r="M1582" s="1" t="s">
        <v>54</v>
      </c>
      <c r="N1582" s="11">
        <f t="shared" si="24"/>
        <v>10</v>
      </c>
    </row>
    <row r="1583" spans="1:14" ht="16" x14ac:dyDescent="0.2">
      <c r="A1583" s="3">
        <v>43651.98493341454</v>
      </c>
      <c r="B1583" s="1" t="s">
        <v>1954</v>
      </c>
      <c r="C1583" t="s">
        <v>592</v>
      </c>
      <c r="D1583">
        <v>4</v>
      </c>
      <c r="E1583">
        <v>312</v>
      </c>
      <c r="F1583">
        <v>78</v>
      </c>
      <c r="G1583">
        <v>1248</v>
      </c>
      <c r="H1583" s="4">
        <v>312</v>
      </c>
      <c r="I1583" s="4">
        <v>936</v>
      </c>
      <c r="J1583" t="s">
        <v>186</v>
      </c>
      <c r="K1583" t="s">
        <v>58</v>
      </c>
      <c r="L1583" s="4">
        <v>11.31221475547909</v>
      </c>
      <c r="M1583" s="1" t="s">
        <v>54</v>
      </c>
      <c r="N1583" s="11">
        <f t="shared" si="24"/>
        <v>10</v>
      </c>
    </row>
    <row r="1584" spans="1:14" ht="16" x14ac:dyDescent="0.2">
      <c r="A1584" s="3">
        <v>44201.932620269588</v>
      </c>
      <c r="B1584" s="1" t="s">
        <v>1955</v>
      </c>
      <c r="C1584" t="s">
        <v>266</v>
      </c>
      <c r="D1584">
        <v>6</v>
      </c>
      <c r="E1584">
        <v>50</v>
      </c>
      <c r="F1584">
        <v>25</v>
      </c>
      <c r="G1584">
        <v>300</v>
      </c>
      <c r="H1584" s="4">
        <v>150</v>
      </c>
      <c r="I1584" s="4">
        <v>150</v>
      </c>
      <c r="J1584" t="s">
        <v>548</v>
      </c>
      <c r="K1584" t="s">
        <v>53</v>
      </c>
      <c r="L1584" s="4">
        <v>16.695690968264284</v>
      </c>
      <c r="M1584" s="1" t="s">
        <v>38</v>
      </c>
      <c r="N1584" s="11">
        <f t="shared" si="24"/>
        <v>5</v>
      </c>
    </row>
    <row r="1585" spans="1:14" ht="16" x14ac:dyDescent="0.2">
      <c r="A1585" s="3">
        <v>44306.987278446002</v>
      </c>
      <c r="B1585" s="1" t="s">
        <v>1956</v>
      </c>
      <c r="C1585" t="s">
        <v>286</v>
      </c>
      <c r="D1585">
        <v>8</v>
      </c>
      <c r="E1585">
        <v>34</v>
      </c>
      <c r="F1585">
        <v>17</v>
      </c>
      <c r="G1585">
        <v>272</v>
      </c>
      <c r="H1585" s="4">
        <v>136</v>
      </c>
      <c r="I1585" s="4">
        <v>136</v>
      </c>
      <c r="J1585" t="s">
        <v>912</v>
      </c>
      <c r="K1585" t="s">
        <v>64</v>
      </c>
      <c r="L1585" s="4">
        <v>11.816651848338852</v>
      </c>
      <c r="M1585" s="1" t="s">
        <v>34</v>
      </c>
      <c r="N1585" s="11">
        <f t="shared" si="24"/>
        <v>1</v>
      </c>
    </row>
    <row r="1586" spans="1:14" ht="16" x14ac:dyDescent="0.2">
      <c r="A1586" s="3">
        <v>43343.375967329375</v>
      </c>
      <c r="B1586" s="1" t="s">
        <v>1957</v>
      </c>
      <c r="C1586" t="s">
        <v>31</v>
      </c>
      <c r="D1586">
        <v>17</v>
      </c>
      <c r="E1586">
        <v>280</v>
      </c>
      <c r="F1586">
        <v>70</v>
      </c>
      <c r="G1586">
        <v>4760</v>
      </c>
      <c r="H1586" s="4">
        <v>1190</v>
      </c>
      <c r="I1586" s="4">
        <v>3570</v>
      </c>
      <c r="J1586" t="s">
        <v>232</v>
      </c>
      <c r="K1586" t="s">
        <v>86</v>
      </c>
      <c r="L1586" s="4">
        <v>11.346510807401776</v>
      </c>
      <c r="M1586" s="1" t="s">
        <v>38</v>
      </c>
      <c r="N1586" s="11">
        <f t="shared" si="24"/>
        <v>5</v>
      </c>
    </row>
    <row r="1587" spans="1:14" ht="16" x14ac:dyDescent="0.2">
      <c r="A1587" s="3">
        <v>43172.993914718085</v>
      </c>
      <c r="B1587" s="1" t="s">
        <v>1958</v>
      </c>
      <c r="C1587" t="s">
        <v>297</v>
      </c>
      <c r="D1587">
        <v>9</v>
      </c>
      <c r="E1587">
        <v>108</v>
      </c>
      <c r="F1587">
        <v>36</v>
      </c>
      <c r="G1587">
        <v>972</v>
      </c>
      <c r="H1587" s="4">
        <v>324</v>
      </c>
      <c r="I1587" s="4">
        <v>648</v>
      </c>
      <c r="J1587" t="s">
        <v>246</v>
      </c>
      <c r="K1587" t="s">
        <v>58</v>
      </c>
      <c r="L1587" s="4">
        <v>15.234329552872023</v>
      </c>
      <c r="M1587" s="1" t="s">
        <v>38</v>
      </c>
      <c r="N1587" s="11">
        <f t="shared" si="24"/>
        <v>5</v>
      </c>
    </row>
    <row r="1588" spans="1:14" ht="16" x14ac:dyDescent="0.2">
      <c r="A1588" s="3">
        <v>43708.221666359692</v>
      </c>
      <c r="B1588" s="1" t="s">
        <v>1959</v>
      </c>
      <c r="C1588" t="s">
        <v>93</v>
      </c>
      <c r="D1588">
        <v>2</v>
      </c>
      <c r="E1588">
        <v>204</v>
      </c>
      <c r="F1588">
        <v>51</v>
      </c>
      <c r="G1588">
        <v>408</v>
      </c>
      <c r="H1588" s="4">
        <v>102</v>
      </c>
      <c r="I1588" s="4">
        <v>306</v>
      </c>
      <c r="J1588" t="s">
        <v>492</v>
      </c>
      <c r="K1588" t="s">
        <v>33</v>
      </c>
      <c r="L1588" s="4">
        <v>11.799431383856128</v>
      </c>
      <c r="M1588" s="1" t="s">
        <v>38</v>
      </c>
      <c r="N1588" s="11">
        <f t="shared" si="24"/>
        <v>5</v>
      </c>
    </row>
    <row r="1589" spans="1:14" ht="16" x14ac:dyDescent="0.2">
      <c r="A1589" s="3">
        <v>44031.936587166798</v>
      </c>
      <c r="B1589" s="1" t="s">
        <v>1960</v>
      </c>
      <c r="C1589" t="s">
        <v>301</v>
      </c>
      <c r="D1589">
        <v>11</v>
      </c>
      <c r="E1589">
        <v>188</v>
      </c>
      <c r="F1589">
        <v>94</v>
      </c>
      <c r="G1589">
        <v>2068</v>
      </c>
      <c r="H1589" s="4">
        <v>1034</v>
      </c>
      <c r="I1589" s="4">
        <v>1034</v>
      </c>
      <c r="J1589" t="s">
        <v>862</v>
      </c>
      <c r="K1589" t="s">
        <v>58</v>
      </c>
      <c r="L1589" s="4">
        <v>13.827196127590291</v>
      </c>
      <c r="M1589" s="1" t="s">
        <v>38</v>
      </c>
      <c r="N1589" s="11">
        <f t="shared" si="24"/>
        <v>5</v>
      </c>
    </row>
    <row r="1590" spans="1:14" ht="16" x14ac:dyDescent="0.2">
      <c r="A1590" s="3">
        <v>44758.544226178456</v>
      </c>
      <c r="B1590" s="1" t="s">
        <v>1961</v>
      </c>
      <c r="C1590" t="s">
        <v>212</v>
      </c>
      <c r="D1590">
        <v>1</v>
      </c>
      <c r="E1590">
        <v>300</v>
      </c>
      <c r="F1590">
        <v>75</v>
      </c>
      <c r="G1590">
        <v>300</v>
      </c>
      <c r="H1590" s="4">
        <v>75</v>
      </c>
      <c r="I1590" s="4">
        <v>225</v>
      </c>
      <c r="J1590" t="s">
        <v>310</v>
      </c>
      <c r="K1590" t="s">
        <v>58</v>
      </c>
      <c r="L1590" s="4">
        <v>11.03324198943719</v>
      </c>
      <c r="M1590" s="1" t="s">
        <v>38</v>
      </c>
      <c r="N1590" s="11">
        <f t="shared" si="24"/>
        <v>5</v>
      </c>
    </row>
    <row r="1591" spans="1:14" ht="16" x14ac:dyDescent="0.2">
      <c r="A1591" s="3">
        <v>43578.638686517326</v>
      </c>
      <c r="B1591" s="1" t="s">
        <v>1962</v>
      </c>
      <c r="C1591" t="s">
        <v>266</v>
      </c>
      <c r="D1591">
        <v>7</v>
      </c>
      <c r="E1591">
        <v>50</v>
      </c>
      <c r="F1591">
        <v>25</v>
      </c>
      <c r="G1591">
        <v>350</v>
      </c>
      <c r="H1591" s="4">
        <v>175</v>
      </c>
      <c r="I1591" s="4">
        <v>175</v>
      </c>
      <c r="J1591" t="s">
        <v>492</v>
      </c>
      <c r="K1591" t="s">
        <v>33</v>
      </c>
      <c r="L1591" s="4">
        <v>11.799431383856128</v>
      </c>
      <c r="M1591" s="1" t="s">
        <v>38</v>
      </c>
      <c r="N1591" s="11">
        <f t="shared" si="24"/>
        <v>5</v>
      </c>
    </row>
    <row r="1592" spans="1:14" ht="16" x14ac:dyDescent="0.2">
      <c r="A1592" s="3">
        <v>43780.326285241623</v>
      </c>
      <c r="B1592" s="1" t="s">
        <v>1963</v>
      </c>
      <c r="C1592" t="s">
        <v>139</v>
      </c>
      <c r="D1592">
        <v>17</v>
      </c>
      <c r="E1592">
        <v>320</v>
      </c>
      <c r="F1592">
        <v>80</v>
      </c>
      <c r="G1592">
        <v>5440</v>
      </c>
      <c r="H1592" s="4">
        <v>1360</v>
      </c>
      <c r="I1592" s="4">
        <v>4080</v>
      </c>
      <c r="J1592" t="s">
        <v>249</v>
      </c>
      <c r="K1592" t="s">
        <v>49</v>
      </c>
      <c r="L1592" s="4">
        <v>12.699346182652626</v>
      </c>
      <c r="M1592" s="1" t="s">
        <v>34</v>
      </c>
      <c r="N1592" s="11">
        <f t="shared" si="24"/>
        <v>1</v>
      </c>
    </row>
    <row r="1593" spans="1:14" ht="16" x14ac:dyDescent="0.2">
      <c r="A1593" s="3">
        <v>44039.873177983027</v>
      </c>
      <c r="B1593" s="1" t="s">
        <v>1964</v>
      </c>
      <c r="C1593" t="s">
        <v>240</v>
      </c>
      <c r="D1593">
        <v>6</v>
      </c>
      <c r="E1593">
        <v>108</v>
      </c>
      <c r="F1593">
        <v>54</v>
      </c>
      <c r="G1593">
        <v>648</v>
      </c>
      <c r="H1593" s="4">
        <v>324</v>
      </c>
      <c r="I1593" s="4">
        <v>324</v>
      </c>
      <c r="J1593" t="s">
        <v>426</v>
      </c>
      <c r="K1593" t="s">
        <v>53</v>
      </c>
      <c r="L1593" s="4">
        <v>13.923194761258239</v>
      </c>
      <c r="M1593" s="1" t="s">
        <v>34</v>
      </c>
      <c r="N1593" s="11">
        <f t="shared" si="24"/>
        <v>1</v>
      </c>
    </row>
    <row r="1594" spans="1:14" ht="16" x14ac:dyDescent="0.2">
      <c r="A1594" s="3">
        <v>43733.63381164254</v>
      </c>
      <c r="B1594" s="1" t="s">
        <v>1965</v>
      </c>
      <c r="C1594" t="s">
        <v>255</v>
      </c>
      <c r="D1594">
        <v>7</v>
      </c>
      <c r="E1594">
        <v>140</v>
      </c>
      <c r="F1594">
        <v>70</v>
      </c>
      <c r="G1594">
        <v>980</v>
      </c>
      <c r="H1594" s="4">
        <v>490</v>
      </c>
      <c r="I1594" s="4">
        <v>490</v>
      </c>
      <c r="J1594" t="s">
        <v>426</v>
      </c>
      <c r="K1594" t="s">
        <v>53</v>
      </c>
      <c r="L1594" s="4">
        <v>13.923194761258239</v>
      </c>
      <c r="M1594" s="1" t="s">
        <v>34</v>
      </c>
      <c r="N1594" s="11">
        <f t="shared" si="24"/>
        <v>1</v>
      </c>
    </row>
    <row r="1595" spans="1:14" ht="16" x14ac:dyDescent="0.2">
      <c r="A1595" s="3">
        <v>44826.098728501653</v>
      </c>
      <c r="B1595" s="1" t="s">
        <v>1966</v>
      </c>
      <c r="C1595" t="s">
        <v>218</v>
      </c>
      <c r="D1595">
        <v>17</v>
      </c>
      <c r="E1595">
        <v>264</v>
      </c>
      <c r="F1595">
        <v>88</v>
      </c>
      <c r="G1595">
        <v>4488</v>
      </c>
      <c r="H1595" s="4">
        <v>1496</v>
      </c>
      <c r="I1595" s="4">
        <v>2992</v>
      </c>
      <c r="J1595" t="s">
        <v>603</v>
      </c>
      <c r="K1595" t="s">
        <v>64</v>
      </c>
      <c r="L1595" s="4">
        <v>11.072271050116964</v>
      </c>
      <c r="M1595" s="1" t="s">
        <v>54</v>
      </c>
      <c r="N1595" s="11">
        <f t="shared" si="24"/>
        <v>10</v>
      </c>
    </row>
    <row r="1596" spans="1:14" ht="16" x14ac:dyDescent="0.2">
      <c r="A1596" s="3">
        <v>44515.574137563191</v>
      </c>
      <c r="B1596" s="1" t="s">
        <v>731</v>
      </c>
      <c r="C1596" t="s">
        <v>188</v>
      </c>
      <c r="D1596">
        <v>11</v>
      </c>
      <c r="E1596">
        <v>368</v>
      </c>
      <c r="F1596">
        <v>92</v>
      </c>
      <c r="G1596">
        <v>4048</v>
      </c>
      <c r="H1596" s="4">
        <v>1012</v>
      </c>
      <c r="I1596" s="4">
        <v>3036</v>
      </c>
      <c r="J1596" t="s">
        <v>804</v>
      </c>
      <c r="K1596" t="s">
        <v>53</v>
      </c>
      <c r="L1596" s="4">
        <v>9.4608554813364627</v>
      </c>
      <c r="M1596" s="1" t="s">
        <v>38</v>
      </c>
      <c r="N1596" s="11">
        <f t="shared" si="24"/>
        <v>5</v>
      </c>
    </row>
    <row r="1597" spans="1:14" ht="16" x14ac:dyDescent="0.2">
      <c r="A1597" s="3">
        <v>43650.830853075997</v>
      </c>
      <c r="B1597" s="1" t="s">
        <v>1967</v>
      </c>
      <c r="C1597" t="s">
        <v>56</v>
      </c>
      <c r="D1597">
        <v>7</v>
      </c>
      <c r="E1597">
        <v>38</v>
      </c>
      <c r="F1597">
        <v>19</v>
      </c>
      <c r="G1597">
        <v>266</v>
      </c>
      <c r="H1597" s="4">
        <v>133</v>
      </c>
      <c r="I1597" s="4">
        <v>133</v>
      </c>
      <c r="J1597" t="s">
        <v>1253</v>
      </c>
      <c r="K1597" t="s">
        <v>49</v>
      </c>
      <c r="L1597" s="4">
        <v>10.518436853046438</v>
      </c>
      <c r="M1597" s="1" t="s">
        <v>34</v>
      </c>
      <c r="N1597" s="11">
        <f t="shared" si="24"/>
        <v>1</v>
      </c>
    </row>
    <row r="1598" spans="1:14" ht="16" x14ac:dyDescent="0.2">
      <c r="A1598" s="3">
        <v>43356.469784290515</v>
      </c>
      <c r="B1598" s="1" t="s">
        <v>1968</v>
      </c>
      <c r="C1598" t="s">
        <v>171</v>
      </c>
      <c r="D1598">
        <v>10</v>
      </c>
      <c r="E1598">
        <v>225</v>
      </c>
      <c r="F1598">
        <v>75</v>
      </c>
      <c r="G1598">
        <v>2250</v>
      </c>
      <c r="H1598" s="4">
        <v>750</v>
      </c>
      <c r="I1598" s="4">
        <v>1500</v>
      </c>
      <c r="J1598" t="s">
        <v>776</v>
      </c>
      <c r="K1598" t="s">
        <v>86</v>
      </c>
      <c r="L1598" s="4">
        <v>13.611804647345796</v>
      </c>
      <c r="M1598" s="1" t="s">
        <v>38</v>
      </c>
      <c r="N1598" s="11">
        <f t="shared" si="24"/>
        <v>5</v>
      </c>
    </row>
    <row r="1599" spans="1:14" ht="16" x14ac:dyDescent="0.2">
      <c r="A1599" s="3">
        <v>44141.899635509209</v>
      </c>
      <c r="B1599" s="1" t="s">
        <v>1969</v>
      </c>
      <c r="C1599" t="s">
        <v>218</v>
      </c>
      <c r="D1599">
        <v>9</v>
      </c>
      <c r="E1599">
        <v>264</v>
      </c>
      <c r="F1599">
        <v>88</v>
      </c>
      <c r="G1599">
        <v>2376</v>
      </c>
      <c r="H1599" s="4">
        <v>792</v>
      </c>
      <c r="I1599" s="4">
        <v>1584</v>
      </c>
      <c r="J1599" t="s">
        <v>363</v>
      </c>
      <c r="K1599" t="s">
        <v>64</v>
      </c>
      <c r="L1599" s="4">
        <v>14.690198582365463</v>
      </c>
      <c r="M1599" s="1" t="s">
        <v>38</v>
      </c>
      <c r="N1599" s="11">
        <f t="shared" si="24"/>
        <v>5</v>
      </c>
    </row>
    <row r="1600" spans="1:14" ht="16" x14ac:dyDescent="0.2">
      <c r="A1600" s="3">
        <v>43746.024773459685</v>
      </c>
      <c r="B1600" s="1" t="s">
        <v>1970</v>
      </c>
      <c r="C1600" t="s">
        <v>142</v>
      </c>
      <c r="D1600">
        <v>4</v>
      </c>
      <c r="E1600">
        <v>210</v>
      </c>
      <c r="F1600">
        <v>70</v>
      </c>
      <c r="G1600">
        <v>840</v>
      </c>
      <c r="H1600" s="4">
        <v>280</v>
      </c>
      <c r="I1600" s="4">
        <v>560</v>
      </c>
      <c r="J1600" t="s">
        <v>686</v>
      </c>
      <c r="K1600" t="s">
        <v>86</v>
      </c>
      <c r="L1600" s="4">
        <v>8.1595626482464514</v>
      </c>
      <c r="M1600" s="1" t="s">
        <v>34</v>
      </c>
      <c r="N1600" s="11">
        <f t="shared" si="24"/>
        <v>1</v>
      </c>
    </row>
    <row r="1601" spans="1:14" ht="16" x14ac:dyDescent="0.2">
      <c r="A1601" s="3">
        <v>43151.44702995268</v>
      </c>
      <c r="B1601" s="1" t="s">
        <v>1971</v>
      </c>
      <c r="C1601" t="s">
        <v>788</v>
      </c>
      <c r="D1601">
        <v>14</v>
      </c>
      <c r="E1601">
        <v>100</v>
      </c>
      <c r="F1601">
        <v>25</v>
      </c>
      <c r="G1601">
        <v>1400</v>
      </c>
      <c r="H1601" s="4">
        <v>350</v>
      </c>
      <c r="I1601" s="4">
        <v>1050</v>
      </c>
      <c r="J1601" t="s">
        <v>1195</v>
      </c>
      <c r="K1601" t="s">
        <v>33</v>
      </c>
      <c r="L1601" s="4">
        <v>11.971065679104063</v>
      </c>
      <c r="M1601" s="1" t="s">
        <v>38</v>
      </c>
      <c r="N1601" s="11">
        <f t="shared" si="24"/>
        <v>5</v>
      </c>
    </row>
    <row r="1602" spans="1:14" ht="16" x14ac:dyDescent="0.2">
      <c r="A1602" s="3">
        <v>44679.180115689727</v>
      </c>
      <c r="B1602" s="1" t="s">
        <v>1972</v>
      </c>
      <c r="C1602" t="s">
        <v>370</v>
      </c>
      <c r="D1602">
        <v>15</v>
      </c>
      <c r="E1602">
        <v>144</v>
      </c>
      <c r="F1602">
        <v>36</v>
      </c>
      <c r="G1602">
        <v>2160</v>
      </c>
      <c r="H1602" s="4">
        <v>540</v>
      </c>
      <c r="I1602" s="4">
        <v>1620</v>
      </c>
      <c r="J1602" t="s">
        <v>466</v>
      </c>
      <c r="K1602" t="s">
        <v>49</v>
      </c>
      <c r="L1602" s="4">
        <v>16.368863536738775</v>
      </c>
      <c r="M1602" s="1" t="s">
        <v>34</v>
      </c>
      <c r="N1602" s="11">
        <f t="shared" si="24"/>
        <v>1</v>
      </c>
    </row>
    <row r="1603" spans="1:14" ht="16" x14ac:dyDescent="0.2">
      <c r="A1603" s="3">
        <v>43264.810829617774</v>
      </c>
      <c r="B1603" s="1" t="s">
        <v>1973</v>
      </c>
      <c r="C1603" t="s">
        <v>142</v>
      </c>
      <c r="D1603">
        <v>15</v>
      </c>
      <c r="E1603">
        <v>210</v>
      </c>
      <c r="F1603">
        <v>70</v>
      </c>
      <c r="G1603">
        <v>3150</v>
      </c>
      <c r="H1603" s="4">
        <v>1050</v>
      </c>
      <c r="I1603" s="4">
        <v>2100</v>
      </c>
      <c r="J1603" t="s">
        <v>264</v>
      </c>
      <c r="K1603" t="s">
        <v>42</v>
      </c>
      <c r="L1603" s="4">
        <v>12.514998090845811</v>
      </c>
      <c r="M1603" s="1" t="s">
        <v>38</v>
      </c>
      <c r="N1603" s="11">
        <f t="shared" ref="N1603:N1666" si="25">+IF(M1603="Dissatisfied",1,IF(M1603="Satisfied",10,5))</f>
        <v>5</v>
      </c>
    </row>
    <row r="1604" spans="1:14" ht="16" x14ac:dyDescent="0.2">
      <c r="A1604" s="3">
        <v>44783.805519636117</v>
      </c>
      <c r="B1604" s="1" t="s">
        <v>1974</v>
      </c>
      <c r="C1604" t="s">
        <v>252</v>
      </c>
      <c r="D1604">
        <v>15</v>
      </c>
      <c r="E1604">
        <v>252</v>
      </c>
      <c r="F1604">
        <v>63</v>
      </c>
      <c r="G1604">
        <v>3780</v>
      </c>
      <c r="H1604" s="4">
        <v>945</v>
      </c>
      <c r="I1604" s="4">
        <v>2835</v>
      </c>
      <c r="J1604" t="s">
        <v>183</v>
      </c>
      <c r="K1604" t="s">
        <v>58</v>
      </c>
      <c r="L1604" s="4">
        <v>11.939773463335372</v>
      </c>
      <c r="M1604" s="1" t="s">
        <v>38</v>
      </c>
      <c r="N1604" s="11">
        <f t="shared" si="25"/>
        <v>5</v>
      </c>
    </row>
    <row r="1605" spans="1:14" ht="16" x14ac:dyDescent="0.2">
      <c r="A1605" s="3">
        <v>44064.576791275082</v>
      </c>
      <c r="B1605" s="1" t="s">
        <v>1975</v>
      </c>
      <c r="C1605" t="s">
        <v>286</v>
      </c>
      <c r="D1605">
        <v>1</v>
      </c>
      <c r="E1605">
        <v>34</v>
      </c>
      <c r="F1605">
        <v>17</v>
      </c>
      <c r="G1605">
        <v>34</v>
      </c>
      <c r="H1605" s="4">
        <v>17</v>
      </c>
      <c r="I1605" s="4">
        <v>17</v>
      </c>
      <c r="J1605" t="s">
        <v>819</v>
      </c>
      <c r="K1605" t="s">
        <v>86</v>
      </c>
      <c r="L1605" s="4">
        <v>12.155895475340943</v>
      </c>
      <c r="M1605" s="1" t="s">
        <v>38</v>
      </c>
      <c r="N1605" s="11">
        <f t="shared" si="25"/>
        <v>5</v>
      </c>
    </row>
    <row r="1606" spans="1:14" ht="16" x14ac:dyDescent="0.2">
      <c r="A1606" s="3">
        <v>43850.784354684547</v>
      </c>
      <c r="B1606" s="1" t="s">
        <v>1976</v>
      </c>
      <c r="C1606" t="s">
        <v>779</v>
      </c>
      <c r="D1606">
        <v>8</v>
      </c>
      <c r="E1606">
        <v>120</v>
      </c>
      <c r="F1606">
        <v>30</v>
      </c>
      <c r="G1606">
        <v>960</v>
      </c>
      <c r="H1606" s="4">
        <v>240</v>
      </c>
      <c r="I1606" s="4">
        <v>720</v>
      </c>
      <c r="J1606" t="s">
        <v>466</v>
      </c>
      <c r="K1606" t="s">
        <v>49</v>
      </c>
      <c r="L1606" s="4">
        <v>16.368863536738775</v>
      </c>
      <c r="M1606" s="1" t="s">
        <v>38</v>
      </c>
      <c r="N1606" s="11">
        <f t="shared" si="25"/>
        <v>5</v>
      </c>
    </row>
    <row r="1607" spans="1:14" ht="16" x14ac:dyDescent="0.2">
      <c r="A1607" s="3">
        <v>43880.637966416514</v>
      </c>
      <c r="B1607" s="1" t="s">
        <v>772</v>
      </c>
      <c r="C1607" t="s">
        <v>148</v>
      </c>
      <c r="D1607">
        <v>14</v>
      </c>
      <c r="E1607">
        <v>144</v>
      </c>
      <c r="F1607">
        <v>36</v>
      </c>
      <c r="G1607">
        <v>2016</v>
      </c>
      <c r="H1607" s="4">
        <v>504</v>
      </c>
      <c r="I1607" s="4">
        <v>1512</v>
      </c>
      <c r="J1607" t="s">
        <v>686</v>
      </c>
      <c r="K1607" t="s">
        <v>86</v>
      </c>
      <c r="L1607" s="4">
        <v>8.1595626482464514</v>
      </c>
      <c r="M1607" s="1" t="s">
        <v>34</v>
      </c>
      <c r="N1607" s="11">
        <f t="shared" si="25"/>
        <v>1</v>
      </c>
    </row>
    <row r="1608" spans="1:14" ht="16" x14ac:dyDescent="0.2">
      <c r="A1608" s="3">
        <v>43944.89811156637</v>
      </c>
      <c r="B1608" s="1" t="s">
        <v>1977</v>
      </c>
      <c r="C1608" t="s">
        <v>145</v>
      </c>
      <c r="D1608">
        <v>5</v>
      </c>
      <c r="E1608">
        <v>207</v>
      </c>
      <c r="F1608">
        <v>69</v>
      </c>
      <c r="G1608">
        <v>1035</v>
      </c>
      <c r="H1608" s="4">
        <v>345</v>
      </c>
      <c r="I1608" s="4">
        <v>690</v>
      </c>
      <c r="J1608" t="s">
        <v>426</v>
      </c>
      <c r="K1608" t="s">
        <v>53</v>
      </c>
      <c r="L1608" s="4">
        <v>13.923194761258239</v>
      </c>
      <c r="M1608" s="1" t="s">
        <v>38</v>
      </c>
      <c r="N1608" s="11">
        <f t="shared" si="25"/>
        <v>5</v>
      </c>
    </row>
    <row r="1609" spans="1:14" ht="16" x14ac:dyDescent="0.2">
      <c r="A1609" s="3">
        <v>44017.736979552232</v>
      </c>
      <c r="B1609" s="1" t="s">
        <v>1978</v>
      </c>
      <c r="C1609" t="s">
        <v>243</v>
      </c>
      <c r="D1609">
        <v>1</v>
      </c>
      <c r="E1609">
        <v>90</v>
      </c>
      <c r="F1609">
        <v>45</v>
      </c>
      <c r="G1609">
        <v>90</v>
      </c>
      <c r="H1609" s="4">
        <v>45</v>
      </c>
      <c r="I1609" s="4">
        <v>45</v>
      </c>
      <c r="J1609" t="s">
        <v>363</v>
      </c>
      <c r="K1609" t="s">
        <v>64</v>
      </c>
      <c r="L1609" s="4">
        <v>14.690198582365463</v>
      </c>
      <c r="M1609" s="1" t="s">
        <v>54</v>
      </c>
      <c r="N1609" s="11">
        <f t="shared" si="25"/>
        <v>10</v>
      </c>
    </row>
    <row r="1610" spans="1:14" ht="16" x14ac:dyDescent="0.2">
      <c r="A1610" s="3">
        <v>43885.661081695798</v>
      </c>
      <c r="B1610" s="1" t="s">
        <v>1979</v>
      </c>
      <c r="C1610" t="s">
        <v>93</v>
      </c>
      <c r="D1610">
        <v>15</v>
      </c>
      <c r="E1610">
        <v>204</v>
      </c>
      <c r="F1610">
        <v>51</v>
      </c>
      <c r="G1610">
        <v>3060</v>
      </c>
      <c r="H1610" s="4">
        <v>765</v>
      </c>
      <c r="I1610" s="4">
        <v>2295</v>
      </c>
      <c r="J1610" t="s">
        <v>230</v>
      </c>
      <c r="K1610" t="s">
        <v>42</v>
      </c>
      <c r="L1610" s="4">
        <v>12.172922939334034</v>
      </c>
      <c r="M1610" s="1" t="s">
        <v>38</v>
      </c>
      <c r="N1610" s="11">
        <f t="shared" si="25"/>
        <v>5</v>
      </c>
    </row>
    <row r="1611" spans="1:14" ht="16" x14ac:dyDescent="0.2">
      <c r="A1611" s="3">
        <v>44230.374554289228</v>
      </c>
      <c r="B1611" s="1" t="s">
        <v>1980</v>
      </c>
      <c r="C1611" t="s">
        <v>88</v>
      </c>
      <c r="D1611">
        <v>10</v>
      </c>
      <c r="E1611">
        <v>210</v>
      </c>
      <c r="F1611">
        <v>70</v>
      </c>
      <c r="G1611">
        <v>2100</v>
      </c>
      <c r="H1611" s="4">
        <v>700</v>
      </c>
      <c r="I1611" s="4">
        <v>1400</v>
      </c>
      <c r="J1611" t="s">
        <v>262</v>
      </c>
      <c r="K1611" t="s">
        <v>86</v>
      </c>
      <c r="L1611" s="4">
        <v>12.796588406005421</v>
      </c>
      <c r="M1611" s="1" t="s">
        <v>38</v>
      </c>
      <c r="N1611" s="11">
        <f t="shared" si="25"/>
        <v>5</v>
      </c>
    </row>
    <row r="1612" spans="1:14" ht="16" x14ac:dyDescent="0.2">
      <c r="A1612" s="3">
        <v>44352.634128408848</v>
      </c>
      <c r="B1612" s="1" t="s">
        <v>1981</v>
      </c>
      <c r="C1612" t="s">
        <v>370</v>
      </c>
      <c r="D1612">
        <v>9</v>
      </c>
      <c r="E1612">
        <v>144</v>
      </c>
      <c r="F1612">
        <v>36</v>
      </c>
      <c r="G1612">
        <v>1296</v>
      </c>
      <c r="H1612" s="4">
        <v>324</v>
      </c>
      <c r="I1612" s="4">
        <v>972</v>
      </c>
      <c r="J1612" t="s">
        <v>817</v>
      </c>
      <c r="K1612" t="s">
        <v>64</v>
      </c>
      <c r="L1612" s="4">
        <v>11.417996201106442</v>
      </c>
      <c r="M1612" s="1" t="s">
        <v>38</v>
      </c>
      <c r="N1612" s="11">
        <f t="shared" si="25"/>
        <v>5</v>
      </c>
    </row>
    <row r="1613" spans="1:14" ht="16" x14ac:dyDescent="0.2">
      <c r="A1613" s="3">
        <v>44608.048014685344</v>
      </c>
      <c r="B1613" s="1" t="s">
        <v>1982</v>
      </c>
      <c r="C1613" t="s">
        <v>299</v>
      </c>
      <c r="D1613">
        <v>10</v>
      </c>
      <c r="E1613">
        <v>225</v>
      </c>
      <c r="F1613">
        <v>75</v>
      </c>
      <c r="G1613">
        <v>2250</v>
      </c>
      <c r="H1613" s="4">
        <v>750</v>
      </c>
      <c r="I1613" s="4">
        <v>1500</v>
      </c>
      <c r="J1613" t="s">
        <v>244</v>
      </c>
      <c r="K1613" t="s">
        <v>86</v>
      </c>
      <c r="L1613" s="4">
        <v>15.458859683514467</v>
      </c>
      <c r="M1613" s="1" t="s">
        <v>54</v>
      </c>
      <c r="N1613" s="11">
        <f t="shared" si="25"/>
        <v>10</v>
      </c>
    </row>
    <row r="1614" spans="1:14" ht="16" x14ac:dyDescent="0.2">
      <c r="A1614" s="3">
        <v>43373.56425735051</v>
      </c>
      <c r="B1614" s="1" t="s">
        <v>1983</v>
      </c>
      <c r="C1614" t="s">
        <v>255</v>
      </c>
      <c r="D1614">
        <v>4</v>
      </c>
      <c r="E1614">
        <v>140</v>
      </c>
      <c r="F1614">
        <v>70</v>
      </c>
      <c r="G1614">
        <v>560</v>
      </c>
      <c r="H1614" s="4">
        <v>280</v>
      </c>
      <c r="I1614" s="4">
        <v>280</v>
      </c>
      <c r="J1614" t="s">
        <v>504</v>
      </c>
      <c r="K1614" t="s">
        <v>53</v>
      </c>
      <c r="L1614" s="4">
        <v>12.801144805697081</v>
      </c>
      <c r="M1614" s="1" t="s">
        <v>54</v>
      </c>
      <c r="N1614" s="11">
        <f t="shared" si="25"/>
        <v>10</v>
      </c>
    </row>
    <row r="1615" spans="1:14" ht="16" x14ac:dyDescent="0.2">
      <c r="A1615" s="3">
        <v>43479.905305792185</v>
      </c>
      <c r="B1615" s="1" t="s">
        <v>1984</v>
      </c>
      <c r="C1615" t="s">
        <v>185</v>
      </c>
      <c r="D1615">
        <v>1</v>
      </c>
      <c r="E1615">
        <v>146</v>
      </c>
      <c r="F1615">
        <v>73</v>
      </c>
      <c r="G1615">
        <v>146</v>
      </c>
      <c r="H1615" s="4">
        <v>73</v>
      </c>
      <c r="I1615" s="4">
        <v>73</v>
      </c>
      <c r="J1615" t="s">
        <v>1414</v>
      </c>
      <c r="K1615" t="s">
        <v>42</v>
      </c>
      <c r="L1615" s="4">
        <v>8.6625575824723242</v>
      </c>
      <c r="M1615" s="1" t="s">
        <v>38</v>
      </c>
      <c r="N1615" s="11">
        <f t="shared" si="25"/>
        <v>5</v>
      </c>
    </row>
    <row r="1616" spans="1:14" ht="16" x14ac:dyDescent="0.2">
      <c r="A1616" s="3">
        <v>43427.214324282344</v>
      </c>
      <c r="B1616" s="1" t="s">
        <v>1985</v>
      </c>
      <c r="C1616" t="s">
        <v>188</v>
      </c>
      <c r="D1616">
        <v>13</v>
      </c>
      <c r="E1616">
        <v>368</v>
      </c>
      <c r="F1616">
        <v>92</v>
      </c>
      <c r="G1616">
        <v>4784</v>
      </c>
      <c r="H1616" s="4">
        <v>1196</v>
      </c>
      <c r="I1616" s="4">
        <v>3588</v>
      </c>
      <c r="J1616" t="s">
        <v>106</v>
      </c>
      <c r="K1616" t="s">
        <v>42</v>
      </c>
      <c r="L1616" s="4">
        <v>13.717776078041958</v>
      </c>
      <c r="M1616" s="1" t="s">
        <v>38</v>
      </c>
      <c r="N1616" s="11">
        <f t="shared" si="25"/>
        <v>5</v>
      </c>
    </row>
    <row r="1617" spans="1:14" ht="16" x14ac:dyDescent="0.2">
      <c r="A1617" s="3">
        <v>42873.803695976516</v>
      </c>
      <c r="B1617" s="1" t="s">
        <v>1986</v>
      </c>
      <c r="C1617" t="s">
        <v>538</v>
      </c>
      <c r="D1617">
        <v>13</v>
      </c>
      <c r="E1617">
        <v>261</v>
      </c>
      <c r="F1617">
        <v>87</v>
      </c>
      <c r="G1617">
        <v>3393</v>
      </c>
      <c r="H1617" s="4">
        <v>1131</v>
      </c>
      <c r="I1617" s="4">
        <v>2262</v>
      </c>
      <c r="J1617" t="s">
        <v>94</v>
      </c>
      <c r="K1617" t="s">
        <v>49</v>
      </c>
      <c r="L1617" s="4">
        <v>9.8238489437106278</v>
      </c>
      <c r="M1617" s="1" t="s">
        <v>38</v>
      </c>
      <c r="N1617" s="11">
        <f t="shared" si="25"/>
        <v>5</v>
      </c>
    </row>
    <row r="1618" spans="1:14" ht="16" x14ac:dyDescent="0.2">
      <c r="A1618" s="3">
        <v>44002.007572557573</v>
      </c>
      <c r="B1618" s="1" t="s">
        <v>1987</v>
      </c>
      <c r="C1618" t="s">
        <v>304</v>
      </c>
      <c r="D1618">
        <v>7</v>
      </c>
      <c r="E1618">
        <v>116</v>
      </c>
      <c r="F1618">
        <v>29</v>
      </c>
      <c r="G1618">
        <v>812</v>
      </c>
      <c r="H1618" s="4">
        <v>203</v>
      </c>
      <c r="I1618" s="4">
        <v>609</v>
      </c>
      <c r="J1618" t="s">
        <v>48</v>
      </c>
      <c r="K1618" t="s">
        <v>49</v>
      </c>
      <c r="L1618" s="4">
        <v>15.24190997853951</v>
      </c>
      <c r="M1618" s="1" t="s">
        <v>54</v>
      </c>
      <c r="N1618" s="11">
        <f t="shared" si="25"/>
        <v>10</v>
      </c>
    </row>
    <row r="1619" spans="1:14" ht="16" x14ac:dyDescent="0.2">
      <c r="A1619" s="3">
        <v>42946.784815926396</v>
      </c>
      <c r="B1619" s="1" t="s">
        <v>1988</v>
      </c>
      <c r="C1619" t="s">
        <v>51</v>
      </c>
      <c r="D1619">
        <v>9</v>
      </c>
      <c r="E1619">
        <v>160</v>
      </c>
      <c r="F1619">
        <v>80</v>
      </c>
      <c r="G1619">
        <v>1440</v>
      </c>
      <c r="H1619" s="4">
        <v>720</v>
      </c>
      <c r="I1619" s="4">
        <v>720</v>
      </c>
      <c r="J1619" t="s">
        <v>354</v>
      </c>
      <c r="K1619" t="s">
        <v>42</v>
      </c>
      <c r="L1619" s="4">
        <v>13.518413464873573</v>
      </c>
      <c r="M1619" s="1" t="s">
        <v>34</v>
      </c>
      <c r="N1619" s="11">
        <f t="shared" si="25"/>
        <v>1</v>
      </c>
    </row>
    <row r="1620" spans="1:14" ht="16" x14ac:dyDescent="0.2">
      <c r="A1620" s="3">
        <v>43365.147209234579</v>
      </c>
      <c r="B1620" s="1" t="s">
        <v>1989</v>
      </c>
      <c r="C1620" t="s">
        <v>145</v>
      </c>
      <c r="D1620">
        <v>17</v>
      </c>
      <c r="E1620">
        <v>207</v>
      </c>
      <c r="F1620">
        <v>69</v>
      </c>
      <c r="G1620">
        <v>3519</v>
      </c>
      <c r="H1620" s="4">
        <v>1173</v>
      </c>
      <c r="I1620" s="4">
        <v>2346</v>
      </c>
      <c r="J1620" t="s">
        <v>432</v>
      </c>
      <c r="K1620" t="s">
        <v>49</v>
      </c>
      <c r="L1620" s="4">
        <v>13.857835104514242</v>
      </c>
      <c r="M1620" s="1" t="s">
        <v>34</v>
      </c>
      <c r="N1620" s="11">
        <f t="shared" si="25"/>
        <v>1</v>
      </c>
    </row>
    <row r="1621" spans="1:14" ht="16" x14ac:dyDescent="0.2">
      <c r="A1621" s="3">
        <v>44757.700185145011</v>
      </c>
      <c r="B1621" s="1" t="s">
        <v>1990</v>
      </c>
      <c r="C1621" t="s">
        <v>84</v>
      </c>
      <c r="D1621">
        <v>10</v>
      </c>
      <c r="E1621">
        <v>126</v>
      </c>
      <c r="F1621">
        <v>42</v>
      </c>
      <c r="G1621">
        <v>1260</v>
      </c>
      <c r="H1621" s="4">
        <v>420</v>
      </c>
      <c r="I1621" s="4">
        <v>840</v>
      </c>
      <c r="J1621" t="s">
        <v>290</v>
      </c>
      <c r="K1621" t="s">
        <v>86</v>
      </c>
      <c r="L1621" s="4">
        <v>12.758430621858414</v>
      </c>
      <c r="M1621" s="1" t="s">
        <v>38</v>
      </c>
      <c r="N1621" s="11">
        <f t="shared" si="25"/>
        <v>5</v>
      </c>
    </row>
    <row r="1622" spans="1:14" ht="16" x14ac:dyDescent="0.2">
      <c r="A1622" s="3">
        <v>44233.300502634978</v>
      </c>
      <c r="B1622" s="1" t="s">
        <v>1991</v>
      </c>
      <c r="C1622" t="s">
        <v>561</v>
      </c>
      <c r="D1622">
        <v>5</v>
      </c>
      <c r="E1622">
        <v>384</v>
      </c>
      <c r="F1622">
        <v>96</v>
      </c>
      <c r="G1622">
        <v>1920</v>
      </c>
      <c r="H1622" s="4">
        <v>480</v>
      </c>
      <c r="I1622" s="4">
        <v>1440</v>
      </c>
      <c r="J1622" t="s">
        <v>310</v>
      </c>
      <c r="K1622" t="s">
        <v>58</v>
      </c>
      <c r="L1622" s="4">
        <v>11.03324198943719</v>
      </c>
      <c r="M1622" s="1" t="s">
        <v>54</v>
      </c>
      <c r="N1622" s="11">
        <f t="shared" si="25"/>
        <v>10</v>
      </c>
    </row>
    <row r="1623" spans="1:14" ht="16" x14ac:dyDescent="0.2">
      <c r="A1623" s="3">
        <v>43856.257117850611</v>
      </c>
      <c r="B1623" s="1" t="s">
        <v>1992</v>
      </c>
      <c r="C1623" t="s">
        <v>420</v>
      </c>
      <c r="D1623">
        <v>17</v>
      </c>
      <c r="E1623">
        <v>162</v>
      </c>
      <c r="F1623">
        <v>54</v>
      </c>
      <c r="G1623">
        <v>2754</v>
      </c>
      <c r="H1623" s="4">
        <v>918</v>
      </c>
      <c r="I1623" s="4">
        <v>1836</v>
      </c>
      <c r="J1623" t="s">
        <v>128</v>
      </c>
      <c r="K1623" t="s">
        <v>42</v>
      </c>
      <c r="L1623" s="4">
        <v>15.487214309603928</v>
      </c>
      <c r="M1623" s="1" t="s">
        <v>38</v>
      </c>
      <c r="N1623" s="11">
        <f t="shared" si="25"/>
        <v>5</v>
      </c>
    </row>
    <row r="1624" spans="1:14" ht="16" x14ac:dyDescent="0.2">
      <c r="A1624" s="3">
        <v>44214.168157848384</v>
      </c>
      <c r="B1624" s="1" t="s">
        <v>1993</v>
      </c>
      <c r="C1624" t="s">
        <v>320</v>
      </c>
      <c r="D1624">
        <v>18</v>
      </c>
      <c r="E1624">
        <v>280</v>
      </c>
      <c r="F1624">
        <v>70</v>
      </c>
      <c r="G1624">
        <v>5040</v>
      </c>
      <c r="H1624" s="4">
        <v>1260</v>
      </c>
      <c r="I1624" s="4">
        <v>3780</v>
      </c>
      <c r="J1624" t="s">
        <v>161</v>
      </c>
      <c r="K1624" t="s">
        <v>33</v>
      </c>
      <c r="L1624" s="4">
        <v>14.370283356317486</v>
      </c>
      <c r="M1624" s="1" t="s">
        <v>34</v>
      </c>
      <c r="N1624" s="11">
        <f t="shared" si="25"/>
        <v>1</v>
      </c>
    </row>
    <row r="1625" spans="1:14" ht="16" x14ac:dyDescent="0.2">
      <c r="A1625" s="3">
        <v>43638.141059978989</v>
      </c>
      <c r="B1625" s="1" t="s">
        <v>1994</v>
      </c>
      <c r="C1625" t="s">
        <v>583</v>
      </c>
      <c r="D1625">
        <v>7</v>
      </c>
      <c r="E1625">
        <v>57</v>
      </c>
      <c r="F1625">
        <v>19</v>
      </c>
      <c r="G1625">
        <v>399</v>
      </c>
      <c r="H1625" s="4">
        <v>133</v>
      </c>
      <c r="I1625" s="4">
        <v>266</v>
      </c>
      <c r="J1625" t="s">
        <v>506</v>
      </c>
      <c r="K1625" t="s">
        <v>33</v>
      </c>
      <c r="L1625" s="4">
        <v>13.917704159139552</v>
      </c>
      <c r="M1625" s="1" t="s">
        <v>38</v>
      </c>
      <c r="N1625" s="11">
        <f t="shared" si="25"/>
        <v>5</v>
      </c>
    </row>
    <row r="1626" spans="1:14" ht="16" x14ac:dyDescent="0.2">
      <c r="A1626" s="3">
        <v>43673.406276272821</v>
      </c>
      <c r="B1626" s="1" t="s">
        <v>1995</v>
      </c>
      <c r="C1626" t="s">
        <v>31</v>
      </c>
      <c r="D1626">
        <v>10</v>
      </c>
      <c r="E1626">
        <v>280</v>
      </c>
      <c r="F1626">
        <v>70</v>
      </c>
      <c r="G1626">
        <v>2800</v>
      </c>
      <c r="H1626" s="4">
        <v>700</v>
      </c>
      <c r="I1626" s="4">
        <v>2100</v>
      </c>
      <c r="J1626" t="s">
        <v>704</v>
      </c>
      <c r="K1626" t="s">
        <v>86</v>
      </c>
      <c r="L1626" s="4">
        <v>12.699042739101285</v>
      </c>
      <c r="M1626" s="1" t="s">
        <v>38</v>
      </c>
      <c r="N1626" s="11">
        <f t="shared" si="25"/>
        <v>5</v>
      </c>
    </row>
    <row r="1627" spans="1:14" ht="16" x14ac:dyDescent="0.2">
      <c r="A1627" s="3">
        <v>42936.191392561886</v>
      </c>
      <c r="B1627" s="1" t="s">
        <v>1996</v>
      </c>
      <c r="C1627" t="s">
        <v>304</v>
      </c>
      <c r="D1627">
        <v>13</v>
      </c>
      <c r="E1627">
        <v>116</v>
      </c>
      <c r="F1627">
        <v>29</v>
      </c>
      <c r="G1627">
        <v>1508</v>
      </c>
      <c r="H1627" s="4">
        <v>377</v>
      </c>
      <c r="I1627" s="4">
        <v>1131</v>
      </c>
      <c r="J1627" t="s">
        <v>387</v>
      </c>
      <c r="K1627" t="s">
        <v>86</v>
      </c>
      <c r="L1627" s="4">
        <v>15.60430546146185</v>
      </c>
      <c r="M1627" s="1" t="s">
        <v>38</v>
      </c>
      <c r="N1627" s="11">
        <f t="shared" si="25"/>
        <v>5</v>
      </c>
    </row>
    <row r="1628" spans="1:14" ht="16" x14ac:dyDescent="0.2">
      <c r="A1628" s="3">
        <v>44271.260284712342</v>
      </c>
      <c r="B1628" s="1" t="s">
        <v>1997</v>
      </c>
      <c r="C1628" t="s">
        <v>261</v>
      </c>
      <c r="D1628">
        <v>9</v>
      </c>
      <c r="E1628">
        <v>92</v>
      </c>
      <c r="F1628">
        <v>46</v>
      </c>
      <c r="G1628">
        <v>828</v>
      </c>
      <c r="H1628" s="4">
        <v>414</v>
      </c>
      <c r="I1628" s="4">
        <v>414</v>
      </c>
      <c r="J1628" t="s">
        <v>234</v>
      </c>
      <c r="K1628" t="s">
        <v>64</v>
      </c>
      <c r="L1628" s="4">
        <v>12.200533931675887</v>
      </c>
      <c r="M1628" s="1" t="s">
        <v>34</v>
      </c>
      <c r="N1628" s="11">
        <f t="shared" si="25"/>
        <v>1</v>
      </c>
    </row>
    <row r="1629" spans="1:14" ht="16" x14ac:dyDescent="0.2">
      <c r="A1629" s="3">
        <v>43432.388042376078</v>
      </c>
      <c r="B1629" s="1" t="s">
        <v>1998</v>
      </c>
      <c r="C1629" t="s">
        <v>375</v>
      </c>
      <c r="D1629">
        <v>16</v>
      </c>
      <c r="E1629">
        <v>360</v>
      </c>
      <c r="F1629">
        <v>90</v>
      </c>
      <c r="G1629">
        <v>5760</v>
      </c>
      <c r="H1629" s="4">
        <v>1440</v>
      </c>
      <c r="I1629" s="4">
        <v>4320</v>
      </c>
      <c r="J1629" t="s">
        <v>284</v>
      </c>
      <c r="K1629" t="s">
        <v>58</v>
      </c>
      <c r="L1629" s="4">
        <v>10.570474361325047</v>
      </c>
      <c r="M1629" s="1" t="s">
        <v>38</v>
      </c>
      <c r="N1629" s="11">
        <f t="shared" si="25"/>
        <v>5</v>
      </c>
    </row>
    <row r="1630" spans="1:14" ht="16" x14ac:dyDescent="0.2">
      <c r="A1630" s="3">
        <v>43663.868533968394</v>
      </c>
      <c r="B1630" s="1" t="s">
        <v>1999</v>
      </c>
      <c r="C1630" t="s">
        <v>547</v>
      </c>
      <c r="D1630">
        <v>15</v>
      </c>
      <c r="E1630">
        <v>300</v>
      </c>
      <c r="F1630">
        <v>75</v>
      </c>
      <c r="G1630">
        <v>4500</v>
      </c>
      <c r="H1630" s="4">
        <v>1125</v>
      </c>
      <c r="I1630" s="4">
        <v>3375</v>
      </c>
      <c r="J1630" t="s">
        <v>241</v>
      </c>
      <c r="K1630" t="s">
        <v>33</v>
      </c>
      <c r="L1630" s="4">
        <v>11.274864741138284</v>
      </c>
      <c r="M1630" s="1" t="s">
        <v>38</v>
      </c>
      <c r="N1630" s="11">
        <f t="shared" si="25"/>
        <v>5</v>
      </c>
    </row>
    <row r="1631" spans="1:14" ht="16" x14ac:dyDescent="0.2">
      <c r="A1631" s="3">
        <v>44749.766772971649</v>
      </c>
      <c r="B1631" s="1" t="s">
        <v>2000</v>
      </c>
      <c r="C1631" t="s">
        <v>98</v>
      </c>
      <c r="D1631">
        <v>19</v>
      </c>
      <c r="E1631">
        <v>156</v>
      </c>
      <c r="F1631">
        <v>78</v>
      </c>
      <c r="G1631">
        <v>2964</v>
      </c>
      <c r="H1631" s="4">
        <v>1482</v>
      </c>
      <c r="I1631" s="4">
        <v>1482</v>
      </c>
      <c r="J1631" t="s">
        <v>660</v>
      </c>
      <c r="K1631" t="s">
        <v>86</v>
      </c>
      <c r="L1631" s="4">
        <v>10.163794912095831</v>
      </c>
      <c r="M1631" s="1" t="s">
        <v>54</v>
      </c>
      <c r="N1631" s="11">
        <f t="shared" si="25"/>
        <v>10</v>
      </c>
    </row>
    <row r="1632" spans="1:14" ht="16" x14ac:dyDescent="0.2">
      <c r="A1632" s="3">
        <v>44221.726978070059</v>
      </c>
      <c r="B1632" s="1" t="s">
        <v>2001</v>
      </c>
      <c r="C1632" t="s">
        <v>420</v>
      </c>
      <c r="D1632">
        <v>15</v>
      </c>
      <c r="E1632">
        <v>162</v>
      </c>
      <c r="F1632">
        <v>54</v>
      </c>
      <c r="G1632">
        <v>2430</v>
      </c>
      <c r="H1632" s="4">
        <v>810</v>
      </c>
      <c r="I1632" s="4">
        <v>1620</v>
      </c>
      <c r="J1632" t="s">
        <v>432</v>
      </c>
      <c r="K1632" t="s">
        <v>49</v>
      </c>
      <c r="L1632" s="4">
        <v>13.857835104514242</v>
      </c>
      <c r="M1632" s="1" t="s">
        <v>54</v>
      </c>
      <c r="N1632" s="11">
        <f t="shared" si="25"/>
        <v>10</v>
      </c>
    </row>
    <row r="1633" spans="1:14" ht="16" x14ac:dyDescent="0.2">
      <c r="A1633" s="3">
        <v>44140.069940743429</v>
      </c>
      <c r="B1633" s="1" t="s">
        <v>2002</v>
      </c>
      <c r="C1633" t="s">
        <v>40</v>
      </c>
      <c r="D1633">
        <v>6</v>
      </c>
      <c r="E1633">
        <v>46</v>
      </c>
      <c r="F1633">
        <v>23</v>
      </c>
      <c r="G1633">
        <v>276</v>
      </c>
      <c r="H1633" s="4">
        <v>138</v>
      </c>
      <c r="I1633" s="4">
        <v>138</v>
      </c>
      <c r="J1633" t="s">
        <v>116</v>
      </c>
      <c r="K1633" t="s">
        <v>64</v>
      </c>
      <c r="L1633" s="4">
        <v>14.697745043716761</v>
      </c>
      <c r="M1633" s="1" t="s">
        <v>38</v>
      </c>
      <c r="N1633" s="11">
        <f t="shared" si="25"/>
        <v>5</v>
      </c>
    </row>
    <row r="1634" spans="1:14" ht="16" x14ac:dyDescent="0.2">
      <c r="A1634" s="3">
        <v>43339.791599614466</v>
      </c>
      <c r="B1634" s="1" t="s">
        <v>2003</v>
      </c>
      <c r="C1634" t="s">
        <v>538</v>
      </c>
      <c r="D1634">
        <v>13</v>
      </c>
      <c r="E1634">
        <v>261</v>
      </c>
      <c r="F1634">
        <v>87</v>
      </c>
      <c r="G1634">
        <v>3393</v>
      </c>
      <c r="H1634" s="4">
        <v>1131</v>
      </c>
      <c r="I1634" s="4">
        <v>2262</v>
      </c>
      <c r="J1634" t="s">
        <v>539</v>
      </c>
      <c r="K1634" t="s">
        <v>49</v>
      </c>
      <c r="L1634" s="4">
        <v>10.954865572729823</v>
      </c>
      <c r="M1634" s="1" t="s">
        <v>38</v>
      </c>
      <c r="N1634" s="11">
        <f t="shared" si="25"/>
        <v>5</v>
      </c>
    </row>
    <row r="1635" spans="1:14" ht="16" x14ac:dyDescent="0.2">
      <c r="A1635" s="3">
        <v>44473.878823830295</v>
      </c>
      <c r="B1635" s="1" t="s">
        <v>2004</v>
      </c>
      <c r="C1635" t="s">
        <v>304</v>
      </c>
      <c r="D1635">
        <v>20</v>
      </c>
      <c r="E1635">
        <v>116</v>
      </c>
      <c r="F1635">
        <v>29</v>
      </c>
      <c r="G1635">
        <v>2320</v>
      </c>
      <c r="H1635" s="4">
        <v>580</v>
      </c>
      <c r="I1635" s="4">
        <v>1740</v>
      </c>
      <c r="J1635" t="s">
        <v>689</v>
      </c>
      <c r="K1635" t="s">
        <v>58</v>
      </c>
      <c r="L1635" s="4">
        <v>13.486912834801583</v>
      </c>
      <c r="M1635" s="1" t="s">
        <v>38</v>
      </c>
      <c r="N1635" s="11">
        <f t="shared" si="25"/>
        <v>5</v>
      </c>
    </row>
    <row r="1636" spans="1:14" ht="16" x14ac:dyDescent="0.2">
      <c r="A1636" s="3">
        <v>43336.220921273998</v>
      </c>
      <c r="B1636" s="1" t="s">
        <v>2005</v>
      </c>
      <c r="C1636" t="s">
        <v>120</v>
      </c>
      <c r="D1636">
        <v>12</v>
      </c>
      <c r="E1636">
        <v>252</v>
      </c>
      <c r="F1636">
        <v>63</v>
      </c>
      <c r="G1636">
        <v>3024</v>
      </c>
      <c r="H1636" s="4">
        <v>756</v>
      </c>
      <c r="I1636" s="4">
        <v>2268</v>
      </c>
      <c r="J1636" t="s">
        <v>341</v>
      </c>
      <c r="K1636" t="s">
        <v>64</v>
      </c>
      <c r="L1636" s="4">
        <v>10.816866337473218</v>
      </c>
      <c r="M1636" s="1" t="s">
        <v>38</v>
      </c>
      <c r="N1636" s="11">
        <f t="shared" si="25"/>
        <v>5</v>
      </c>
    </row>
    <row r="1637" spans="1:14" ht="16" x14ac:dyDescent="0.2">
      <c r="A1637" s="3">
        <v>43996.812014301147</v>
      </c>
      <c r="B1637" s="1" t="s">
        <v>2006</v>
      </c>
      <c r="C1637" t="s">
        <v>607</v>
      </c>
      <c r="D1637">
        <v>5</v>
      </c>
      <c r="E1637">
        <v>225</v>
      </c>
      <c r="F1637">
        <v>75</v>
      </c>
      <c r="G1637">
        <v>1125</v>
      </c>
      <c r="H1637" s="4">
        <v>375</v>
      </c>
      <c r="I1637" s="4">
        <v>750</v>
      </c>
      <c r="J1637" t="s">
        <v>363</v>
      </c>
      <c r="K1637" t="s">
        <v>64</v>
      </c>
      <c r="L1637" s="4">
        <v>14.690198582365463</v>
      </c>
      <c r="M1637" s="1" t="s">
        <v>54</v>
      </c>
      <c r="N1637" s="11">
        <f t="shared" si="25"/>
        <v>10</v>
      </c>
    </row>
    <row r="1638" spans="1:14" ht="16" x14ac:dyDescent="0.2">
      <c r="A1638" s="3">
        <v>44417.764833289373</v>
      </c>
      <c r="B1638" s="1" t="s">
        <v>1834</v>
      </c>
      <c r="C1638" t="s">
        <v>283</v>
      </c>
      <c r="D1638">
        <v>3</v>
      </c>
      <c r="E1638">
        <v>144</v>
      </c>
      <c r="F1638">
        <v>36</v>
      </c>
      <c r="G1638">
        <v>432</v>
      </c>
      <c r="H1638" s="4">
        <v>108</v>
      </c>
      <c r="I1638" s="4">
        <v>324</v>
      </c>
      <c r="J1638" t="s">
        <v>197</v>
      </c>
      <c r="K1638" t="s">
        <v>49</v>
      </c>
      <c r="L1638" s="4">
        <v>13.288482149665386</v>
      </c>
      <c r="M1638" s="1" t="s">
        <v>38</v>
      </c>
      <c r="N1638" s="11">
        <f t="shared" si="25"/>
        <v>5</v>
      </c>
    </row>
    <row r="1639" spans="1:14" ht="16" x14ac:dyDescent="0.2">
      <c r="A1639" s="3">
        <v>43535.457670474985</v>
      </c>
      <c r="B1639" s="1" t="s">
        <v>2007</v>
      </c>
      <c r="C1639" t="s">
        <v>98</v>
      </c>
      <c r="D1639">
        <v>2</v>
      </c>
      <c r="E1639">
        <v>156</v>
      </c>
      <c r="F1639">
        <v>78</v>
      </c>
      <c r="G1639">
        <v>312</v>
      </c>
      <c r="H1639" s="4">
        <v>156</v>
      </c>
      <c r="I1639" s="4">
        <v>156</v>
      </c>
      <c r="J1639" t="s">
        <v>397</v>
      </c>
      <c r="K1639" t="s">
        <v>49</v>
      </c>
      <c r="L1639" s="4">
        <v>9.4239783062860578</v>
      </c>
      <c r="M1639" s="1" t="s">
        <v>38</v>
      </c>
      <c r="N1639" s="11">
        <f t="shared" si="25"/>
        <v>5</v>
      </c>
    </row>
    <row r="1640" spans="1:14" ht="16" x14ac:dyDescent="0.2">
      <c r="A1640" s="3">
        <v>44056.251641601833</v>
      </c>
      <c r="B1640" s="1" t="s">
        <v>2008</v>
      </c>
      <c r="C1640" t="s">
        <v>136</v>
      </c>
      <c r="D1640">
        <v>14</v>
      </c>
      <c r="E1640">
        <v>154</v>
      </c>
      <c r="F1640">
        <v>77</v>
      </c>
      <c r="G1640">
        <v>2156</v>
      </c>
      <c r="H1640" s="4">
        <v>1078</v>
      </c>
      <c r="I1640" s="4">
        <v>1078</v>
      </c>
      <c r="J1640" t="s">
        <v>462</v>
      </c>
      <c r="K1640" t="s">
        <v>86</v>
      </c>
      <c r="L1640" s="4">
        <v>12.732640267350657</v>
      </c>
      <c r="M1640" s="1" t="s">
        <v>34</v>
      </c>
      <c r="N1640" s="11">
        <f t="shared" si="25"/>
        <v>1</v>
      </c>
    </row>
    <row r="1641" spans="1:14" ht="16" x14ac:dyDescent="0.2">
      <c r="A1641" s="3">
        <v>44505.256467636798</v>
      </c>
      <c r="B1641" s="1" t="s">
        <v>2009</v>
      </c>
      <c r="C1641" t="s">
        <v>175</v>
      </c>
      <c r="D1641">
        <v>3</v>
      </c>
      <c r="E1641">
        <v>38</v>
      </c>
      <c r="F1641">
        <v>19</v>
      </c>
      <c r="G1641">
        <v>114</v>
      </c>
      <c r="H1641" s="4">
        <v>57</v>
      </c>
      <c r="I1641" s="4">
        <v>57</v>
      </c>
      <c r="J1641" t="s">
        <v>1560</v>
      </c>
      <c r="K1641" t="s">
        <v>86</v>
      </c>
      <c r="L1641" s="4">
        <v>14.412865837260112</v>
      </c>
      <c r="M1641" s="1" t="s">
        <v>38</v>
      </c>
      <c r="N1641" s="11">
        <f t="shared" si="25"/>
        <v>5</v>
      </c>
    </row>
    <row r="1642" spans="1:14" ht="16" x14ac:dyDescent="0.2">
      <c r="A1642" s="3">
        <v>43830.44171071177</v>
      </c>
      <c r="B1642" s="1" t="s">
        <v>2010</v>
      </c>
      <c r="C1642" t="s">
        <v>154</v>
      </c>
      <c r="D1642">
        <v>16</v>
      </c>
      <c r="E1642">
        <v>308</v>
      </c>
      <c r="F1642">
        <v>77</v>
      </c>
      <c r="G1642">
        <v>4928</v>
      </c>
      <c r="H1642" s="4">
        <v>1232</v>
      </c>
      <c r="I1642" s="4">
        <v>3696</v>
      </c>
      <c r="J1642" t="s">
        <v>37</v>
      </c>
      <c r="K1642" t="s">
        <v>33</v>
      </c>
      <c r="L1642" s="4">
        <v>13.299525114817991</v>
      </c>
      <c r="M1642" s="1" t="s">
        <v>38</v>
      </c>
      <c r="N1642" s="11">
        <f t="shared" si="25"/>
        <v>5</v>
      </c>
    </row>
    <row r="1643" spans="1:14" ht="16" x14ac:dyDescent="0.2">
      <c r="A1643" s="3">
        <v>44642.442082994661</v>
      </c>
      <c r="B1643" s="1" t="s">
        <v>2011</v>
      </c>
      <c r="C1643" t="s">
        <v>243</v>
      </c>
      <c r="D1643">
        <v>18</v>
      </c>
      <c r="E1643">
        <v>90</v>
      </c>
      <c r="F1643">
        <v>45</v>
      </c>
      <c r="G1643">
        <v>1620</v>
      </c>
      <c r="H1643" s="4">
        <v>810</v>
      </c>
      <c r="I1643" s="4">
        <v>810</v>
      </c>
      <c r="J1643" t="s">
        <v>421</v>
      </c>
      <c r="K1643" t="s">
        <v>53</v>
      </c>
      <c r="L1643" s="4">
        <v>10.96230865592911</v>
      </c>
      <c r="M1643" s="1" t="s">
        <v>34</v>
      </c>
      <c r="N1643" s="11">
        <f t="shared" si="25"/>
        <v>1</v>
      </c>
    </row>
    <row r="1644" spans="1:14" ht="16" x14ac:dyDescent="0.2">
      <c r="A1644" s="3">
        <v>43349.867911928777</v>
      </c>
      <c r="B1644" s="1" t="s">
        <v>2012</v>
      </c>
      <c r="C1644" t="s">
        <v>215</v>
      </c>
      <c r="D1644">
        <v>3</v>
      </c>
      <c r="E1644">
        <v>176</v>
      </c>
      <c r="F1644">
        <v>88</v>
      </c>
      <c r="G1644">
        <v>528</v>
      </c>
      <c r="H1644" s="4">
        <v>264</v>
      </c>
      <c r="I1644" s="4">
        <v>264</v>
      </c>
      <c r="J1644" t="s">
        <v>531</v>
      </c>
      <c r="K1644" t="s">
        <v>58</v>
      </c>
      <c r="L1644" s="4">
        <v>14.064516999204997</v>
      </c>
      <c r="M1644" s="1" t="s">
        <v>38</v>
      </c>
      <c r="N1644" s="11">
        <f t="shared" si="25"/>
        <v>5</v>
      </c>
    </row>
    <row r="1645" spans="1:14" ht="16" x14ac:dyDescent="0.2">
      <c r="A1645" s="3">
        <v>43849.266247256579</v>
      </c>
      <c r="B1645" s="1" t="s">
        <v>2013</v>
      </c>
      <c r="C1645" t="s">
        <v>72</v>
      </c>
      <c r="D1645">
        <v>20</v>
      </c>
      <c r="E1645">
        <v>352</v>
      </c>
      <c r="F1645">
        <v>88</v>
      </c>
      <c r="G1645">
        <v>7040</v>
      </c>
      <c r="H1645" s="4">
        <v>1760</v>
      </c>
      <c r="I1645" s="4">
        <v>5280</v>
      </c>
      <c r="J1645" t="s">
        <v>609</v>
      </c>
      <c r="K1645" t="s">
        <v>64</v>
      </c>
      <c r="L1645" s="4">
        <v>12.564315242820944</v>
      </c>
      <c r="M1645" s="1" t="s">
        <v>38</v>
      </c>
      <c r="N1645" s="11">
        <f t="shared" si="25"/>
        <v>5</v>
      </c>
    </row>
    <row r="1646" spans="1:14" ht="16" x14ac:dyDescent="0.2">
      <c r="A1646" s="3">
        <v>42962.447379798417</v>
      </c>
      <c r="B1646" s="1" t="s">
        <v>2014</v>
      </c>
      <c r="C1646" t="s">
        <v>276</v>
      </c>
      <c r="D1646">
        <v>10</v>
      </c>
      <c r="E1646">
        <v>57</v>
      </c>
      <c r="F1646">
        <v>19</v>
      </c>
      <c r="G1646">
        <v>570</v>
      </c>
      <c r="H1646" s="4">
        <v>190</v>
      </c>
      <c r="I1646" s="4">
        <v>380</v>
      </c>
      <c r="J1646" t="s">
        <v>1091</v>
      </c>
      <c r="K1646" t="s">
        <v>33</v>
      </c>
      <c r="L1646" s="4">
        <v>12.55774399806273</v>
      </c>
      <c r="M1646" s="1" t="s">
        <v>38</v>
      </c>
      <c r="N1646" s="11">
        <f t="shared" si="25"/>
        <v>5</v>
      </c>
    </row>
    <row r="1647" spans="1:14" ht="16" x14ac:dyDescent="0.2">
      <c r="A1647" s="3">
        <v>43950.049161645671</v>
      </c>
      <c r="B1647" s="1" t="s">
        <v>2015</v>
      </c>
      <c r="C1647" t="s">
        <v>193</v>
      </c>
      <c r="D1647">
        <v>15</v>
      </c>
      <c r="E1647">
        <v>348</v>
      </c>
      <c r="F1647">
        <v>87</v>
      </c>
      <c r="G1647">
        <v>5220</v>
      </c>
      <c r="H1647" s="4">
        <v>1305</v>
      </c>
      <c r="I1647" s="4">
        <v>3915</v>
      </c>
      <c r="J1647" t="s">
        <v>126</v>
      </c>
      <c r="K1647" t="s">
        <v>64</v>
      </c>
      <c r="L1647" s="4">
        <v>11.006397834696006</v>
      </c>
      <c r="M1647" s="1" t="s">
        <v>34</v>
      </c>
      <c r="N1647" s="11">
        <f t="shared" si="25"/>
        <v>1</v>
      </c>
    </row>
    <row r="1648" spans="1:14" ht="16" x14ac:dyDescent="0.2">
      <c r="A1648" s="3">
        <v>43794.48047876569</v>
      </c>
      <c r="B1648" s="1" t="s">
        <v>2016</v>
      </c>
      <c r="C1648" t="s">
        <v>261</v>
      </c>
      <c r="D1648">
        <v>15</v>
      </c>
      <c r="E1648">
        <v>92</v>
      </c>
      <c r="F1648">
        <v>46</v>
      </c>
      <c r="G1648">
        <v>1380</v>
      </c>
      <c r="H1648" s="4">
        <v>690</v>
      </c>
      <c r="I1648" s="4">
        <v>690</v>
      </c>
      <c r="J1648" t="s">
        <v>980</v>
      </c>
      <c r="K1648" t="s">
        <v>33</v>
      </c>
      <c r="L1648" s="4">
        <v>8.1743378387804331</v>
      </c>
      <c r="M1648" s="1" t="s">
        <v>38</v>
      </c>
      <c r="N1648" s="11">
        <f t="shared" si="25"/>
        <v>5</v>
      </c>
    </row>
    <row r="1649" spans="1:14" ht="16" x14ac:dyDescent="0.2">
      <c r="A1649" s="3">
        <v>43412.774751610166</v>
      </c>
      <c r="B1649" s="1" t="s">
        <v>2017</v>
      </c>
      <c r="C1649" t="s">
        <v>337</v>
      </c>
      <c r="D1649">
        <v>11</v>
      </c>
      <c r="E1649">
        <v>135</v>
      </c>
      <c r="F1649">
        <v>45</v>
      </c>
      <c r="G1649">
        <v>1485</v>
      </c>
      <c r="H1649" s="4">
        <v>495</v>
      </c>
      <c r="I1649" s="4">
        <v>990</v>
      </c>
      <c r="J1649" t="s">
        <v>123</v>
      </c>
      <c r="K1649" t="s">
        <v>53</v>
      </c>
      <c r="L1649" s="4">
        <v>10.42743035829395</v>
      </c>
      <c r="M1649" s="1" t="s">
        <v>38</v>
      </c>
      <c r="N1649" s="11">
        <f t="shared" si="25"/>
        <v>5</v>
      </c>
    </row>
    <row r="1650" spans="1:14" ht="16" x14ac:dyDescent="0.2">
      <c r="A1650" s="3">
        <v>43869.213594886256</v>
      </c>
      <c r="B1650" s="1" t="s">
        <v>2018</v>
      </c>
      <c r="C1650" t="s">
        <v>72</v>
      </c>
      <c r="D1650">
        <v>20</v>
      </c>
      <c r="E1650">
        <v>352</v>
      </c>
      <c r="F1650">
        <v>88</v>
      </c>
      <c r="G1650">
        <v>7040</v>
      </c>
      <c r="H1650" s="4">
        <v>1760</v>
      </c>
      <c r="I1650" s="4">
        <v>5280</v>
      </c>
      <c r="J1650" t="s">
        <v>146</v>
      </c>
      <c r="K1650" t="s">
        <v>64</v>
      </c>
      <c r="L1650" s="4">
        <v>12.487915239531313</v>
      </c>
      <c r="M1650" s="1" t="s">
        <v>54</v>
      </c>
      <c r="N1650" s="11">
        <f t="shared" si="25"/>
        <v>10</v>
      </c>
    </row>
    <row r="1651" spans="1:14" ht="16" x14ac:dyDescent="0.2">
      <c r="A1651" s="3">
        <v>44894.286069289301</v>
      </c>
      <c r="B1651" s="1" t="s">
        <v>2019</v>
      </c>
      <c r="C1651" t="s">
        <v>51</v>
      </c>
      <c r="D1651">
        <v>2</v>
      </c>
      <c r="E1651">
        <v>160</v>
      </c>
      <c r="F1651">
        <v>80</v>
      </c>
      <c r="G1651">
        <v>320</v>
      </c>
      <c r="H1651" s="4">
        <v>160</v>
      </c>
      <c r="I1651" s="4">
        <v>160</v>
      </c>
      <c r="J1651" t="s">
        <v>910</v>
      </c>
      <c r="K1651" t="s">
        <v>58</v>
      </c>
      <c r="L1651" s="4">
        <v>11.78346750250795</v>
      </c>
      <c r="M1651" s="1" t="s">
        <v>54</v>
      </c>
      <c r="N1651" s="11">
        <f t="shared" si="25"/>
        <v>10</v>
      </c>
    </row>
    <row r="1652" spans="1:14" ht="16" x14ac:dyDescent="0.2">
      <c r="A1652" s="3">
        <v>43351.754334942445</v>
      </c>
      <c r="B1652" s="1" t="s">
        <v>2020</v>
      </c>
      <c r="C1652" t="s">
        <v>154</v>
      </c>
      <c r="D1652">
        <v>1</v>
      </c>
      <c r="E1652">
        <v>308</v>
      </c>
      <c r="F1652">
        <v>77</v>
      </c>
      <c r="G1652">
        <v>308</v>
      </c>
      <c r="H1652" s="4">
        <v>77</v>
      </c>
      <c r="I1652" s="4">
        <v>231</v>
      </c>
      <c r="J1652" t="s">
        <v>752</v>
      </c>
      <c r="K1652" t="s">
        <v>49</v>
      </c>
      <c r="L1652" s="4">
        <v>11.862005526237752</v>
      </c>
      <c r="M1652" s="1" t="s">
        <v>38</v>
      </c>
      <c r="N1652" s="11">
        <f t="shared" si="25"/>
        <v>5</v>
      </c>
    </row>
    <row r="1653" spans="1:14" ht="16" x14ac:dyDescent="0.2">
      <c r="A1653" s="3">
        <v>43515.999931547769</v>
      </c>
      <c r="B1653" s="1" t="s">
        <v>2021</v>
      </c>
      <c r="C1653" t="s">
        <v>365</v>
      </c>
      <c r="D1653">
        <v>18</v>
      </c>
      <c r="E1653">
        <v>255</v>
      </c>
      <c r="F1653">
        <v>85</v>
      </c>
      <c r="G1653">
        <v>4590</v>
      </c>
      <c r="H1653" s="4">
        <v>1530</v>
      </c>
      <c r="I1653" s="4">
        <v>3060</v>
      </c>
      <c r="J1653" t="s">
        <v>102</v>
      </c>
      <c r="K1653" t="s">
        <v>49</v>
      </c>
      <c r="L1653" s="4">
        <v>15.12637675023732</v>
      </c>
      <c r="M1653" s="1" t="s">
        <v>38</v>
      </c>
      <c r="N1653" s="11">
        <f t="shared" si="25"/>
        <v>5</v>
      </c>
    </row>
    <row r="1654" spans="1:14" ht="16" x14ac:dyDescent="0.2">
      <c r="A1654" s="3">
        <v>43736.500180702955</v>
      </c>
      <c r="B1654" s="1" t="s">
        <v>2022</v>
      </c>
      <c r="C1654" t="s">
        <v>276</v>
      </c>
      <c r="D1654">
        <v>13</v>
      </c>
      <c r="E1654">
        <v>57</v>
      </c>
      <c r="F1654">
        <v>19</v>
      </c>
      <c r="G1654">
        <v>741</v>
      </c>
      <c r="H1654" s="4">
        <v>247</v>
      </c>
      <c r="I1654" s="4">
        <v>494</v>
      </c>
      <c r="J1654" t="s">
        <v>444</v>
      </c>
      <c r="K1654" t="s">
        <v>42</v>
      </c>
      <c r="L1654" s="4">
        <v>15.861056998489449</v>
      </c>
      <c r="M1654" s="1" t="s">
        <v>54</v>
      </c>
      <c r="N1654" s="11">
        <f t="shared" si="25"/>
        <v>10</v>
      </c>
    </row>
    <row r="1655" spans="1:14" ht="16" x14ac:dyDescent="0.2">
      <c r="A1655" s="3">
        <v>43809.673552403379</v>
      </c>
      <c r="B1655" s="1" t="s">
        <v>2023</v>
      </c>
      <c r="C1655" t="s">
        <v>44</v>
      </c>
      <c r="D1655">
        <v>14</v>
      </c>
      <c r="E1655">
        <v>114</v>
      </c>
      <c r="F1655">
        <v>57</v>
      </c>
      <c r="G1655">
        <v>1596</v>
      </c>
      <c r="H1655" s="4">
        <v>798</v>
      </c>
      <c r="I1655" s="4">
        <v>798</v>
      </c>
      <c r="J1655" t="s">
        <v>67</v>
      </c>
      <c r="K1655" t="s">
        <v>64</v>
      </c>
      <c r="L1655" s="4">
        <v>15.602184182549776</v>
      </c>
      <c r="M1655" s="1" t="s">
        <v>38</v>
      </c>
      <c r="N1655" s="11">
        <f t="shared" si="25"/>
        <v>5</v>
      </c>
    </row>
    <row r="1656" spans="1:14" ht="16" x14ac:dyDescent="0.2">
      <c r="A1656" s="3">
        <v>44224.471994116211</v>
      </c>
      <c r="B1656" s="1" t="s">
        <v>2024</v>
      </c>
      <c r="C1656" t="s">
        <v>185</v>
      </c>
      <c r="D1656">
        <v>9</v>
      </c>
      <c r="E1656">
        <v>146</v>
      </c>
      <c r="F1656">
        <v>73</v>
      </c>
      <c r="G1656">
        <v>1314</v>
      </c>
      <c r="H1656" s="4">
        <v>657</v>
      </c>
      <c r="I1656" s="4">
        <v>657</v>
      </c>
      <c r="J1656" t="s">
        <v>691</v>
      </c>
      <c r="K1656" t="s">
        <v>33</v>
      </c>
      <c r="L1656" s="4">
        <v>10.248947386022252</v>
      </c>
      <c r="M1656" s="1" t="s">
        <v>54</v>
      </c>
      <c r="N1656" s="11">
        <f t="shared" si="25"/>
        <v>10</v>
      </c>
    </row>
    <row r="1657" spans="1:14" ht="16" x14ac:dyDescent="0.2">
      <c r="A1657" s="3">
        <v>43711.862383544591</v>
      </c>
      <c r="B1657" s="1" t="s">
        <v>2025</v>
      </c>
      <c r="C1657" t="s">
        <v>218</v>
      </c>
      <c r="D1657">
        <v>11</v>
      </c>
      <c r="E1657">
        <v>264</v>
      </c>
      <c r="F1657">
        <v>88</v>
      </c>
      <c r="G1657">
        <v>2904</v>
      </c>
      <c r="H1657" s="4">
        <v>968</v>
      </c>
      <c r="I1657" s="4">
        <v>1936</v>
      </c>
      <c r="J1657" t="s">
        <v>318</v>
      </c>
      <c r="K1657" t="s">
        <v>33</v>
      </c>
      <c r="L1657" s="4">
        <v>9.0350666811770921</v>
      </c>
      <c r="M1657" s="1" t="s">
        <v>38</v>
      </c>
      <c r="N1657" s="11">
        <f t="shared" si="25"/>
        <v>5</v>
      </c>
    </row>
    <row r="1658" spans="1:14" ht="16" x14ac:dyDescent="0.2">
      <c r="A1658" s="3">
        <v>44535.923176135504</v>
      </c>
      <c r="B1658" s="1" t="s">
        <v>2026</v>
      </c>
      <c r="C1658" t="s">
        <v>145</v>
      </c>
      <c r="D1658">
        <v>13</v>
      </c>
      <c r="E1658">
        <v>207</v>
      </c>
      <c r="F1658">
        <v>69</v>
      </c>
      <c r="G1658">
        <v>2691</v>
      </c>
      <c r="H1658" s="4">
        <v>897</v>
      </c>
      <c r="I1658" s="4">
        <v>1794</v>
      </c>
      <c r="J1658" t="s">
        <v>382</v>
      </c>
      <c r="K1658" t="s">
        <v>49</v>
      </c>
      <c r="L1658" s="4">
        <v>12.299779975023837</v>
      </c>
      <c r="M1658" s="1" t="s">
        <v>54</v>
      </c>
      <c r="N1658" s="11">
        <f t="shared" si="25"/>
        <v>10</v>
      </c>
    </row>
    <row r="1659" spans="1:14" ht="16" x14ac:dyDescent="0.2">
      <c r="A1659" s="3">
        <v>43901.044783091624</v>
      </c>
      <c r="B1659" s="1" t="s">
        <v>2027</v>
      </c>
      <c r="C1659" t="s">
        <v>98</v>
      </c>
      <c r="D1659">
        <v>10</v>
      </c>
      <c r="E1659">
        <v>156</v>
      </c>
      <c r="F1659">
        <v>78</v>
      </c>
      <c r="G1659">
        <v>1560</v>
      </c>
      <c r="H1659" s="4">
        <v>780</v>
      </c>
      <c r="I1659" s="4">
        <v>780</v>
      </c>
      <c r="J1659" t="s">
        <v>73</v>
      </c>
      <c r="K1659" t="s">
        <v>58</v>
      </c>
      <c r="L1659" s="4">
        <v>8.2871811249429097</v>
      </c>
      <c r="M1659" s="1" t="s">
        <v>54</v>
      </c>
      <c r="N1659" s="11">
        <f t="shared" si="25"/>
        <v>10</v>
      </c>
    </row>
    <row r="1660" spans="1:14" ht="16" x14ac:dyDescent="0.2">
      <c r="A1660" s="3">
        <v>44852.991685538233</v>
      </c>
      <c r="B1660" s="1" t="s">
        <v>2028</v>
      </c>
      <c r="C1660" t="s">
        <v>154</v>
      </c>
      <c r="D1660">
        <v>10</v>
      </c>
      <c r="E1660">
        <v>308</v>
      </c>
      <c r="F1660">
        <v>77</v>
      </c>
      <c r="G1660">
        <v>3080</v>
      </c>
      <c r="H1660" s="4">
        <v>770</v>
      </c>
      <c r="I1660" s="4">
        <v>2310</v>
      </c>
      <c r="J1660" t="s">
        <v>1671</v>
      </c>
      <c r="K1660" t="s">
        <v>86</v>
      </c>
      <c r="L1660" s="4">
        <v>15.239568994601312</v>
      </c>
      <c r="M1660" s="1" t="s">
        <v>38</v>
      </c>
      <c r="N1660" s="11">
        <f t="shared" si="25"/>
        <v>5</v>
      </c>
    </row>
    <row r="1661" spans="1:14" ht="16" x14ac:dyDescent="0.2">
      <c r="A1661" s="3">
        <v>44521.899782344059</v>
      </c>
      <c r="B1661" s="1" t="s">
        <v>2029</v>
      </c>
      <c r="C1661" t="s">
        <v>523</v>
      </c>
      <c r="D1661">
        <v>12</v>
      </c>
      <c r="E1661">
        <v>92</v>
      </c>
      <c r="F1661">
        <v>46</v>
      </c>
      <c r="G1661">
        <v>1104</v>
      </c>
      <c r="H1661" s="4">
        <v>552</v>
      </c>
      <c r="I1661" s="4">
        <v>552</v>
      </c>
      <c r="J1661" t="s">
        <v>354</v>
      </c>
      <c r="K1661" t="s">
        <v>42</v>
      </c>
      <c r="L1661" s="4">
        <v>13.518413464873573</v>
      </c>
      <c r="M1661" s="1" t="s">
        <v>34</v>
      </c>
      <c r="N1661" s="11">
        <f t="shared" si="25"/>
        <v>1</v>
      </c>
    </row>
    <row r="1662" spans="1:14" ht="16" x14ac:dyDescent="0.2">
      <c r="A1662" s="3">
        <v>43490.018214978823</v>
      </c>
      <c r="B1662" s="1" t="s">
        <v>2030</v>
      </c>
      <c r="C1662" t="s">
        <v>56</v>
      </c>
      <c r="D1662">
        <v>9</v>
      </c>
      <c r="E1662">
        <v>38</v>
      </c>
      <c r="F1662">
        <v>19</v>
      </c>
      <c r="G1662">
        <v>342</v>
      </c>
      <c r="H1662" s="4">
        <v>171</v>
      </c>
      <c r="I1662" s="4">
        <v>171</v>
      </c>
      <c r="J1662" t="s">
        <v>933</v>
      </c>
      <c r="K1662" t="s">
        <v>58</v>
      </c>
      <c r="L1662" s="4">
        <v>11.130819205617987</v>
      </c>
      <c r="M1662" s="1" t="s">
        <v>38</v>
      </c>
      <c r="N1662" s="11">
        <f t="shared" si="25"/>
        <v>5</v>
      </c>
    </row>
    <row r="1663" spans="1:14" ht="16" x14ac:dyDescent="0.2">
      <c r="A1663" s="3">
        <v>44358.020147539122</v>
      </c>
      <c r="B1663" s="1" t="s">
        <v>2031</v>
      </c>
      <c r="C1663" t="s">
        <v>340</v>
      </c>
      <c r="D1663">
        <v>5</v>
      </c>
      <c r="E1663">
        <v>180</v>
      </c>
      <c r="F1663">
        <v>45</v>
      </c>
      <c r="G1663">
        <v>900</v>
      </c>
      <c r="H1663" s="4">
        <v>225</v>
      </c>
      <c r="I1663" s="4">
        <v>675</v>
      </c>
      <c r="J1663" t="s">
        <v>432</v>
      </c>
      <c r="K1663" t="s">
        <v>49</v>
      </c>
      <c r="L1663" s="4">
        <v>13.857835104514242</v>
      </c>
      <c r="M1663" s="1" t="s">
        <v>34</v>
      </c>
      <c r="N1663" s="11">
        <f t="shared" si="25"/>
        <v>1</v>
      </c>
    </row>
    <row r="1664" spans="1:14" ht="16" x14ac:dyDescent="0.2">
      <c r="A1664" s="3">
        <v>44827.356515407708</v>
      </c>
      <c r="B1664" s="1" t="s">
        <v>2032</v>
      </c>
      <c r="C1664" t="s">
        <v>328</v>
      </c>
      <c r="D1664">
        <v>7</v>
      </c>
      <c r="E1664">
        <v>124</v>
      </c>
      <c r="F1664">
        <v>62</v>
      </c>
      <c r="G1664">
        <v>868</v>
      </c>
      <c r="H1664" s="4">
        <v>434</v>
      </c>
      <c r="I1664" s="4">
        <v>434</v>
      </c>
      <c r="J1664" t="s">
        <v>279</v>
      </c>
      <c r="K1664" t="s">
        <v>64</v>
      </c>
      <c r="L1664" s="4">
        <v>11.504886852416154</v>
      </c>
      <c r="M1664" s="1" t="s">
        <v>54</v>
      </c>
      <c r="N1664" s="11">
        <f t="shared" si="25"/>
        <v>10</v>
      </c>
    </row>
    <row r="1665" spans="1:14" ht="16" x14ac:dyDescent="0.2">
      <c r="A1665" s="3">
        <v>43482.292321859422</v>
      </c>
      <c r="B1665" s="1" t="s">
        <v>2033</v>
      </c>
      <c r="C1665" t="s">
        <v>386</v>
      </c>
      <c r="D1665">
        <v>16</v>
      </c>
      <c r="E1665">
        <v>110</v>
      </c>
      <c r="F1665">
        <v>55</v>
      </c>
      <c r="G1665">
        <v>1760</v>
      </c>
      <c r="H1665" s="4">
        <v>880</v>
      </c>
      <c r="I1665" s="4">
        <v>880</v>
      </c>
      <c r="J1665" t="s">
        <v>199</v>
      </c>
      <c r="K1665" t="s">
        <v>86</v>
      </c>
      <c r="L1665" s="4">
        <v>13.890275354050972</v>
      </c>
      <c r="M1665" s="1" t="s">
        <v>38</v>
      </c>
      <c r="N1665" s="11">
        <f t="shared" si="25"/>
        <v>5</v>
      </c>
    </row>
    <row r="1666" spans="1:14" ht="16" x14ac:dyDescent="0.2">
      <c r="A1666" s="3">
        <v>43761.756135181808</v>
      </c>
      <c r="B1666" s="1" t="s">
        <v>2034</v>
      </c>
      <c r="C1666" t="s">
        <v>375</v>
      </c>
      <c r="D1666">
        <v>4</v>
      </c>
      <c r="E1666">
        <v>360</v>
      </c>
      <c r="F1666">
        <v>90</v>
      </c>
      <c r="G1666">
        <v>1440</v>
      </c>
      <c r="H1666" s="4">
        <v>360</v>
      </c>
      <c r="I1666" s="4">
        <v>1080</v>
      </c>
      <c r="J1666" t="s">
        <v>1721</v>
      </c>
      <c r="K1666" t="s">
        <v>58</v>
      </c>
      <c r="L1666" s="4">
        <v>13.537350739681813</v>
      </c>
      <c r="M1666" s="1" t="s">
        <v>54</v>
      </c>
      <c r="N1666" s="11">
        <f t="shared" si="25"/>
        <v>10</v>
      </c>
    </row>
    <row r="1667" spans="1:14" ht="16" x14ac:dyDescent="0.2">
      <c r="A1667" s="3">
        <v>43364.449382041137</v>
      </c>
      <c r="B1667" s="1" t="s">
        <v>2035</v>
      </c>
      <c r="C1667" t="s">
        <v>81</v>
      </c>
      <c r="D1667">
        <v>13</v>
      </c>
      <c r="E1667">
        <v>166</v>
      </c>
      <c r="F1667">
        <v>83</v>
      </c>
      <c r="G1667">
        <v>2158</v>
      </c>
      <c r="H1667" s="4">
        <v>1079</v>
      </c>
      <c r="I1667" s="4">
        <v>1079</v>
      </c>
      <c r="J1667" t="s">
        <v>376</v>
      </c>
      <c r="K1667" t="s">
        <v>86</v>
      </c>
      <c r="L1667" s="4">
        <v>11.655355879643379</v>
      </c>
      <c r="M1667" s="1" t="s">
        <v>34</v>
      </c>
      <c r="N1667" s="11">
        <f t="shared" ref="N1667:N1730" si="26">+IF(M1667="Dissatisfied",1,IF(M1667="Satisfied",10,5))</f>
        <v>1</v>
      </c>
    </row>
    <row r="1668" spans="1:14" ht="16" x14ac:dyDescent="0.2">
      <c r="A1668" s="3">
        <v>44462.0447155156</v>
      </c>
      <c r="B1668" s="1" t="s">
        <v>2036</v>
      </c>
      <c r="C1668" t="s">
        <v>248</v>
      </c>
      <c r="D1668">
        <v>10</v>
      </c>
      <c r="E1668">
        <v>132</v>
      </c>
      <c r="F1668">
        <v>44</v>
      </c>
      <c r="G1668">
        <v>1320</v>
      </c>
      <c r="H1668" s="4">
        <v>440</v>
      </c>
      <c r="I1668" s="4">
        <v>880</v>
      </c>
      <c r="J1668" t="s">
        <v>366</v>
      </c>
      <c r="K1668" t="s">
        <v>64</v>
      </c>
      <c r="L1668" s="4">
        <v>12.342715162719054</v>
      </c>
      <c r="M1668" s="1" t="s">
        <v>38</v>
      </c>
      <c r="N1668" s="11">
        <f t="shared" si="26"/>
        <v>5</v>
      </c>
    </row>
    <row r="1669" spans="1:14" ht="16" x14ac:dyDescent="0.2">
      <c r="A1669" s="3">
        <v>43814.406247271945</v>
      </c>
      <c r="B1669" s="1" t="s">
        <v>2037</v>
      </c>
      <c r="C1669" t="s">
        <v>425</v>
      </c>
      <c r="D1669">
        <v>2</v>
      </c>
      <c r="E1669">
        <v>352</v>
      </c>
      <c r="F1669">
        <v>88</v>
      </c>
      <c r="G1669">
        <v>704</v>
      </c>
      <c r="H1669" s="4">
        <v>176</v>
      </c>
      <c r="I1669" s="4">
        <v>528</v>
      </c>
      <c r="J1669" t="s">
        <v>323</v>
      </c>
      <c r="K1669" t="s">
        <v>53</v>
      </c>
      <c r="L1669" s="4">
        <v>11.221666113009938</v>
      </c>
      <c r="M1669" s="1" t="s">
        <v>34</v>
      </c>
      <c r="N1669" s="11">
        <f t="shared" si="26"/>
        <v>1</v>
      </c>
    </row>
    <row r="1670" spans="1:14" ht="16" x14ac:dyDescent="0.2">
      <c r="A1670" s="3">
        <v>43690.598867459652</v>
      </c>
      <c r="B1670" s="1" t="s">
        <v>2038</v>
      </c>
      <c r="C1670" t="s">
        <v>62</v>
      </c>
      <c r="D1670">
        <v>7</v>
      </c>
      <c r="E1670">
        <v>80</v>
      </c>
      <c r="F1670">
        <v>20</v>
      </c>
      <c r="G1670">
        <v>560</v>
      </c>
      <c r="H1670" s="4">
        <v>140</v>
      </c>
      <c r="I1670" s="4">
        <v>420</v>
      </c>
      <c r="J1670" t="s">
        <v>1671</v>
      </c>
      <c r="K1670" t="s">
        <v>86</v>
      </c>
      <c r="L1670" s="4">
        <v>15.239568994601312</v>
      </c>
      <c r="M1670" s="1" t="s">
        <v>38</v>
      </c>
      <c r="N1670" s="11">
        <f t="shared" si="26"/>
        <v>5</v>
      </c>
    </row>
    <row r="1671" spans="1:14" ht="16" x14ac:dyDescent="0.2">
      <c r="A1671" s="3">
        <v>43562.992232151133</v>
      </c>
      <c r="B1671" s="1" t="s">
        <v>2039</v>
      </c>
      <c r="C1671" t="s">
        <v>317</v>
      </c>
      <c r="D1671">
        <v>3</v>
      </c>
      <c r="E1671">
        <v>352</v>
      </c>
      <c r="F1671">
        <v>88</v>
      </c>
      <c r="G1671">
        <v>1056</v>
      </c>
      <c r="H1671" s="4">
        <v>264</v>
      </c>
      <c r="I1671" s="4">
        <v>792</v>
      </c>
      <c r="J1671" t="s">
        <v>408</v>
      </c>
      <c r="K1671" t="s">
        <v>42</v>
      </c>
      <c r="L1671" s="4">
        <v>9.1877733607656964</v>
      </c>
      <c r="M1671" s="1" t="s">
        <v>38</v>
      </c>
      <c r="N1671" s="11">
        <f t="shared" si="26"/>
        <v>5</v>
      </c>
    </row>
    <row r="1672" spans="1:14" ht="16" x14ac:dyDescent="0.2">
      <c r="A1672" s="3">
        <v>43347.164684662726</v>
      </c>
      <c r="B1672" s="1" t="s">
        <v>2040</v>
      </c>
      <c r="C1672" t="s">
        <v>386</v>
      </c>
      <c r="D1672">
        <v>18</v>
      </c>
      <c r="E1672">
        <v>110</v>
      </c>
      <c r="F1672">
        <v>55</v>
      </c>
      <c r="G1672">
        <v>1980</v>
      </c>
      <c r="H1672" s="4">
        <v>990</v>
      </c>
      <c r="I1672" s="4">
        <v>990</v>
      </c>
      <c r="J1672" t="s">
        <v>1129</v>
      </c>
      <c r="K1672" t="s">
        <v>33</v>
      </c>
      <c r="L1672" s="4">
        <v>10.585251392347548</v>
      </c>
      <c r="M1672" s="1" t="s">
        <v>38</v>
      </c>
      <c r="N1672" s="11">
        <f t="shared" si="26"/>
        <v>5</v>
      </c>
    </row>
    <row r="1673" spans="1:14" ht="16" x14ac:dyDescent="0.2">
      <c r="A1673" s="3">
        <v>43190.134092245164</v>
      </c>
      <c r="B1673" s="1" t="s">
        <v>2041</v>
      </c>
      <c r="C1673" t="s">
        <v>473</v>
      </c>
      <c r="D1673">
        <v>15</v>
      </c>
      <c r="E1673">
        <v>72</v>
      </c>
      <c r="F1673">
        <v>36</v>
      </c>
      <c r="G1673">
        <v>1080</v>
      </c>
      <c r="H1673" s="4">
        <v>540</v>
      </c>
      <c r="I1673" s="4">
        <v>540</v>
      </c>
      <c r="J1673" t="s">
        <v>234</v>
      </c>
      <c r="K1673" t="s">
        <v>64</v>
      </c>
      <c r="L1673" s="4">
        <v>12.200533931675887</v>
      </c>
      <c r="M1673" s="1" t="s">
        <v>54</v>
      </c>
      <c r="N1673" s="11">
        <f t="shared" si="26"/>
        <v>10</v>
      </c>
    </row>
    <row r="1674" spans="1:14" ht="16" x14ac:dyDescent="0.2">
      <c r="A1674" s="3">
        <v>43578.659830010285</v>
      </c>
      <c r="B1674" s="1" t="s">
        <v>2042</v>
      </c>
      <c r="C1674" t="s">
        <v>44</v>
      </c>
      <c r="D1674">
        <v>4</v>
      </c>
      <c r="E1674">
        <v>114</v>
      </c>
      <c r="F1674">
        <v>57</v>
      </c>
      <c r="G1674">
        <v>456</v>
      </c>
      <c r="H1674" s="4">
        <v>228</v>
      </c>
      <c r="I1674" s="4">
        <v>228</v>
      </c>
      <c r="J1674" t="s">
        <v>622</v>
      </c>
      <c r="K1674" t="s">
        <v>49</v>
      </c>
      <c r="L1674" s="4">
        <v>8.3272837771733244</v>
      </c>
      <c r="M1674" s="1" t="s">
        <v>38</v>
      </c>
      <c r="N1674" s="11">
        <f t="shared" si="26"/>
        <v>5</v>
      </c>
    </row>
    <row r="1675" spans="1:14" ht="16" x14ac:dyDescent="0.2">
      <c r="A1675" s="3">
        <v>43656.717292885318</v>
      </c>
      <c r="B1675" s="1" t="s">
        <v>2043</v>
      </c>
      <c r="C1675" t="s">
        <v>240</v>
      </c>
      <c r="D1675">
        <v>14</v>
      </c>
      <c r="E1675">
        <v>108</v>
      </c>
      <c r="F1675">
        <v>54</v>
      </c>
      <c r="G1675">
        <v>1512</v>
      </c>
      <c r="H1675" s="4">
        <v>756</v>
      </c>
      <c r="I1675" s="4">
        <v>756</v>
      </c>
      <c r="J1675" t="s">
        <v>343</v>
      </c>
      <c r="K1675" t="s">
        <v>42</v>
      </c>
      <c r="L1675" s="4">
        <v>9.8928038181361391</v>
      </c>
      <c r="M1675" s="1" t="s">
        <v>34</v>
      </c>
      <c r="N1675" s="11">
        <f t="shared" si="26"/>
        <v>1</v>
      </c>
    </row>
    <row r="1676" spans="1:14" ht="16" x14ac:dyDescent="0.2">
      <c r="A1676" s="3">
        <v>43759.551435856723</v>
      </c>
      <c r="B1676" s="1" t="s">
        <v>2044</v>
      </c>
      <c r="C1676" t="s">
        <v>110</v>
      </c>
      <c r="D1676">
        <v>2</v>
      </c>
      <c r="E1676">
        <v>144</v>
      </c>
      <c r="F1676">
        <v>36</v>
      </c>
      <c r="G1676">
        <v>288</v>
      </c>
      <c r="H1676" s="4">
        <v>72</v>
      </c>
      <c r="I1676" s="4">
        <v>216</v>
      </c>
      <c r="J1676" t="s">
        <v>567</v>
      </c>
      <c r="K1676" t="s">
        <v>49</v>
      </c>
      <c r="L1676" s="4">
        <v>12.147202500273634</v>
      </c>
      <c r="M1676" s="1" t="s">
        <v>38</v>
      </c>
      <c r="N1676" s="11">
        <f t="shared" si="26"/>
        <v>5</v>
      </c>
    </row>
    <row r="1677" spans="1:14" ht="16" x14ac:dyDescent="0.2">
      <c r="A1677" s="3">
        <v>43789.575985874646</v>
      </c>
      <c r="B1677" s="1" t="s">
        <v>1246</v>
      </c>
      <c r="C1677" t="s">
        <v>607</v>
      </c>
      <c r="D1677">
        <v>4</v>
      </c>
      <c r="E1677">
        <v>225</v>
      </c>
      <c r="F1677">
        <v>75</v>
      </c>
      <c r="G1677">
        <v>900</v>
      </c>
      <c r="H1677" s="4">
        <v>300</v>
      </c>
      <c r="I1677" s="4">
        <v>600</v>
      </c>
      <c r="J1677" t="s">
        <v>315</v>
      </c>
      <c r="K1677" t="s">
        <v>42</v>
      </c>
      <c r="L1677" s="4">
        <v>10.966283117837653</v>
      </c>
      <c r="M1677" s="1" t="s">
        <v>54</v>
      </c>
      <c r="N1677" s="11">
        <f t="shared" si="26"/>
        <v>10</v>
      </c>
    </row>
    <row r="1678" spans="1:14" ht="16" x14ac:dyDescent="0.2">
      <c r="A1678" s="3">
        <v>44252.63873385686</v>
      </c>
      <c r="B1678" s="1" t="s">
        <v>2045</v>
      </c>
      <c r="C1678" t="s">
        <v>171</v>
      </c>
      <c r="D1678">
        <v>5</v>
      </c>
      <c r="E1678">
        <v>225</v>
      </c>
      <c r="F1678">
        <v>75</v>
      </c>
      <c r="G1678">
        <v>1125</v>
      </c>
      <c r="H1678" s="4">
        <v>375</v>
      </c>
      <c r="I1678" s="4">
        <v>750</v>
      </c>
      <c r="J1678" t="s">
        <v>892</v>
      </c>
      <c r="K1678" t="s">
        <v>33</v>
      </c>
      <c r="L1678" s="4">
        <v>13.062292798511226</v>
      </c>
      <c r="M1678" s="1" t="s">
        <v>38</v>
      </c>
      <c r="N1678" s="11">
        <f t="shared" si="26"/>
        <v>5</v>
      </c>
    </row>
    <row r="1679" spans="1:14" ht="16" x14ac:dyDescent="0.2">
      <c r="A1679" s="3">
        <v>43681.410155763813</v>
      </c>
      <c r="B1679" s="1" t="s">
        <v>2046</v>
      </c>
      <c r="C1679" t="s">
        <v>148</v>
      </c>
      <c r="D1679">
        <v>12</v>
      </c>
      <c r="E1679">
        <v>144</v>
      </c>
      <c r="F1679">
        <v>36</v>
      </c>
      <c r="G1679">
        <v>1728</v>
      </c>
      <c r="H1679" s="4">
        <v>432</v>
      </c>
      <c r="I1679" s="4">
        <v>1296</v>
      </c>
      <c r="J1679" t="s">
        <v>292</v>
      </c>
      <c r="K1679" t="s">
        <v>49</v>
      </c>
      <c r="L1679" s="4">
        <v>11.710935611749917</v>
      </c>
      <c r="M1679" s="1" t="s">
        <v>34</v>
      </c>
      <c r="N1679" s="11">
        <f t="shared" si="26"/>
        <v>1</v>
      </c>
    </row>
    <row r="1680" spans="1:14" ht="16" x14ac:dyDescent="0.2">
      <c r="A1680" s="3">
        <v>44385.698752837307</v>
      </c>
      <c r="B1680" s="1" t="s">
        <v>2047</v>
      </c>
      <c r="C1680" t="s">
        <v>356</v>
      </c>
      <c r="D1680">
        <v>2</v>
      </c>
      <c r="E1680">
        <v>356</v>
      </c>
      <c r="F1680">
        <v>89</v>
      </c>
      <c r="G1680">
        <v>712</v>
      </c>
      <c r="H1680" s="4">
        <v>178</v>
      </c>
      <c r="I1680" s="4">
        <v>534</v>
      </c>
      <c r="J1680" t="s">
        <v>980</v>
      </c>
      <c r="K1680" t="s">
        <v>33</v>
      </c>
      <c r="L1680" s="4">
        <v>8.1743378387804331</v>
      </c>
      <c r="M1680" s="1" t="s">
        <v>38</v>
      </c>
      <c r="N1680" s="11">
        <f t="shared" si="26"/>
        <v>5</v>
      </c>
    </row>
    <row r="1681" spans="1:14" ht="16" x14ac:dyDescent="0.2">
      <c r="A1681" s="3">
        <v>43957.112671248397</v>
      </c>
      <c r="B1681" s="1" t="s">
        <v>2048</v>
      </c>
      <c r="C1681" t="s">
        <v>188</v>
      </c>
      <c r="D1681">
        <v>5</v>
      </c>
      <c r="E1681">
        <v>368</v>
      </c>
      <c r="F1681">
        <v>92</v>
      </c>
      <c r="G1681">
        <v>1840</v>
      </c>
      <c r="H1681" s="4">
        <v>460</v>
      </c>
      <c r="I1681" s="4">
        <v>1380</v>
      </c>
      <c r="J1681" t="s">
        <v>146</v>
      </c>
      <c r="K1681" t="s">
        <v>64</v>
      </c>
      <c r="L1681" s="4">
        <v>12.487915239531313</v>
      </c>
      <c r="M1681" s="1" t="s">
        <v>38</v>
      </c>
      <c r="N1681" s="11">
        <f t="shared" si="26"/>
        <v>5</v>
      </c>
    </row>
    <row r="1682" spans="1:14" ht="16" x14ac:dyDescent="0.2">
      <c r="A1682" s="3">
        <v>43673.751538139026</v>
      </c>
      <c r="B1682" s="1" t="s">
        <v>2049</v>
      </c>
      <c r="C1682" t="s">
        <v>370</v>
      </c>
      <c r="D1682">
        <v>5</v>
      </c>
      <c r="E1682">
        <v>144</v>
      </c>
      <c r="F1682">
        <v>36</v>
      </c>
      <c r="G1682">
        <v>720</v>
      </c>
      <c r="H1682" s="4">
        <v>180</v>
      </c>
      <c r="I1682" s="4">
        <v>540</v>
      </c>
      <c r="J1682" t="s">
        <v>329</v>
      </c>
      <c r="K1682" t="s">
        <v>33</v>
      </c>
      <c r="L1682" s="4">
        <v>12.545140403858928</v>
      </c>
      <c r="M1682" s="1" t="s">
        <v>38</v>
      </c>
      <c r="N1682" s="11">
        <f t="shared" si="26"/>
        <v>5</v>
      </c>
    </row>
    <row r="1683" spans="1:14" ht="16" x14ac:dyDescent="0.2">
      <c r="A1683" s="3">
        <v>44360.460072268012</v>
      </c>
      <c r="B1683" s="1" t="s">
        <v>2050</v>
      </c>
      <c r="C1683" t="s">
        <v>204</v>
      </c>
      <c r="D1683">
        <v>5</v>
      </c>
      <c r="E1683">
        <v>57</v>
      </c>
      <c r="F1683">
        <v>19</v>
      </c>
      <c r="G1683">
        <v>285</v>
      </c>
      <c r="H1683" s="4">
        <v>95</v>
      </c>
      <c r="I1683" s="4">
        <v>190</v>
      </c>
      <c r="J1683" t="s">
        <v>856</v>
      </c>
      <c r="K1683" t="s">
        <v>42</v>
      </c>
      <c r="L1683" s="4">
        <v>11.226611755437654</v>
      </c>
      <c r="M1683" s="1" t="s">
        <v>34</v>
      </c>
      <c r="N1683" s="11">
        <f t="shared" si="26"/>
        <v>1</v>
      </c>
    </row>
    <row r="1684" spans="1:14" ht="16" x14ac:dyDescent="0.2">
      <c r="A1684" s="3">
        <v>43161.305048658251</v>
      </c>
      <c r="B1684" s="1" t="s">
        <v>2051</v>
      </c>
      <c r="C1684" t="s">
        <v>255</v>
      </c>
      <c r="D1684">
        <v>9</v>
      </c>
      <c r="E1684">
        <v>140</v>
      </c>
      <c r="F1684">
        <v>70</v>
      </c>
      <c r="G1684">
        <v>1260</v>
      </c>
      <c r="H1684" s="4">
        <v>630</v>
      </c>
      <c r="I1684" s="4">
        <v>630</v>
      </c>
      <c r="J1684" t="s">
        <v>382</v>
      </c>
      <c r="K1684" t="s">
        <v>49</v>
      </c>
      <c r="L1684" s="4">
        <v>12.299779975023837</v>
      </c>
      <c r="M1684" s="1" t="s">
        <v>34</v>
      </c>
      <c r="N1684" s="11">
        <f t="shared" si="26"/>
        <v>1</v>
      </c>
    </row>
    <row r="1685" spans="1:14" ht="16" x14ac:dyDescent="0.2">
      <c r="A1685" s="3">
        <v>43864.720155887837</v>
      </c>
      <c r="B1685" s="1" t="s">
        <v>797</v>
      </c>
      <c r="C1685" t="s">
        <v>386</v>
      </c>
      <c r="D1685">
        <v>17</v>
      </c>
      <c r="E1685">
        <v>110</v>
      </c>
      <c r="F1685">
        <v>55</v>
      </c>
      <c r="G1685">
        <v>1870</v>
      </c>
      <c r="H1685" s="4">
        <v>935</v>
      </c>
      <c r="I1685" s="4">
        <v>935</v>
      </c>
      <c r="J1685" t="s">
        <v>1223</v>
      </c>
      <c r="K1685" t="s">
        <v>53</v>
      </c>
      <c r="L1685" s="4">
        <v>10.428287009858728</v>
      </c>
      <c r="M1685" s="1" t="s">
        <v>38</v>
      </c>
      <c r="N1685" s="11">
        <f t="shared" si="26"/>
        <v>5</v>
      </c>
    </row>
    <row r="1686" spans="1:14" ht="16" x14ac:dyDescent="0.2">
      <c r="A1686" s="3">
        <v>43517.24566310527</v>
      </c>
      <c r="B1686" s="1" t="s">
        <v>2052</v>
      </c>
      <c r="C1686" t="s">
        <v>544</v>
      </c>
      <c r="D1686">
        <v>5</v>
      </c>
      <c r="E1686">
        <v>267</v>
      </c>
      <c r="F1686">
        <v>89</v>
      </c>
      <c r="G1686">
        <v>1335</v>
      </c>
      <c r="H1686" s="4">
        <v>445</v>
      </c>
      <c r="I1686" s="4">
        <v>890</v>
      </c>
      <c r="J1686" t="s">
        <v>262</v>
      </c>
      <c r="K1686" t="s">
        <v>86</v>
      </c>
      <c r="L1686" s="4">
        <v>12.796588406005421</v>
      </c>
      <c r="M1686" s="1" t="s">
        <v>54</v>
      </c>
      <c r="N1686" s="11">
        <f t="shared" si="26"/>
        <v>10</v>
      </c>
    </row>
    <row r="1687" spans="1:14" ht="16" x14ac:dyDescent="0.2">
      <c r="A1687" s="3">
        <v>44088.931606606828</v>
      </c>
      <c r="B1687" s="1" t="s">
        <v>934</v>
      </c>
      <c r="C1687" t="s">
        <v>178</v>
      </c>
      <c r="D1687">
        <v>14</v>
      </c>
      <c r="E1687">
        <v>189</v>
      </c>
      <c r="F1687">
        <v>63</v>
      </c>
      <c r="G1687">
        <v>2646</v>
      </c>
      <c r="H1687" s="4">
        <v>882</v>
      </c>
      <c r="I1687" s="4">
        <v>1764</v>
      </c>
      <c r="J1687" t="s">
        <v>181</v>
      </c>
      <c r="K1687" t="s">
        <v>53</v>
      </c>
      <c r="L1687" s="4">
        <v>11.727497850343074</v>
      </c>
      <c r="M1687" s="1" t="s">
        <v>38</v>
      </c>
      <c r="N1687" s="11">
        <f t="shared" si="26"/>
        <v>5</v>
      </c>
    </row>
    <row r="1688" spans="1:14" ht="16" x14ac:dyDescent="0.2">
      <c r="A1688" s="3">
        <v>43519.82229240641</v>
      </c>
      <c r="B1688" s="1" t="s">
        <v>2053</v>
      </c>
      <c r="C1688" t="s">
        <v>175</v>
      </c>
      <c r="D1688">
        <v>15</v>
      </c>
      <c r="E1688">
        <v>38</v>
      </c>
      <c r="F1688">
        <v>19</v>
      </c>
      <c r="G1688">
        <v>570</v>
      </c>
      <c r="H1688" s="4">
        <v>285</v>
      </c>
      <c r="I1688" s="4">
        <v>285</v>
      </c>
      <c r="J1688" t="s">
        <v>678</v>
      </c>
      <c r="K1688" t="s">
        <v>86</v>
      </c>
      <c r="L1688" s="4">
        <v>12.460490918487697</v>
      </c>
      <c r="M1688" s="1" t="s">
        <v>54</v>
      </c>
      <c r="N1688" s="11">
        <f t="shared" si="26"/>
        <v>10</v>
      </c>
    </row>
    <row r="1689" spans="1:14" ht="16" x14ac:dyDescent="0.2">
      <c r="A1689" s="3">
        <v>43977.547747108678</v>
      </c>
      <c r="B1689" s="1" t="s">
        <v>2054</v>
      </c>
      <c r="C1689" t="s">
        <v>113</v>
      </c>
      <c r="D1689">
        <v>4</v>
      </c>
      <c r="E1689">
        <v>66</v>
      </c>
      <c r="F1689">
        <v>33</v>
      </c>
      <c r="G1689">
        <v>264</v>
      </c>
      <c r="H1689" s="4">
        <v>132</v>
      </c>
      <c r="I1689" s="4">
        <v>132</v>
      </c>
      <c r="J1689" t="s">
        <v>811</v>
      </c>
      <c r="K1689" t="s">
        <v>58</v>
      </c>
      <c r="L1689" s="4">
        <v>14.308257477047373</v>
      </c>
      <c r="M1689" s="1" t="s">
        <v>54</v>
      </c>
      <c r="N1689" s="11">
        <f t="shared" si="26"/>
        <v>10</v>
      </c>
    </row>
    <row r="1690" spans="1:14" ht="16" x14ac:dyDescent="0.2">
      <c r="A1690" s="3">
        <v>44292.034821251247</v>
      </c>
      <c r="B1690" s="1" t="s">
        <v>2055</v>
      </c>
      <c r="C1690" t="s">
        <v>105</v>
      </c>
      <c r="D1690">
        <v>11</v>
      </c>
      <c r="E1690">
        <v>201</v>
      </c>
      <c r="F1690">
        <v>67</v>
      </c>
      <c r="G1690">
        <v>2211</v>
      </c>
      <c r="H1690" s="4">
        <v>737</v>
      </c>
      <c r="I1690" s="4">
        <v>1474</v>
      </c>
      <c r="J1690" t="s">
        <v>143</v>
      </c>
      <c r="K1690" t="s">
        <v>64</v>
      </c>
      <c r="L1690" s="4">
        <v>11.406233913305266</v>
      </c>
      <c r="M1690" s="1" t="s">
        <v>38</v>
      </c>
      <c r="N1690" s="11">
        <f t="shared" si="26"/>
        <v>5</v>
      </c>
    </row>
    <row r="1691" spans="1:14" ht="16" x14ac:dyDescent="0.2">
      <c r="A1691" s="3">
        <v>43797.764492220835</v>
      </c>
      <c r="B1691" s="1" t="s">
        <v>2056</v>
      </c>
      <c r="C1691" t="s">
        <v>356</v>
      </c>
      <c r="D1691">
        <v>7</v>
      </c>
      <c r="E1691">
        <v>356</v>
      </c>
      <c r="F1691">
        <v>89</v>
      </c>
      <c r="G1691">
        <v>2492</v>
      </c>
      <c r="H1691" s="4">
        <v>623</v>
      </c>
      <c r="I1691" s="4">
        <v>1869</v>
      </c>
      <c r="J1691" t="s">
        <v>73</v>
      </c>
      <c r="K1691" t="s">
        <v>58</v>
      </c>
      <c r="L1691" s="4">
        <v>8.2871811249429097</v>
      </c>
      <c r="M1691" s="1" t="s">
        <v>38</v>
      </c>
      <c r="N1691" s="11">
        <f t="shared" si="26"/>
        <v>5</v>
      </c>
    </row>
    <row r="1692" spans="1:14" ht="16" x14ac:dyDescent="0.2">
      <c r="A1692" s="3">
        <v>44092.530019235637</v>
      </c>
      <c r="B1692" s="1" t="s">
        <v>2057</v>
      </c>
      <c r="C1692" t="s">
        <v>328</v>
      </c>
      <c r="D1692">
        <v>20</v>
      </c>
      <c r="E1692">
        <v>124</v>
      </c>
      <c r="F1692">
        <v>62</v>
      </c>
      <c r="G1692">
        <v>2480</v>
      </c>
      <c r="H1692" s="4">
        <v>1240</v>
      </c>
      <c r="I1692" s="4">
        <v>1240</v>
      </c>
      <c r="J1692" t="s">
        <v>469</v>
      </c>
      <c r="K1692" t="s">
        <v>64</v>
      </c>
      <c r="L1692" s="4">
        <v>7.9963422143733238</v>
      </c>
      <c r="M1692" s="1" t="s">
        <v>54</v>
      </c>
      <c r="N1692" s="11">
        <f t="shared" si="26"/>
        <v>10</v>
      </c>
    </row>
    <row r="1693" spans="1:14" ht="16" x14ac:dyDescent="0.2">
      <c r="A1693" s="3">
        <v>44313.056943043543</v>
      </c>
      <c r="B1693" s="1" t="s">
        <v>1127</v>
      </c>
      <c r="C1693" t="s">
        <v>204</v>
      </c>
      <c r="D1693">
        <v>15</v>
      </c>
      <c r="E1693">
        <v>57</v>
      </c>
      <c r="F1693">
        <v>19</v>
      </c>
      <c r="G1693">
        <v>855</v>
      </c>
      <c r="H1693" s="4">
        <v>285</v>
      </c>
      <c r="I1693" s="4">
        <v>570</v>
      </c>
      <c r="J1693" t="s">
        <v>498</v>
      </c>
      <c r="K1693" t="s">
        <v>58</v>
      </c>
      <c r="L1693" s="4">
        <v>8.0758315802191021</v>
      </c>
      <c r="M1693" s="1" t="s">
        <v>38</v>
      </c>
      <c r="N1693" s="11">
        <f t="shared" si="26"/>
        <v>5</v>
      </c>
    </row>
    <row r="1694" spans="1:14" ht="16" x14ac:dyDescent="0.2">
      <c r="A1694" s="3">
        <v>44414.725937465526</v>
      </c>
      <c r="B1694" s="1" t="s">
        <v>2058</v>
      </c>
      <c r="C1694" t="s">
        <v>788</v>
      </c>
      <c r="D1694">
        <v>12</v>
      </c>
      <c r="E1694">
        <v>100</v>
      </c>
      <c r="F1694">
        <v>25</v>
      </c>
      <c r="G1694">
        <v>1200</v>
      </c>
      <c r="H1694" s="4">
        <v>300</v>
      </c>
      <c r="I1694" s="4">
        <v>900</v>
      </c>
      <c r="J1694" t="s">
        <v>1434</v>
      </c>
      <c r="K1694" t="s">
        <v>86</v>
      </c>
      <c r="L1694" s="4">
        <v>10.826646539963521</v>
      </c>
      <c r="M1694" s="1" t="s">
        <v>54</v>
      </c>
      <c r="N1694" s="11">
        <f t="shared" si="26"/>
        <v>10</v>
      </c>
    </row>
    <row r="1695" spans="1:14" ht="16" x14ac:dyDescent="0.2">
      <c r="A1695" s="3">
        <v>43749.299577769998</v>
      </c>
      <c r="B1695" s="1" t="s">
        <v>2059</v>
      </c>
      <c r="C1695" t="s">
        <v>56</v>
      </c>
      <c r="D1695">
        <v>20</v>
      </c>
      <c r="E1695">
        <v>38</v>
      </c>
      <c r="F1695">
        <v>19</v>
      </c>
      <c r="G1695">
        <v>760</v>
      </c>
      <c r="H1695" s="4">
        <v>380</v>
      </c>
      <c r="I1695" s="4">
        <v>380</v>
      </c>
      <c r="J1695" t="s">
        <v>1223</v>
      </c>
      <c r="K1695" t="s">
        <v>53</v>
      </c>
      <c r="L1695" s="4">
        <v>10.428287009858728</v>
      </c>
      <c r="M1695" s="1" t="s">
        <v>38</v>
      </c>
      <c r="N1695" s="11">
        <f t="shared" si="26"/>
        <v>5</v>
      </c>
    </row>
    <row r="1696" spans="1:14" ht="16" x14ac:dyDescent="0.2">
      <c r="A1696" s="3">
        <v>44721.522887346357</v>
      </c>
      <c r="B1696" s="1" t="s">
        <v>2060</v>
      </c>
      <c r="C1696" t="s">
        <v>779</v>
      </c>
      <c r="D1696">
        <v>12</v>
      </c>
      <c r="E1696">
        <v>120</v>
      </c>
      <c r="F1696">
        <v>30</v>
      </c>
      <c r="G1696">
        <v>1440</v>
      </c>
      <c r="H1696" s="4">
        <v>360</v>
      </c>
      <c r="I1696" s="4">
        <v>1080</v>
      </c>
      <c r="J1696" t="s">
        <v>79</v>
      </c>
      <c r="K1696" t="s">
        <v>64</v>
      </c>
      <c r="L1696" s="4">
        <v>12.163730387337393</v>
      </c>
      <c r="M1696" s="1" t="s">
        <v>38</v>
      </c>
      <c r="N1696" s="11">
        <f t="shared" si="26"/>
        <v>5</v>
      </c>
    </row>
    <row r="1697" spans="1:14" ht="16" x14ac:dyDescent="0.2">
      <c r="A1697" s="3">
        <v>43205.364931375043</v>
      </c>
      <c r="B1697" s="1" t="s">
        <v>2061</v>
      </c>
      <c r="C1697" t="s">
        <v>91</v>
      </c>
      <c r="D1697">
        <v>3</v>
      </c>
      <c r="E1697">
        <v>300</v>
      </c>
      <c r="F1697">
        <v>75</v>
      </c>
      <c r="G1697">
        <v>900</v>
      </c>
      <c r="H1697" s="4">
        <v>225</v>
      </c>
      <c r="I1697" s="4">
        <v>675</v>
      </c>
      <c r="J1697" t="s">
        <v>418</v>
      </c>
      <c r="K1697" t="s">
        <v>42</v>
      </c>
      <c r="L1697" s="4">
        <v>11.644564584314265</v>
      </c>
      <c r="M1697" s="1" t="s">
        <v>34</v>
      </c>
      <c r="N1697" s="11">
        <f t="shared" si="26"/>
        <v>1</v>
      </c>
    </row>
    <row r="1698" spans="1:14" ht="16" x14ac:dyDescent="0.2">
      <c r="A1698" s="3">
        <v>44484.998987369952</v>
      </c>
      <c r="B1698" s="1" t="s">
        <v>2062</v>
      </c>
      <c r="C1698" t="s">
        <v>283</v>
      </c>
      <c r="D1698">
        <v>12</v>
      </c>
      <c r="E1698">
        <v>144</v>
      </c>
      <c r="F1698">
        <v>36</v>
      </c>
      <c r="G1698">
        <v>1728</v>
      </c>
      <c r="H1698" s="4">
        <v>432</v>
      </c>
      <c r="I1698" s="4">
        <v>1296</v>
      </c>
      <c r="J1698" t="s">
        <v>236</v>
      </c>
      <c r="K1698" t="s">
        <v>53</v>
      </c>
      <c r="L1698" s="4">
        <v>9.3014286057233697</v>
      </c>
      <c r="M1698" s="1" t="s">
        <v>54</v>
      </c>
      <c r="N1698" s="11">
        <f t="shared" si="26"/>
        <v>10</v>
      </c>
    </row>
    <row r="1699" spans="1:14" ht="16" x14ac:dyDescent="0.2">
      <c r="A1699" s="3">
        <v>43898.86447824358</v>
      </c>
      <c r="B1699" s="1" t="s">
        <v>2063</v>
      </c>
      <c r="C1699" t="s">
        <v>399</v>
      </c>
      <c r="D1699">
        <v>18</v>
      </c>
      <c r="E1699">
        <v>160</v>
      </c>
      <c r="F1699">
        <v>80</v>
      </c>
      <c r="G1699">
        <v>2880</v>
      </c>
      <c r="H1699" s="4">
        <v>1440</v>
      </c>
      <c r="I1699" s="4">
        <v>1440</v>
      </c>
      <c r="J1699" t="s">
        <v>1068</v>
      </c>
      <c r="K1699" t="s">
        <v>42</v>
      </c>
      <c r="L1699" s="4">
        <v>8.1352386075080023</v>
      </c>
      <c r="M1699" s="1" t="s">
        <v>54</v>
      </c>
      <c r="N1699" s="11">
        <f t="shared" si="26"/>
        <v>10</v>
      </c>
    </row>
    <row r="1700" spans="1:14" ht="16" x14ac:dyDescent="0.2">
      <c r="A1700" s="3">
        <v>44246.762720764578</v>
      </c>
      <c r="B1700" s="1" t="s">
        <v>2064</v>
      </c>
      <c r="C1700" t="s">
        <v>139</v>
      </c>
      <c r="D1700">
        <v>16</v>
      </c>
      <c r="E1700">
        <v>320</v>
      </c>
      <c r="F1700">
        <v>80</v>
      </c>
      <c r="G1700">
        <v>5120</v>
      </c>
      <c r="H1700" s="4">
        <v>1280</v>
      </c>
      <c r="I1700" s="4">
        <v>3840</v>
      </c>
      <c r="J1700" t="s">
        <v>219</v>
      </c>
      <c r="K1700" t="s">
        <v>49</v>
      </c>
      <c r="L1700" s="4">
        <v>13.697485557052493</v>
      </c>
      <c r="M1700" s="1" t="s">
        <v>38</v>
      </c>
      <c r="N1700" s="11">
        <f t="shared" si="26"/>
        <v>5</v>
      </c>
    </row>
    <row r="1701" spans="1:14" ht="16" x14ac:dyDescent="0.2">
      <c r="A1701" s="3">
        <v>44264.481399943732</v>
      </c>
      <c r="B1701" s="1" t="s">
        <v>2065</v>
      </c>
      <c r="C1701" t="s">
        <v>44</v>
      </c>
      <c r="D1701">
        <v>18</v>
      </c>
      <c r="E1701">
        <v>114</v>
      </c>
      <c r="F1701">
        <v>57</v>
      </c>
      <c r="G1701">
        <v>2052</v>
      </c>
      <c r="H1701" s="4">
        <v>1026</v>
      </c>
      <c r="I1701" s="4">
        <v>1026</v>
      </c>
      <c r="J1701" t="s">
        <v>305</v>
      </c>
      <c r="K1701" t="s">
        <v>86</v>
      </c>
      <c r="L1701" s="4">
        <v>10.317615395419679</v>
      </c>
      <c r="M1701" s="1" t="s">
        <v>34</v>
      </c>
      <c r="N1701" s="11">
        <f t="shared" si="26"/>
        <v>1</v>
      </c>
    </row>
    <row r="1702" spans="1:14" ht="16" x14ac:dyDescent="0.2">
      <c r="A1702" s="3">
        <v>43673.861018221847</v>
      </c>
      <c r="B1702" s="1" t="s">
        <v>2066</v>
      </c>
      <c r="C1702" t="s">
        <v>410</v>
      </c>
      <c r="D1702">
        <v>1</v>
      </c>
      <c r="E1702">
        <v>84</v>
      </c>
      <c r="F1702">
        <v>21</v>
      </c>
      <c r="G1702">
        <v>84</v>
      </c>
      <c r="H1702" s="4">
        <v>21</v>
      </c>
      <c r="I1702" s="4">
        <v>63</v>
      </c>
      <c r="J1702" t="s">
        <v>73</v>
      </c>
      <c r="K1702" t="s">
        <v>58</v>
      </c>
      <c r="L1702" s="4">
        <v>8.2871811249429097</v>
      </c>
      <c r="M1702" s="1" t="s">
        <v>34</v>
      </c>
      <c r="N1702" s="11">
        <f t="shared" si="26"/>
        <v>1</v>
      </c>
    </row>
    <row r="1703" spans="1:14" ht="16" x14ac:dyDescent="0.2">
      <c r="A1703" s="3">
        <v>44242.636062553182</v>
      </c>
      <c r="B1703" s="1" t="s">
        <v>2067</v>
      </c>
      <c r="C1703" t="s">
        <v>154</v>
      </c>
      <c r="D1703">
        <v>17</v>
      </c>
      <c r="E1703">
        <v>308</v>
      </c>
      <c r="F1703">
        <v>77</v>
      </c>
      <c r="G1703">
        <v>5236</v>
      </c>
      <c r="H1703" s="4">
        <v>1309</v>
      </c>
      <c r="I1703" s="4">
        <v>3927</v>
      </c>
      <c r="J1703" t="s">
        <v>622</v>
      </c>
      <c r="K1703" t="s">
        <v>49</v>
      </c>
      <c r="L1703" s="4">
        <v>8.3272837771733244</v>
      </c>
      <c r="M1703" s="1" t="s">
        <v>34</v>
      </c>
      <c r="N1703" s="11">
        <f t="shared" si="26"/>
        <v>1</v>
      </c>
    </row>
    <row r="1704" spans="1:14" ht="16" x14ac:dyDescent="0.2">
      <c r="A1704" s="3">
        <v>43380.361919222327</v>
      </c>
      <c r="B1704" s="1" t="s">
        <v>2068</v>
      </c>
      <c r="C1704" t="s">
        <v>105</v>
      </c>
      <c r="D1704">
        <v>1</v>
      </c>
      <c r="E1704">
        <v>201</v>
      </c>
      <c r="F1704">
        <v>67</v>
      </c>
      <c r="G1704">
        <v>201</v>
      </c>
      <c r="H1704" s="4">
        <v>67</v>
      </c>
      <c r="I1704" s="4">
        <v>134</v>
      </c>
      <c r="J1704" t="s">
        <v>767</v>
      </c>
      <c r="K1704" t="s">
        <v>42</v>
      </c>
      <c r="L1704" s="4">
        <v>11.289144410898391</v>
      </c>
      <c r="M1704" s="1" t="s">
        <v>38</v>
      </c>
      <c r="N1704" s="11">
        <f t="shared" si="26"/>
        <v>5</v>
      </c>
    </row>
    <row r="1705" spans="1:14" ht="16" x14ac:dyDescent="0.2">
      <c r="A1705" s="3">
        <v>44260.846387449819</v>
      </c>
      <c r="B1705" s="1" t="s">
        <v>2069</v>
      </c>
      <c r="C1705" t="s">
        <v>151</v>
      </c>
      <c r="D1705">
        <v>20</v>
      </c>
      <c r="E1705">
        <v>153</v>
      </c>
      <c r="F1705">
        <v>51</v>
      </c>
      <c r="G1705">
        <v>3060</v>
      </c>
      <c r="H1705" s="4">
        <v>1020</v>
      </c>
      <c r="I1705" s="4">
        <v>2040</v>
      </c>
      <c r="J1705" t="s">
        <v>856</v>
      </c>
      <c r="K1705" t="s">
        <v>42</v>
      </c>
      <c r="L1705" s="4">
        <v>11.226611755437654</v>
      </c>
      <c r="M1705" s="1" t="s">
        <v>38</v>
      </c>
      <c r="N1705" s="11">
        <f t="shared" si="26"/>
        <v>5</v>
      </c>
    </row>
    <row r="1706" spans="1:14" ht="16" x14ac:dyDescent="0.2">
      <c r="A1706" s="3">
        <v>44042.786062734944</v>
      </c>
      <c r="B1706" s="1" t="s">
        <v>2070</v>
      </c>
      <c r="C1706" t="s">
        <v>288</v>
      </c>
      <c r="D1706">
        <v>6</v>
      </c>
      <c r="E1706">
        <v>48</v>
      </c>
      <c r="F1706">
        <v>24</v>
      </c>
      <c r="G1706">
        <v>288</v>
      </c>
      <c r="H1706" s="4">
        <v>144</v>
      </c>
      <c r="I1706" s="4">
        <v>144</v>
      </c>
      <c r="J1706" t="s">
        <v>149</v>
      </c>
      <c r="K1706" t="s">
        <v>58</v>
      </c>
      <c r="L1706" s="4">
        <v>8.1085102757869372</v>
      </c>
      <c r="M1706" s="1" t="s">
        <v>34</v>
      </c>
      <c r="N1706" s="11">
        <f t="shared" si="26"/>
        <v>1</v>
      </c>
    </row>
    <row r="1707" spans="1:14" ht="16" x14ac:dyDescent="0.2">
      <c r="A1707" s="3">
        <v>44364.338015064102</v>
      </c>
      <c r="B1707" s="1" t="s">
        <v>2071</v>
      </c>
      <c r="C1707" t="s">
        <v>410</v>
      </c>
      <c r="D1707">
        <v>7</v>
      </c>
      <c r="E1707">
        <v>84</v>
      </c>
      <c r="F1707">
        <v>21</v>
      </c>
      <c r="G1707">
        <v>588</v>
      </c>
      <c r="H1707" s="4">
        <v>147</v>
      </c>
      <c r="I1707" s="4">
        <v>441</v>
      </c>
      <c r="J1707" t="s">
        <v>230</v>
      </c>
      <c r="K1707" t="s">
        <v>42</v>
      </c>
      <c r="L1707" s="4">
        <v>12.172922939334034</v>
      </c>
      <c r="M1707" s="1" t="s">
        <v>38</v>
      </c>
      <c r="N1707" s="11">
        <f t="shared" si="26"/>
        <v>5</v>
      </c>
    </row>
    <row r="1708" spans="1:14" ht="16" x14ac:dyDescent="0.2">
      <c r="A1708" s="3">
        <v>44195.021731417961</v>
      </c>
      <c r="B1708" s="1" t="s">
        <v>2072</v>
      </c>
      <c r="C1708" t="s">
        <v>78</v>
      </c>
      <c r="D1708">
        <v>3</v>
      </c>
      <c r="E1708">
        <v>94</v>
      </c>
      <c r="F1708">
        <v>47</v>
      </c>
      <c r="G1708">
        <v>282</v>
      </c>
      <c r="H1708" s="4">
        <v>141</v>
      </c>
      <c r="I1708" s="4">
        <v>141</v>
      </c>
      <c r="J1708" t="s">
        <v>371</v>
      </c>
      <c r="K1708" t="s">
        <v>58</v>
      </c>
      <c r="L1708" s="4">
        <v>12.004541523616258</v>
      </c>
      <c r="M1708" s="1" t="s">
        <v>54</v>
      </c>
      <c r="N1708" s="11">
        <f t="shared" si="26"/>
        <v>10</v>
      </c>
    </row>
    <row r="1709" spans="1:14" ht="16" x14ac:dyDescent="0.2">
      <c r="A1709" s="3">
        <v>43044.408970515564</v>
      </c>
      <c r="B1709" s="1" t="s">
        <v>2073</v>
      </c>
      <c r="C1709" t="s">
        <v>375</v>
      </c>
      <c r="D1709">
        <v>15</v>
      </c>
      <c r="E1709">
        <v>360</v>
      </c>
      <c r="F1709">
        <v>90</v>
      </c>
      <c r="G1709">
        <v>5400</v>
      </c>
      <c r="H1709" s="4">
        <v>1350</v>
      </c>
      <c r="I1709" s="4">
        <v>4050</v>
      </c>
      <c r="J1709" t="s">
        <v>774</v>
      </c>
      <c r="K1709" t="s">
        <v>49</v>
      </c>
      <c r="L1709" s="4">
        <v>13.392447352247808</v>
      </c>
      <c r="M1709" s="1" t="s">
        <v>54</v>
      </c>
      <c r="N1709" s="11">
        <f t="shared" si="26"/>
        <v>10</v>
      </c>
    </row>
    <row r="1710" spans="1:14" ht="16" x14ac:dyDescent="0.2">
      <c r="A1710" s="3">
        <v>43848.614822052397</v>
      </c>
      <c r="B1710" s="1" t="s">
        <v>2074</v>
      </c>
      <c r="C1710" t="s">
        <v>188</v>
      </c>
      <c r="D1710">
        <v>8</v>
      </c>
      <c r="E1710">
        <v>368</v>
      </c>
      <c r="F1710">
        <v>92</v>
      </c>
      <c r="G1710">
        <v>2944</v>
      </c>
      <c r="H1710" s="4">
        <v>736</v>
      </c>
      <c r="I1710" s="4">
        <v>2208</v>
      </c>
      <c r="J1710" t="s">
        <v>752</v>
      </c>
      <c r="K1710" t="s">
        <v>49</v>
      </c>
      <c r="L1710" s="4">
        <v>11.862005526237752</v>
      </c>
      <c r="M1710" s="1" t="s">
        <v>38</v>
      </c>
      <c r="N1710" s="11">
        <f t="shared" si="26"/>
        <v>5</v>
      </c>
    </row>
    <row r="1711" spans="1:14" ht="16" x14ac:dyDescent="0.2">
      <c r="A1711" s="3">
        <v>45248.799547188435</v>
      </c>
      <c r="B1711" s="1" t="s">
        <v>2075</v>
      </c>
      <c r="C1711" t="s">
        <v>286</v>
      </c>
      <c r="D1711">
        <v>18</v>
      </c>
      <c r="E1711">
        <v>34</v>
      </c>
      <c r="F1711">
        <v>17</v>
      </c>
      <c r="G1711">
        <v>612</v>
      </c>
      <c r="H1711" s="4">
        <v>306</v>
      </c>
      <c r="I1711" s="4">
        <v>306</v>
      </c>
      <c r="J1711" t="s">
        <v>752</v>
      </c>
      <c r="K1711" t="s">
        <v>49</v>
      </c>
      <c r="L1711" s="4">
        <v>11.862005526237752</v>
      </c>
      <c r="M1711" s="1" t="s">
        <v>34</v>
      </c>
      <c r="N1711" s="11">
        <f t="shared" si="26"/>
        <v>1</v>
      </c>
    </row>
    <row r="1712" spans="1:14" ht="16" x14ac:dyDescent="0.2">
      <c r="A1712" s="3">
        <v>43875.156215055176</v>
      </c>
      <c r="B1712" s="1" t="s">
        <v>1043</v>
      </c>
      <c r="C1712" t="s">
        <v>286</v>
      </c>
      <c r="D1712">
        <v>11</v>
      </c>
      <c r="E1712">
        <v>34</v>
      </c>
      <c r="F1712">
        <v>17</v>
      </c>
      <c r="G1712">
        <v>374</v>
      </c>
      <c r="H1712" s="4">
        <v>187</v>
      </c>
      <c r="I1712" s="4">
        <v>187</v>
      </c>
      <c r="J1712" t="s">
        <v>329</v>
      </c>
      <c r="K1712" t="s">
        <v>33</v>
      </c>
      <c r="L1712" s="4">
        <v>12.545140403858928</v>
      </c>
      <c r="M1712" s="1" t="s">
        <v>54</v>
      </c>
      <c r="N1712" s="11">
        <f t="shared" si="26"/>
        <v>10</v>
      </c>
    </row>
    <row r="1713" spans="1:14" ht="16" x14ac:dyDescent="0.2">
      <c r="A1713" s="3">
        <v>43850.452111479892</v>
      </c>
      <c r="B1713" s="1" t="s">
        <v>2076</v>
      </c>
      <c r="C1713" t="s">
        <v>365</v>
      </c>
      <c r="D1713">
        <v>3</v>
      </c>
      <c r="E1713">
        <v>255</v>
      </c>
      <c r="F1713">
        <v>85</v>
      </c>
      <c r="G1713">
        <v>765</v>
      </c>
      <c r="H1713" s="4">
        <v>255</v>
      </c>
      <c r="I1713" s="4">
        <v>510</v>
      </c>
      <c r="J1713" t="s">
        <v>856</v>
      </c>
      <c r="K1713" t="s">
        <v>42</v>
      </c>
      <c r="L1713" s="4">
        <v>11.226611755437654</v>
      </c>
      <c r="M1713" s="1" t="s">
        <v>34</v>
      </c>
      <c r="N1713" s="11">
        <f t="shared" si="26"/>
        <v>1</v>
      </c>
    </row>
    <row r="1714" spans="1:14" ht="16" x14ac:dyDescent="0.2">
      <c r="A1714" s="3">
        <v>44287.950041433425</v>
      </c>
      <c r="B1714" s="1" t="s">
        <v>2077</v>
      </c>
      <c r="C1714" t="s">
        <v>299</v>
      </c>
      <c r="D1714">
        <v>15</v>
      </c>
      <c r="E1714">
        <v>225</v>
      </c>
      <c r="F1714">
        <v>75</v>
      </c>
      <c r="G1714">
        <v>3375</v>
      </c>
      <c r="H1714" s="4">
        <v>1125</v>
      </c>
      <c r="I1714" s="4">
        <v>2250</v>
      </c>
      <c r="J1714" t="s">
        <v>650</v>
      </c>
      <c r="K1714" t="s">
        <v>86</v>
      </c>
      <c r="L1714" s="4">
        <v>12.679725647708608</v>
      </c>
      <c r="M1714" s="1" t="s">
        <v>38</v>
      </c>
      <c r="N1714" s="11">
        <f t="shared" si="26"/>
        <v>5</v>
      </c>
    </row>
    <row r="1715" spans="1:14" ht="16" x14ac:dyDescent="0.2">
      <c r="A1715" s="3">
        <v>44301.1949508334</v>
      </c>
      <c r="B1715" s="1" t="s">
        <v>2078</v>
      </c>
      <c r="C1715" t="s">
        <v>386</v>
      </c>
      <c r="D1715">
        <v>7</v>
      </c>
      <c r="E1715">
        <v>110</v>
      </c>
      <c r="F1715">
        <v>55</v>
      </c>
      <c r="G1715">
        <v>770</v>
      </c>
      <c r="H1715" s="4">
        <v>385</v>
      </c>
      <c r="I1715" s="4">
        <v>385</v>
      </c>
      <c r="J1715" t="s">
        <v>253</v>
      </c>
      <c r="K1715" t="s">
        <v>53</v>
      </c>
      <c r="L1715" s="4">
        <v>13.918153610259502</v>
      </c>
      <c r="M1715" s="1" t="s">
        <v>54</v>
      </c>
      <c r="N1715" s="11">
        <f t="shared" si="26"/>
        <v>10</v>
      </c>
    </row>
    <row r="1716" spans="1:14" ht="16" x14ac:dyDescent="0.2">
      <c r="A1716" s="3">
        <v>43622.690995981844</v>
      </c>
      <c r="B1716" s="1" t="s">
        <v>2079</v>
      </c>
      <c r="C1716" t="s">
        <v>142</v>
      </c>
      <c r="D1716">
        <v>5</v>
      </c>
      <c r="E1716">
        <v>210</v>
      </c>
      <c r="F1716">
        <v>70</v>
      </c>
      <c r="G1716">
        <v>1050</v>
      </c>
      <c r="H1716" s="4">
        <v>350</v>
      </c>
      <c r="I1716" s="4">
        <v>700</v>
      </c>
      <c r="J1716" t="s">
        <v>638</v>
      </c>
      <c r="K1716" t="s">
        <v>33</v>
      </c>
      <c r="L1716" s="4">
        <v>12.131375018945562</v>
      </c>
      <c r="M1716" s="1" t="s">
        <v>34</v>
      </c>
      <c r="N1716" s="11">
        <f t="shared" si="26"/>
        <v>1</v>
      </c>
    </row>
    <row r="1717" spans="1:14" ht="16" x14ac:dyDescent="0.2">
      <c r="A1717" s="3">
        <v>44978.68282927604</v>
      </c>
      <c r="B1717" s="1" t="s">
        <v>2080</v>
      </c>
      <c r="C1717" t="s">
        <v>257</v>
      </c>
      <c r="D1717">
        <v>12</v>
      </c>
      <c r="E1717">
        <v>160</v>
      </c>
      <c r="F1717">
        <v>80</v>
      </c>
      <c r="G1717">
        <v>1920</v>
      </c>
      <c r="H1717" s="4">
        <v>960</v>
      </c>
      <c r="I1717" s="4">
        <v>960</v>
      </c>
      <c r="J1717" t="s">
        <v>63</v>
      </c>
      <c r="K1717" t="s">
        <v>64</v>
      </c>
      <c r="L1717" s="4">
        <v>10.988762477277161</v>
      </c>
      <c r="M1717" s="1" t="s">
        <v>34</v>
      </c>
      <c r="N1717" s="11">
        <f t="shared" si="26"/>
        <v>1</v>
      </c>
    </row>
    <row r="1718" spans="1:14" ht="16" x14ac:dyDescent="0.2">
      <c r="A1718" s="3">
        <v>44591.025354287842</v>
      </c>
      <c r="B1718" s="1" t="s">
        <v>2081</v>
      </c>
      <c r="C1718" t="s">
        <v>75</v>
      </c>
      <c r="D1718">
        <v>20</v>
      </c>
      <c r="E1718">
        <v>76</v>
      </c>
      <c r="F1718">
        <v>19</v>
      </c>
      <c r="G1718">
        <v>1520</v>
      </c>
      <c r="H1718" s="4">
        <v>380</v>
      </c>
      <c r="I1718" s="4">
        <v>1140</v>
      </c>
      <c r="J1718" t="s">
        <v>528</v>
      </c>
      <c r="K1718" t="s">
        <v>33</v>
      </c>
      <c r="L1718" s="4">
        <v>11.003496633574638</v>
      </c>
      <c r="M1718" s="1" t="s">
        <v>34</v>
      </c>
      <c r="N1718" s="11">
        <f t="shared" si="26"/>
        <v>1</v>
      </c>
    </row>
    <row r="1719" spans="1:14" ht="16" x14ac:dyDescent="0.2">
      <c r="A1719" s="3">
        <v>43354.590824480132</v>
      </c>
      <c r="B1719" s="1" t="s">
        <v>2082</v>
      </c>
      <c r="C1719" t="s">
        <v>125</v>
      </c>
      <c r="D1719">
        <v>19</v>
      </c>
      <c r="E1719">
        <v>176</v>
      </c>
      <c r="F1719">
        <v>88</v>
      </c>
      <c r="G1719">
        <v>3344</v>
      </c>
      <c r="H1719" s="4">
        <v>1672</v>
      </c>
      <c r="I1719" s="4">
        <v>1672</v>
      </c>
      <c r="J1719" t="s">
        <v>1253</v>
      </c>
      <c r="K1719" t="s">
        <v>49</v>
      </c>
      <c r="L1719" s="4">
        <v>10.518436853046438</v>
      </c>
      <c r="M1719" s="1" t="s">
        <v>34</v>
      </c>
      <c r="N1719" s="11">
        <f t="shared" si="26"/>
        <v>1</v>
      </c>
    </row>
    <row r="1720" spans="1:14" ht="16" x14ac:dyDescent="0.2">
      <c r="A1720" s="3">
        <v>44007.737217335271</v>
      </c>
      <c r="B1720" s="1" t="s">
        <v>1829</v>
      </c>
      <c r="C1720" t="s">
        <v>375</v>
      </c>
      <c r="D1720">
        <v>17</v>
      </c>
      <c r="E1720">
        <v>360</v>
      </c>
      <c r="F1720">
        <v>90</v>
      </c>
      <c r="G1720">
        <v>6120</v>
      </c>
      <c r="H1720" s="4">
        <v>1530</v>
      </c>
      <c r="I1720" s="4">
        <v>4590</v>
      </c>
      <c r="J1720" t="s">
        <v>720</v>
      </c>
      <c r="K1720" t="s">
        <v>53</v>
      </c>
      <c r="L1720" s="4">
        <v>13.106678263594747</v>
      </c>
      <c r="M1720" s="1" t="s">
        <v>38</v>
      </c>
      <c r="N1720" s="11">
        <f t="shared" si="26"/>
        <v>5</v>
      </c>
    </row>
    <row r="1721" spans="1:14" ht="16" x14ac:dyDescent="0.2">
      <c r="A1721" s="3">
        <v>43896.665802710864</v>
      </c>
      <c r="B1721" s="1" t="s">
        <v>2083</v>
      </c>
      <c r="C1721" t="s">
        <v>391</v>
      </c>
      <c r="D1721">
        <v>15</v>
      </c>
      <c r="E1721">
        <v>72</v>
      </c>
      <c r="F1721">
        <v>36</v>
      </c>
      <c r="G1721">
        <v>1080</v>
      </c>
      <c r="H1721" s="4">
        <v>540</v>
      </c>
      <c r="I1721" s="4">
        <v>540</v>
      </c>
      <c r="J1721" t="s">
        <v>426</v>
      </c>
      <c r="K1721" t="s">
        <v>53</v>
      </c>
      <c r="L1721" s="4">
        <v>13.923194761258239</v>
      </c>
      <c r="M1721" s="1" t="s">
        <v>54</v>
      </c>
      <c r="N1721" s="11">
        <f t="shared" si="26"/>
        <v>10</v>
      </c>
    </row>
    <row r="1722" spans="1:14" ht="16" x14ac:dyDescent="0.2">
      <c r="A1722" s="3">
        <v>43450.455418625817</v>
      </c>
      <c r="B1722" s="1" t="s">
        <v>2084</v>
      </c>
      <c r="C1722" t="s">
        <v>75</v>
      </c>
      <c r="D1722">
        <v>3</v>
      </c>
      <c r="E1722">
        <v>76</v>
      </c>
      <c r="F1722">
        <v>19</v>
      </c>
      <c r="G1722">
        <v>228</v>
      </c>
      <c r="H1722" s="4">
        <v>57</v>
      </c>
      <c r="I1722" s="4">
        <v>171</v>
      </c>
      <c r="J1722" t="s">
        <v>76</v>
      </c>
      <c r="K1722" t="s">
        <v>58</v>
      </c>
      <c r="L1722" s="4">
        <v>9.8384363471888783</v>
      </c>
      <c r="M1722" s="1" t="s">
        <v>38</v>
      </c>
      <c r="N1722" s="11">
        <f t="shared" si="26"/>
        <v>5</v>
      </c>
    </row>
    <row r="1723" spans="1:14" ht="16" x14ac:dyDescent="0.2">
      <c r="A1723" s="3">
        <v>43904.166659114708</v>
      </c>
      <c r="B1723" s="1" t="s">
        <v>2085</v>
      </c>
      <c r="C1723" t="s">
        <v>178</v>
      </c>
      <c r="D1723">
        <v>8</v>
      </c>
      <c r="E1723">
        <v>189</v>
      </c>
      <c r="F1723">
        <v>63</v>
      </c>
      <c r="G1723">
        <v>1512</v>
      </c>
      <c r="H1723" s="4">
        <v>504</v>
      </c>
      <c r="I1723" s="4">
        <v>1008</v>
      </c>
      <c r="J1723" t="s">
        <v>495</v>
      </c>
      <c r="K1723" t="s">
        <v>64</v>
      </c>
      <c r="L1723" s="4">
        <v>8.8878868765808274</v>
      </c>
      <c r="M1723" s="1" t="s">
        <v>38</v>
      </c>
      <c r="N1723" s="11">
        <f t="shared" si="26"/>
        <v>5</v>
      </c>
    </row>
    <row r="1724" spans="1:14" ht="16" x14ac:dyDescent="0.2">
      <c r="A1724" s="3">
        <v>43098.496883273634</v>
      </c>
      <c r="B1724" s="1" t="s">
        <v>2086</v>
      </c>
      <c r="C1724" t="s">
        <v>91</v>
      </c>
      <c r="D1724">
        <v>16</v>
      </c>
      <c r="E1724">
        <v>300</v>
      </c>
      <c r="F1724">
        <v>75</v>
      </c>
      <c r="G1724">
        <v>4800</v>
      </c>
      <c r="H1724" s="4">
        <v>1200</v>
      </c>
      <c r="I1724" s="4">
        <v>3600</v>
      </c>
      <c r="J1724" t="s">
        <v>626</v>
      </c>
      <c r="K1724" t="s">
        <v>58</v>
      </c>
      <c r="L1724" s="4">
        <v>13.259563298324382</v>
      </c>
      <c r="M1724" s="1" t="s">
        <v>38</v>
      </c>
      <c r="N1724" s="11">
        <f t="shared" si="26"/>
        <v>5</v>
      </c>
    </row>
    <row r="1725" spans="1:14" ht="16" x14ac:dyDescent="0.2">
      <c r="A1725" s="3">
        <v>43322.44627704742</v>
      </c>
      <c r="B1725" s="1" t="s">
        <v>2087</v>
      </c>
      <c r="C1725" t="s">
        <v>431</v>
      </c>
      <c r="D1725">
        <v>1</v>
      </c>
      <c r="E1725">
        <v>356</v>
      </c>
      <c r="F1725">
        <v>89</v>
      </c>
      <c r="G1725">
        <v>356</v>
      </c>
      <c r="H1725" s="4">
        <v>89</v>
      </c>
      <c r="I1725" s="4">
        <v>267</v>
      </c>
      <c r="J1725" t="s">
        <v>338</v>
      </c>
      <c r="K1725" t="s">
        <v>64</v>
      </c>
      <c r="L1725" s="4">
        <v>10.132922049221957</v>
      </c>
      <c r="M1725" s="1" t="s">
        <v>34</v>
      </c>
      <c r="N1725" s="11">
        <f t="shared" si="26"/>
        <v>1</v>
      </c>
    </row>
    <row r="1726" spans="1:14" ht="16" x14ac:dyDescent="0.2">
      <c r="A1726" s="3">
        <v>43588.661182083597</v>
      </c>
      <c r="B1726" s="1" t="s">
        <v>2088</v>
      </c>
      <c r="C1726" t="s">
        <v>51</v>
      </c>
      <c r="D1726">
        <v>4</v>
      </c>
      <c r="E1726">
        <v>160</v>
      </c>
      <c r="F1726">
        <v>80</v>
      </c>
      <c r="G1726">
        <v>640</v>
      </c>
      <c r="H1726" s="4">
        <v>320</v>
      </c>
      <c r="I1726" s="4">
        <v>320</v>
      </c>
      <c r="J1726" t="s">
        <v>274</v>
      </c>
      <c r="K1726" t="s">
        <v>86</v>
      </c>
      <c r="L1726" s="4">
        <v>9.821882845934784</v>
      </c>
      <c r="M1726" s="1" t="s">
        <v>38</v>
      </c>
      <c r="N1726" s="11">
        <f t="shared" si="26"/>
        <v>5</v>
      </c>
    </row>
    <row r="1727" spans="1:14" ht="16" x14ac:dyDescent="0.2">
      <c r="A1727" s="3">
        <v>44124.329777811698</v>
      </c>
      <c r="B1727" s="1" t="s">
        <v>2089</v>
      </c>
      <c r="C1727" t="s">
        <v>266</v>
      </c>
      <c r="D1727">
        <v>10</v>
      </c>
      <c r="E1727">
        <v>50</v>
      </c>
      <c r="F1727">
        <v>25</v>
      </c>
      <c r="G1727">
        <v>500</v>
      </c>
      <c r="H1727" s="4">
        <v>250</v>
      </c>
      <c r="I1727" s="4">
        <v>250</v>
      </c>
      <c r="J1727" t="s">
        <v>1625</v>
      </c>
      <c r="K1727" t="s">
        <v>86</v>
      </c>
      <c r="L1727" s="4">
        <v>11.238524301148807</v>
      </c>
      <c r="M1727" s="1" t="s">
        <v>54</v>
      </c>
      <c r="N1727" s="11">
        <f t="shared" si="26"/>
        <v>10</v>
      </c>
    </row>
    <row r="1728" spans="1:14" ht="16" x14ac:dyDescent="0.2">
      <c r="A1728" s="3">
        <v>43799.507587958266</v>
      </c>
      <c r="B1728" s="1" t="s">
        <v>2090</v>
      </c>
      <c r="C1728" t="s">
        <v>130</v>
      </c>
      <c r="D1728">
        <v>7</v>
      </c>
      <c r="E1728">
        <v>144</v>
      </c>
      <c r="F1728">
        <v>48</v>
      </c>
      <c r="G1728">
        <v>1008</v>
      </c>
      <c r="H1728" s="4">
        <v>336</v>
      </c>
      <c r="I1728" s="4">
        <v>672</v>
      </c>
      <c r="J1728" t="s">
        <v>506</v>
      </c>
      <c r="K1728" t="s">
        <v>33</v>
      </c>
      <c r="L1728" s="4">
        <v>13.917704159139552</v>
      </c>
      <c r="M1728" s="1" t="s">
        <v>54</v>
      </c>
      <c r="N1728" s="11">
        <f t="shared" si="26"/>
        <v>10</v>
      </c>
    </row>
    <row r="1729" spans="1:14" ht="16" x14ac:dyDescent="0.2">
      <c r="A1729" s="3">
        <v>43085.025821690877</v>
      </c>
      <c r="B1729" s="1" t="s">
        <v>2091</v>
      </c>
      <c r="C1729" t="s">
        <v>120</v>
      </c>
      <c r="D1729">
        <v>16</v>
      </c>
      <c r="E1729">
        <v>252</v>
      </c>
      <c r="F1729">
        <v>63</v>
      </c>
      <c r="G1729">
        <v>4032</v>
      </c>
      <c r="H1729" s="4">
        <v>1008</v>
      </c>
      <c r="I1729" s="4">
        <v>3024</v>
      </c>
      <c r="J1729" t="s">
        <v>804</v>
      </c>
      <c r="K1729" t="s">
        <v>53</v>
      </c>
      <c r="L1729" s="4">
        <v>9.4608554813364627</v>
      </c>
      <c r="M1729" s="1" t="s">
        <v>54</v>
      </c>
      <c r="N1729" s="11">
        <f t="shared" si="26"/>
        <v>10</v>
      </c>
    </row>
    <row r="1730" spans="1:14" ht="16" x14ac:dyDescent="0.2">
      <c r="A1730" s="3">
        <v>43582.663105738189</v>
      </c>
      <c r="B1730" s="1" t="s">
        <v>2092</v>
      </c>
      <c r="C1730" t="s">
        <v>151</v>
      </c>
      <c r="D1730">
        <v>1</v>
      </c>
      <c r="E1730">
        <v>153</v>
      </c>
      <c r="F1730">
        <v>51</v>
      </c>
      <c r="G1730">
        <v>153</v>
      </c>
      <c r="H1730" s="4">
        <v>51</v>
      </c>
      <c r="I1730" s="4">
        <v>102</v>
      </c>
      <c r="J1730" t="s">
        <v>611</v>
      </c>
      <c r="K1730" t="s">
        <v>58</v>
      </c>
      <c r="L1730" s="4">
        <v>7.8974070387684714</v>
      </c>
      <c r="M1730" s="1" t="s">
        <v>38</v>
      </c>
      <c r="N1730" s="11">
        <f t="shared" si="26"/>
        <v>5</v>
      </c>
    </row>
    <row r="1731" spans="1:14" ht="16" x14ac:dyDescent="0.2">
      <c r="A1731" s="3">
        <v>43219.539905237762</v>
      </c>
      <c r="B1731" s="1" t="s">
        <v>2093</v>
      </c>
      <c r="C1731" t="s">
        <v>297</v>
      </c>
      <c r="D1731">
        <v>16</v>
      </c>
      <c r="E1731">
        <v>108</v>
      </c>
      <c r="F1731">
        <v>36</v>
      </c>
      <c r="G1731">
        <v>1728</v>
      </c>
      <c r="H1731" s="4">
        <v>576</v>
      </c>
      <c r="I1731" s="4">
        <v>1152</v>
      </c>
      <c r="J1731" t="s">
        <v>548</v>
      </c>
      <c r="K1731" t="s">
        <v>53</v>
      </c>
      <c r="L1731" s="4">
        <v>16.695690968264284</v>
      </c>
      <c r="M1731" s="1" t="s">
        <v>38</v>
      </c>
      <c r="N1731" s="11">
        <f t="shared" ref="N1731:N1794" si="27">+IF(M1731="Dissatisfied",1,IF(M1731="Satisfied",10,5))</f>
        <v>5</v>
      </c>
    </row>
    <row r="1732" spans="1:14" ht="16" x14ac:dyDescent="0.2">
      <c r="A1732" s="3">
        <v>44296.681528012523</v>
      </c>
      <c r="B1732" s="1" t="s">
        <v>2094</v>
      </c>
      <c r="C1732" t="s">
        <v>201</v>
      </c>
      <c r="D1732">
        <v>2</v>
      </c>
      <c r="E1732">
        <v>30</v>
      </c>
      <c r="F1732">
        <v>15</v>
      </c>
      <c r="G1732">
        <v>60</v>
      </c>
      <c r="H1732" s="4">
        <v>30</v>
      </c>
      <c r="I1732" s="4">
        <v>30</v>
      </c>
      <c r="J1732" t="s">
        <v>729</v>
      </c>
      <c r="K1732" t="s">
        <v>64</v>
      </c>
      <c r="L1732" s="4">
        <v>11.443503623244197</v>
      </c>
      <c r="M1732" s="1" t="s">
        <v>54</v>
      </c>
      <c r="N1732" s="11">
        <f t="shared" si="27"/>
        <v>10</v>
      </c>
    </row>
    <row r="1733" spans="1:14" ht="16" x14ac:dyDescent="0.2">
      <c r="A1733" s="3">
        <v>43074.480860554606</v>
      </c>
      <c r="B1733" s="1" t="s">
        <v>2095</v>
      </c>
      <c r="C1733" t="s">
        <v>44</v>
      </c>
      <c r="D1733">
        <v>3</v>
      </c>
      <c r="E1733">
        <v>114</v>
      </c>
      <c r="F1733">
        <v>57</v>
      </c>
      <c r="G1733">
        <v>342</v>
      </c>
      <c r="H1733" s="4">
        <v>171</v>
      </c>
      <c r="I1733" s="4">
        <v>171</v>
      </c>
      <c r="J1733" t="s">
        <v>292</v>
      </c>
      <c r="K1733" t="s">
        <v>49</v>
      </c>
      <c r="L1733" s="4">
        <v>11.710935611749917</v>
      </c>
      <c r="M1733" s="1" t="s">
        <v>54</v>
      </c>
      <c r="N1733" s="11">
        <f t="shared" si="27"/>
        <v>10</v>
      </c>
    </row>
    <row r="1734" spans="1:14" ht="16" x14ac:dyDescent="0.2">
      <c r="A1734" s="3">
        <v>44873.339688476539</v>
      </c>
      <c r="B1734" s="1" t="s">
        <v>2096</v>
      </c>
      <c r="C1734" t="s">
        <v>257</v>
      </c>
      <c r="D1734">
        <v>9</v>
      </c>
      <c r="E1734">
        <v>160</v>
      </c>
      <c r="F1734">
        <v>80</v>
      </c>
      <c r="G1734">
        <v>1440</v>
      </c>
      <c r="H1734" s="4">
        <v>720</v>
      </c>
      <c r="I1734" s="4">
        <v>720</v>
      </c>
      <c r="J1734" t="s">
        <v>603</v>
      </c>
      <c r="K1734" t="s">
        <v>64</v>
      </c>
      <c r="L1734" s="4">
        <v>11.072271050116964</v>
      </c>
      <c r="M1734" s="1" t="s">
        <v>38</v>
      </c>
      <c r="N1734" s="11">
        <f t="shared" si="27"/>
        <v>5</v>
      </c>
    </row>
    <row r="1735" spans="1:14" ht="16" x14ac:dyDescent="0.2">
      <c r="A1735" s="3">
        <v>43156.155718606838</v>
      </c>
      <c r="B1735" s="1" t="s">
        <v>2097</v>
      </c>
      <c r="C1735" t="s">
        <v>66</v>
      </c>
      <c r="D1735">
        <v>12</v>
      </c>
      <c r="E1735">
        <v>144</v>
      </c>
      <c r="F1735">
        <v>48</v>
      </c>
      <c r="G1735">
        <v>1728</v>
      </c>
      <c r="H1735" s="4">
        <v>576</v>
      </c>
      <c r="I1735" s="4">
        <v>1152</v>
      </c>
      <c r="J1735" t="s">
        <v>643</v>
      </c>
      <c r="K1735" t="s">
        <v>33</v>
      </c>
      <c r="L1735" s="4">
        <v>12.275875773922367</v>
      </c>
      <c r="M1735" s="1" t="s">
        <v>38</v>
      </c>
      <c r="N1735" s="11">
        <f t="shared" si="27"/>
        <v>5</v>
      </c>
    </row>
    <row r="1736" spans="1:14" ht="16" x14ac:dyDescent="0.2">
      <c r="A1736" s="3">
        <v>44618.993122190106</v>
      </c>
      <c r="B1736" s="1" t="s">
        <v>2098</v>
      </c>
      <c r="C1736" t="s">
        <v>276</v>
      </c>
      <c r="D1736">
        <v>16</v>
      </c>
      <c r="E1736">
        <v>57</v>
      </c>
      <c r="F1736">
        <v>19</v>
      </c>
      <c r="G1736">
        <v>912</v>
      </c>
      <c r="H1736" s="4">
        <v>304</v>
      </c>
      <c r="I1736" s="4">
        <v>608</v>
      </c>
      <c r="J1736" t="s">
        <v>890</v>
      </c>
      <c r="K1736" t="s">
        <v>86</v>
      </c>
      <c r="L1736" s="4">
        <v>15.856807810268592</v>
      </c>
      <c r="M1736" s="1" t="s">
        <v>38</v>
      </c>
      <c r="N1736" s="11">
        <f t="shared" si="27"/>
        <v>5</v>
      </c>
    </row>
    <row r="1737" spans="1:14" ht="16" x14ac:dyDescent="0.2">
      <c r="A1737" s="3">
        <v>44434.195384982027</v>
      </c>
      <c r="B1737" s="1" t="s">
        <v>2099</v>
      </c>
      <c r="C1737" t="s">
        <v>148</v>
      </c>
      <c r="D1737">
        <v>13</v>
      </c>
      <c r="E1737">
        <v>144</v>
      </c>
      <c r="F1737">
        <v>36</v>
      </c>
      <c r="G1737">
        <v>1872</v>
      </c>
      <c r="H1737" s="4">
        <v>468</v>
      </c>
      <c r="I1737" s="4">
        <v>1404</v>
      </c>
      <c r="J1737" t="s">
        <v>1051</v>
      </c>
      <c r="K1737" t="s">
        <v>64</v>
      </c>
      <c r="L1737" s="4">
        <v>12.852414455158604</v>
      </c>
      <c r="M1737" s="1" t="s">
        <v>38</v>
      </c>
      <c r="N1737" s="11">
        <f t="shared" si="27"/>
        <v>5</v>
      </c>
    </row>
    <row r="1738" spans="1:14" ht="16" x14ac:dyDescent="0.2">
      <c r="A1738" s="3">
        <v>43692.949726604878</v>
      </c>
      <c r="B1738" s="1" t="s">
        <v>2100</v>
      </c>
      <c r="C1738" t="s">
        <v>317</v>
      </c>
      <c r="D1738">
        <v>19</v>
      </c>
      <c r="E1738">
        <v>352</v>
      </c>
      <c r="F1738">
        <v>88</v>
      </c>
      <c r="G1738">
        <v>6688</v>
      </c>
      <c r="H1738" s="4">
        <v>1672</v>
      </c>
      <c r="I1738" s="4">
        <v>5016</v>
      </c>
      <c r="J1738" t="s">
        <v>938</v>
      </c>
      <c r="K1738" t="s">
        <v>33</v>
      </c>
      <c r="L1738" s="4">
        <v>13.397308081757757</v>
      </c>
      <c r="M1738" s="1" t="s">
        <v>34</v>
      </c>
      <c r="N1738" s="11">
        <f t="shared" si="27"/>
        <v>1</v>
      </c>
    </row>
    <row r="1739" spans="1:14" ht="16" x14ac:dyDescent="0.2">
      <c r="A1739" s="3">
        <v>43377.884569997397</v>
      </c>
      <c r="B1739" s="1" t="s">
        <v>2101</v>
      </c>
      <c r="C1739" t="s">
        <v>75</v>
      </c>
      <c r="D1739">
        <v>9</v>
      </c>
      <c r="E1739">
        <v>76</v>
      </c>
      <c r="F1739">
        <v>19</v>
      </c>
      <c r="G1739">
        <v>684</v>
      </c>
      <c r="H1739" s="4">
        <v>171</v>
      </c>
      <c r="I1739" s="4">
        <v>513</v>
      </c>
      <c r="J1739" t="s">
        <v>1091</v>
      </c>
      <c r="K1739" t="s">
        <v>33</v>
      </c>
      <c r="L1739" s="4">
        <v>12.55774399806273</v>
      </c>
      <c r="M1739" s="1" t="s">
        <v>38</v>
      </c>
      <c r="N1739" s="11">
        <f t="shared" si="27"/>
        <v>5</v>
      </c>
    </row>
    <row r="1740" spans="1:14" ht="16" x14ac:dyDescent="0.2">
      <c r="A1740" s="3">
        <v>43944.485797572954</v>
      </c>
      <c r="B1740" s="1" t="s">
        <v>2102</v>
      </c>
      <c r="C1740" t="s">
        <v>212</v>
      </c>
      <c r="D1740">
        <v>20</v>
      </c>
      <c r="E1740">
        <v>300</v>
      </c>
      <c r="F1740">
        <v>75</v>
      </c>
      <c r="G1740">
        <v>6000</v>
      </c>
      <c r="H1740" s="4">
        <v>1500</v>
      </c>
      <c r="I1740" s="4">
        <v>4500</v>
      </c>
      <c r="J1740" t="s">
        <v>482</v>
      </c>
      <c r="K1740" t="s">
        <v>42</v>
      </c>
      <c r="L1740" s="4">
        <v>11.311040680082275</v>
      </c>
      <c r="M1740" s="1" t="s">
        <v>38</v>
      </c>
      <c r="N1740" s="11">
        <f t="shared" si="27"/>
        <v>5</v>
      </c>
    </row>
    <row r="1741" spans="1:14" ht="16" x14ac:dyDescent="0.2">
      <c r="A1741" s="3">
        <v>44213.294205865292</v>
      </c>
      <c r="B1741" s="1" t="s">
        <v>2103</v>
      </c>
      <c r="C1741" t="s">
        <v>218</v>
      </c>
      <c r="D1741">
        <v>8</v>
      </c>
      <c r="E1741">
        <v>264</v>
      </c>
      <c r="F1741">
        <v>88</v>
      </c>
      <c r="G1741">
        <v>2112</v>
      </c>
      <c r="H1741" s="4">
        <v>704</v>
      </c>
      <c r="I1741" s="4">
        <v>1408</v>
      </c>
      <c r="J1741" t="s">
        <v>1157</v>
      </c>
      <c r="K1741" t="s">
        <v>42</v>
      </c>
      <c r="L1741" s="4">
        <v>10.517826055804084</v>
      </c>
      <c r="M1741" s="1" t="s">
        <v>34</v>
      </c>
      <c r="N1741" s="11">
        <f t="shared" si="27"/>
        <v>1</v>
      </c>
    </row>
    <row r="1742" spans="1:14" ht="16" x14ac:dyDescent="0.2">
      <c r="A1742" s="3">
        <v>43167.643462808664</v>
      </c>
      <c r="B1742" s="1" t="s">
        <v>2104</v>
      </c>
      <c r="C1742" t="s">
        <v>410</v>
      </c>
      <c r="D1742">
        <v>17</v>
      </c>
      <c r="E1742">
        <v>84</v>
      </c>
      <c r="F1742">
        <v>21</v>
      </c>
      <c r="G1742">
        <v>1428</v>
      </c>
      <c r="H1742" s="4">
        <v>357</v>
      </c>
      <c r="I1742" s="4">
        <v>1071</v>
      </c>
      <c r="J1742" t="s">
        <v>48</v>
      </c>
      <c r="K1742" t="s">
        <v>49</v>
      </c>
      <c r="L1742" s="4">
        <v>15.24190997853951</v>
      </c>
      <c r="M1742" s="1" t="s">
        <v>54</v>
      </c>
      <c r="N1742" s="11">
        <f t="shared" si="27"/>
        <v>10</v>
      </c>
    </row>
    <row r="1743" spans="1:14" ht="16" x14ac:dyDescent="0.2">
      <c r="A1743" s="3">
        <v>43976.163713105416</v>
      </c>
      <c r="B1743" s="1" t="s">
        <v>2105</v>
      </c>
      <c r="C1743" t="s">
        <v>72</v>
      </c>
      <c r="D1743">
        <v>12</v>
      </c>
      <c r="E1743">
        <v>352</v>
      </c>
      <c r="F1743">
        <v>88</v>
      </c>
      <c r="G1743">
        <v>4224</v>
      </c>
      <c r="H1743" s="4">
        <v>1056</v>
      </c>
      <c r="I1743" s="4">
        <v>3168</v>
      </c>
      <c r="J1743" t="s">
        <v>767</v>
      </c>
      <c r="K1743" t="s">
        <v>42</v>
      </c>
      <c r="L1743" s="4">
        <v>11.289144410898391</v>
      </c>
      <c r="M1743" s="1" t="s">
        <v>54</v>
      </c>
      <c r="N1743" s="11">
        <f t="shared" si="27"/>
        <v>10</v>
      </c>
    </row>
    <row r="1744" spans="1:14" ht="16" x14ac:dyDescent="0.2">
      <c r="A1744" s="3">
        <v>44429.116929105934</v>
      </c>
      <c r="B1744" s="1" t="s">
        <v>2106</v>
      </c>
      <c r="C1744" t="s">
        <v>261</v>
      </c>
      <c r="D1744">
        <v>4</v>
      </c>
      <c r="E1744">
        <v>92</v>
      </c>
      <c r="F1744">
        <v>46</v>
      </c>
      <c r="G1744">
        <v>368</v>
      </c>
      <c r="H1744" s="4">
        <v>184</v>
      </c>
      <c r="I1744" s="4">
        <v>184</v>
      </c>
      <c r="J1744" t="s">
        <v>521</v>
      </c>
      <c r="K1744" t="s">
        <v>58</v>
      </c>
      <c r="L1744" s="4">
        <v>8.8514729234790472</v>
      </c>
      <c r="M1744" s="1" t="s">
        <v>54</v>
      </c>
      <c r="N1744" s="11">
        <f t="shared" si="27"/>
        <v>10</v>
      </c>
    </row>
    <row r="1745" spans="1:14" ht="16" x14ac:dyDescent="0.2">
      <c r="A1745" s="3">
        <v>43564.106262808498</v>
      </c>
      <c r="B1745" s="1" t="s">
        <v>2107</v>
      </c>
      <c r="C1745" t="s">
        <v>252</v>
      </c>
      <c r="D1745">
        <v>20</v>
      </c>
      <c r="E1745">
        <v>252</v>
      </c>
      <c r="F1745">
        <v>63</v>
      </c>
      <c r="G1745">
        <v>5040</v>
      </c>
      <c r="H1745" s="4">
        <v>1260</v>
      </c>
      <c r="I1745" s="4">
        <v>3780</v>
      </c>
      <c r="J1745" t="s">
        <v>1157</v>
      </c>
      <c r="K1745" t="s">
        <v>42</v>
      </c>
      <c r="L1745" s="4">
        <v>10.517826055804084</v>
      </c>
      <c r="M1745" s="1" t="s">
        <v>38</v>
      </c>
      <c r="N1745" s="11">
        <f t="shared" si="27"/>
        <v>5</v>
      </c>
    </row>
    <row r="1746" spans="1:14" ht="16" x14ac:dyDescent="0.2">
      <c r="A1746" s="3">
        <v>43727.88119858515</v>
      </c>
      <c r="B1746" s="1" t="s">
        <v>2108</v>
      </c>
      <c r="C1746" t="s">
        <v>425</v>
      </c>
      <c r="D1746">
        <v>1</v>
      </c>
      <c r="E1746">
        <v>352</v>
      </c>
      <c r="F1746">
        <v>88</v>
      </c>
      <c r="G1746">
        <v>352</v>
      </c>
      <c r="H1746" s="4">
        <v>88</v>
      </c>
      <c r="I1746" s="4">
        <v>264</v>
      </c>
      <c r="J1746" t="s">
        <v>172</v>
      </c>
      <c r="K1746" t="s">
        <v>33</v>
      </c>
      <c r="L1746" s="4">
        <v>9.9311000381363836</v>
      </c>
      <c r="M1746" s="1" t="s">
        <v>38</v>
      </c>
      <c r="N1746" s="11">
        <f t="shared" si="27"/>
        <v>5</v>
      </c>
    </row>
    <row r="1747" spans="1:14" ht="16" x14ac:dyDescent="0.2">
      <c r="A1747" s="3">
        <v>43620.800752977419</v>
      </c>
      <c r="B1747" s="1" t="s">
        <v>1812</v>
      </c>
      <c r="C1747" t="s">
        <v>91</v>
      </c>
      <c r="D1747">
        <v>14</v>
      </c>
      <c r="E1747">
        <v>300</v>
      </c>
      <c r="F1747">
        <v>75</v>
      </c>
      <c r="G1747">
        <v>4200</v>
      </c>
      <c r="H1747" s="4">
        <v>1050</v>
      </c>
      <c r="I1747" s="4">
        <v>3150</v>
      </c>
      <c r="J1747" t="s">
        <v>492</v>
      </c>
      <c r="K1747" t="s">
        <v>33</v>
      </c>
      <c r="L1747" s="4">
        <v>11.799431383856128</v>
      </c>
      <c r="M1747" s="1" t="s">
        <v>54</v>
      </c>
      <c r="N1747" s="11">
        <f t="shared" si="27"/>
        <v>10</v>
      </c>
    </row>
    <row r="1748" spans="1:14" ht="16" x14ac:dyDescent="0.2">
      <c r="A1748" s="3">
        <v>44136.224647971998</v>
      </c>
      <c r="B1748" s="1" t="s">
        <v>2109</v>
      </c>
      <c r="C1748" t="s">
        <v>538</v>
      </c>
      <c r="D1748">
        <v>2</v>
      </c>
      <c r="E1748">
        <v>261</v>
      </c>
      <c r="F1748">
        <v>87</v>
      </c>
      <c r="G1748">
        <v>522</v>
      </c>
      <c r="H1748" s="4">
        <v>174</v>
      </c>
      <c r="I1748" s="4">
        <v>348</v>
      </c>
      <c r="J1748" t="s">
        <v>1068</v>
      </c>
      <c r="K1748" t="s">
        <v>42</v>
      </c>
      <c r="L1748" s="4">
        <v>8.1352386075080023</v>
      </c>
      <c r="M1748" s="1" t="s">
        <v>38</v>
      </c>
      <c r="N1748" s="11">
        <f t="shared" si="27"/>
        <v>5</v>
      </c>
    </row>
    <row r="1749" spans="1:14" ht="16" x14ac:dyDescent="0.2">
      <c r="A1749" s="3">
        <v>44313.345904592876</v>
      </c>
      <c r="B1749" s="1" t="s">
        <v>2110</v>
      </c>
      <c r="C1749" t="s">
        <v>328</v>
      </c>
      <c r="D1749">
        <v>4</v>
      </c>
      <c r="E1749">
        <v>124</v>
      </c>
      <c r="F1749">
        <v>62</v>
      </c>
      <c r="G1749">
        <v>496</v>
      </c>
      <c r="H1749" s="4">
        <v>248</v>
      </c>
      <c r="I1749" s="4">
        <v>248</v>
      </c>
      <c r="J1749" t="s">
        <v>806</v>
      </c>
      <c r="K1749" t="s">
        <v>86</v>
      </c>
      <c r="L1749" s="4">
        <v>11.927799225928501</v>
      </c>
      <c r="M1749" s="1" t="s">
        <v>54</v>
      </c>
      <c r="N1749" s="11">
        <f t="shared" si="27"/>
        <v>10</v>
      </c>
    </row>
    <row r="1750" spans="1:14" ht="16" x14ac:dyDescent="0.2">
      <c r="A1750" s="3">
        <v>44019.456807990449</v>
      </c>
      <c r="B1750" s="1" t="s">
        <v>2111</v>
      </c>
      <c r="C1750" t="s">
        <v>365</v>
      </c>
      <c r="D1750">
        <v>20</v>
      </c>
      <c r="E1750">
        <v>255</v>
      </c>
      <c r="F1750">
        <v>85</v>
      </c>
      <c r="G1750">
        <v>5100</v>
      </c>
      <c r="H1750" s="4">
        <v>1700</v>
      </c>
      <c r="I1750" s="4">
        <v>3400</v>
      </c>
      <c r="J1750" t="s">
        <v>587</v>
      </c>
      <c r="K1750" t="s">
        <v>49</v>
      </c>
      <c r="L1750" s="4">
        <v>14.760829371220243</v>
      </c>
      <c r="M1750" s="1" t="s">
        <v>38</v>
      </c>
      <c r="N1750" s="11">
        <f t="shared" si="27"/>
        <v>5</v>
      </c>
    </row>
    <row r="1751" spans="1:14" ht="16" x14ac:dyDescent="0.2">
      <c r="A1751" s="3">
        <v>43586.54199819643</v>
      </c>
      <c r="B1751" s="1" t="s">
        <v>2112</v>
      </c>
      <c r="C1751" t="s">
        <v>133</v>
      </c>
      <c r="D1751">
        <v>8</v>
      </c>
      <c r="E1751">
        <v>189</v>
      </c>
      <c r="F1751">
        <v>63</v>
      </c>
      <c r="G1751">
        <v>1512</v>
      </c>
      <c r="H1751" s="4">
        <v>504</v>
      </c>
      <c r="I1751" s="4">
        <v>1008</v>
      </c>
      <c r="J1751" t="s">
        <v>795</v>
      </c>
      <c r="K1751" t="s">
        <v>49</v>
      </c>
      <c r="L1751" s="4">
        <v>11.661237375491201</v>
      </c>
      <c r="M1751" s="1" t="s">
        <v>38</v>
      </c>
      <c r="N1751" s="11">
        <f t="shared" si="27"/>
        <v>5</v>
      </c>
    </row>
    <row r="1752" spans="1:14" ht="16" x14ac:dyDescent="0.2">
      <c r="A1752" s="3">
        <v>44573.871165603749</v>
      </c>
      <c r="B1752" s="1" t="s">
        <v>2113</v>
      </c>
      <c r="C1752" t="s">
        <v>66</v>
      </c>
      <c r="D1752">
        <v>7</v>
      </c>
      <c r="E1752">
        <v>144</v>
      </c>
      <c r="F1752">
        <v>48</v>
      </c>
      <c r="G1752">
        <v>1008</v>
      </c>
      <c r="H1752" s="4">
        <v>336</v>
      </c>
      <c r="I1752" s="4">
        <v>672</v>
      </c>
      <c r="J1752" t="s">
        <v>213</v>
      </c>
      <c r="K1752" t="s">
        <v>58</v>
      </c>
      <c r="L1752" s="4">
        <v>10.980884286450312</v>
      </c>
      <c r="M1752" s="1" t="s">
        <v>34</v>
      </c>
      <c r="N1752" s="11">
        <f t="shared" si="27"/>
        <v>1</v>
      </c>
    </row>
    <row r="1753" spans="1:14" ht="16" x14ac:dyDescent="0.2">
      <c r="A1753" s="3">
        <v>44891.225972942178</v>
      </c>
      <c r="B1753" s="1" t="s">
        <v>2114</v>
      </c>
      <c r="C1753" t="s">
        <v>592</v>
      </c>
      <c r="D1753">
        <v>18</v>
      </c>
      <c r="E1753">
        <v>312</v>
      </c>
      <c r="F1753">
        <v>78</v>
      </c>
      <c r="G1753">
        <v>5616</v>
      </c>
      <c r="H1753" s="4">
        <v>1404</v>
      </c>
      <c r="I1753" s="4">
        <v>4212</v>
      </c>
      <c r="J1753" t="s">
        <v>1414</v>
      </c>
      <c r="K1753" t="s">
        <v>42</v>
      </c>
      <c r="L1753" s="4">
        <v>8.6625575824723242</v>
      </c>
      <c r="M1753" s="1" t="s">
        <v>34</v>
      </c>
      <c r="N1753" s="11">
        <f t="shared" si="27"/>
        <v>1</v>
      </c>
    </row>
    <row r="1754" spans="1:14" ht="16" x14ac:dyDescent="0.2">
      <c r="A1754" s="3">
        <v>44470.339158205024</v>
      </c>
      <c r="B1754" s="1" t="s">
        <v>2115</v>
      </c>
      <c r="C1754" t="s">
        <v>431</v>
      </c>
      <c r="D1754">
        <v>1</v>
      </c>
      <c r="E1754">
        <v>356</v>
      </c>
      <c r="F1754">
        <v>89</v>
      </c>
      <c r="G1754">
        <v>356</v>
      </c>
      <c r="H1754" s="4">
        <v>89</v>
      </c>
      <c r="I1754" s="4">
        <v>267</v>
      </c>
      <c r="J1754" t="s">
        <v>686</v>
      </c>
      <c r="K1754" t="s">
        <v>86</v>
      </c>
      <c r="L1754" s="4">
        <v>8.1595626482464514</v>
      </c>
      <c r="M1754" s="1" t="s">
        <v>38</v>
      </c>
      <c r="N1754" s="11">
        <f t="shared" si="27"/>
        <v>5</v>
      </c>
    </row>
    <row r="1755" spans="1:14" ht="16" x14ac:dyDescent="0.2">
      <c r="A1755" s="3">
        <v>43752.125804176423</v>
      </c>
      <c r="B1755" s="1" t="s">
        <v>2116</v>
      </c>
      <c r="C1755" t="s">
        <v>399</v>
      </c>
      <c r="D1755">
        <v>10</v>
      </c>
      <c r="E1755">
        <v>160</v>
      </c>
      <c r="F1755">
        <v>80</v>
      </c>
      <c r="G1755">
        <v>1600</v>
      </c>
      <c r="H1755" s="4">
        <v>800</v>
      </c>
      <c r="I1755" s="4">
        <v>800</v>
      </c>
      <c r="J1755" t="s">
        <v>650</v>
      </c>
      <c r="K1755" t="s">
        <v>86</v>
      </c>
      <c r="L1755" s="4">
        <v>12.679725647708608</v>
      </c>
      <c r="M1755" s="1" t="s">
        <v>38</v>
      </c>
      <c r="N1755" s="11">
        <f t="shared" si="27"/>
        <v>5</v>
      </c>
    </row>
    <row r="1756" spans="1:14" ht="16" x14ac:dyDescent="0.2">
      <c r="A1756" s="3">
        <v>43801.021599997635</v>
      </c>
      <c r="B1756" s="1" t="s">
        <v>2117</v>
      </c>
      <c r="C1756" t="s">
        <v>261</v>
      </c>
      <c r="D1756">
        <v>5</v>
      </c>
      <c r="E1756">
        <v>92</v>
      </c>
      <c r="F1756">
        <v>46</v>
      </c>
      <c r="G1756">
        <v>460</v>
      </c>
      <c r="H1756" s="4">
        <v>230</v>
      </c>
      <c r="I1756" s="4">
        <v>230</v>
      </c>
      <c r="J1756" t="s">
        <v>264</v>
      </c>
      <c r="K1756" t="s">
        <v>42</v>
      </c>
      <c r="L1756" s="4">
        <v>12.514998090845811</v>
      </c>
      <c r="M1756" s="1" t="s">
        <v>34</v>
      </c>
      <c r="N1756" s="11">
        <f t="shared" si="27"/>
        <v>1</v>
      </c>
    </row>
    <row r="1757" spans="1:14" ht="16" x14ac:dyDescent="0.2">
      <c r="A1757" s="3">
        <v>43625.801435815461</v>
      </c>
      <c r="B1757" s="1" t="s">
        <v>2118</v>
      </c>
      <c r="C1757" t="s">
        <v>259</v>
      </c>
      <c r="D1757">
        <v>20</v>
      </c>
      <c r="E1757">
        <v>270</v>
      </c>
      <c r="F1757">
        <v>90</v>
      </c>
      <c r="G1757">
        <v>5400</v>
      </c>
      <c r="H1757" s="4">
        <v>1800</v>
      </c>
      <c r="I1757" s="4">
        <v>3600</v>
      </c>
      <c r="J1757" t="s">
        <v>48</v>
      </c>
      <c r="K1757" t="s">
        <v>49</v>
      </c>
      <c r="L1757" s="4">
        <v>15.24190997853951</v>
      </c>
      <c r="M1757" s="1" t="s">
        <v>54</v>
      </c>
      <c r="N1757" s="11">
        <f t="shared" si="27"/>
        <v>10</v>
      </c>
    </row>
    <row r="1758" spans="1:14" ht="16" x14ac:dyDescent="0.2">
      <c r="A1758" s="3">
        <v>44097.47610843063</v>
      </c>
      <c r="B1758" s="1" t="s">
        <v>484</v>
      </c>
      <c r="C1758" t="s">
        <v>243</v>
      </c>
      <c r="D1758">
        <v>20</v>
      </c>
      <c r="E1758">
        <v>90</v>
      </c>
      <c r="F1758">
        <v>45</v>
      </c>
      <c r="G1758">
        <v>1800</v>
      </c>
      <c r="H1758" s="4">
        <v>900</v>
      </c>
      <c r="I1758" s="4">
        <v>900</v>
      </c>
      <c r="J1758" t="s">
        <v>1042</v>
      </c>
      <c r="K1758" t="s">
        <v>58</v>
      </c>
      <c r="L1758" s="4">
        <v>10.588336269016523</v>
      </c>
      <c r="M1758" s="1" t="s">
        <v>38</v>
      </c>
      <c r="N1758" s="11">
        <f t="shared" si="27"/>
        <v>5</v>
      </c>
    </row>
    <row r="1759" spans="1:14" ht="16" x14ac:dyDescent="0.2">
      <c r="A1759" s="3">
        <v>43721.650201097982</v>
      </c>
      <c r="B1759" s="1" t="s">
        <v>2119</v>
      </c>
      <c r="C1759" t="s">
        <v>212</v>
      </c>
      <c r="D1759">
        <v>14</v>
      </c>
      <c r="E1759">
        <v>300</v>
      </c>
      <c r="F1759">
        <v>75</v>
      </c>
      <c r="G1759">
        <v>4200</v>
      </c>
      <c r="H1759" s="4">
        <v>1050</v>
      </c>
      <c r="I1759" s="4">
        <v>3150</v>
      </c>
      <c r="J1759" t="s">
        <v>199</v>
      </c>
      <c r="K1759" t="s">
        <v>86</v>
      </c>
      <c r="L1759" s="4">
        <v>13.890275354050972</v>
      </c>
      <c r="M1759" s="1" t="s">
        <v>38</v>
      </c>
      <c r="N1759" s="11">
        <f t="shared" si="27"/>
        <v>5</v>
      </c>
    </row>
    <row r="1760" spans="1:14" ht="16" x14ac:dyDescent="0.2">
      <c r="A1760" s="3">
        <v>44292.327320394652</v>
      </c>
      <c r="B1760" s="1" t="s">
        <v>2120</v>
      </c>
      <c r="C1760" t="s">
        <v>425</v>
      </c>
      <c r="D1760">
        <v>12</v>
      </c>
      <c r="E1760">
        <v>352</v>
      </c>
      <c r="F1760">
        <v>88</v>
      </c>
      <c r="G1760">
        <v>4224</v>
      </c>
      <c r="H1760" s="4">
        <v>1056</v>
      </c>
      <c r="I1760" s="4">
        <v>3168</v>
      </c>
      <c r="J1760" t="s">
        <v>933</v>
      </c>
      <c r="K1760" t="s">
        <v>58</v>
      </c>
      <c r="L1760" s="4">
        <v>11.130819205617987</v>
      </c>
      <c r="M1760" s="1" t="s">
        <v>38</v>
      </c>
      <c r="N1760" s="11">
        <f t="shared" si="27"/>
        <v>5</v>
      </c>
    </row>
    <row r="1761" spans="1:14" ht="16" x14ac:dyDescent="0.2">
      <c r="A1761" s="3">
        <v>43750.377464702273</v>
      </c>
      <c r="B1761" s="1" t="s">
        <v>2121</v>
      </c>
      <c r="C1761" t="s">
        <v>185</v>
      </c>
      <c r="D1761">
        <v>2</v>
      </c>
      <c r="E1761">
        <v>146</v>
      </c>
      <c r="F1761">
        <v>73</v>
      </c>
      <c r="G1761">
        <v>292</v>
      </c>
      <c r="H1761" s="4">
        <v>146</v>
      </c>
      <c r="I1761" s="4">
        <v>146</v>
      </c>
      <c r="J1761" t="s">
        <v>576</v>
      </c>
      <c r="K1761" t="s">
        <v>33</v>
      </c>
      <c r="L1761" s="4">
        <v>11.769937929618399</v>
      </c>
      <c r="M1761" s="1" t="s">
        <v>54</v>
      </c>
      <c r="N1761" s="11">
        <f t="shared" si="27"/>
        <v>10</v>
      </c>
    </row>
    <row r="1762" spans="1:14" ht="16" x14ac:dyDescent="0.2">
      <c r="A1762" s="3">
        <v>44248.776287484223</v>
      </c>
      <c r="B1762" s="1" t="s">
        <v>2122</v>
      </c>
      <c r="C1762" t="s">
        <v>163</v>
      </c>
      <c r="D1762">
        <v>16</v>
      </c>
      <c r="E1762">
        <v>108</v>
      </c>
      <c r="F1762">
        <v>36</v>
      </c>
      <c r="G1762">
        <v>1728</v>
      </c>
      <c r="H1762" s="4">
        <v>576</v>
      </c>
      <c r="I1762" s="4">
        <v>1152</v>
      </c>
      <c r="J1762" t="s">
        <v>587</v>
      </c>
      <c r="K1762" t="s">
        <v>49</v>
      </c>
      <c r="L1762" s="4">
        <v>14.760829371220243</v>
      </c>
      <c r="M1762" s="1" t="s">
        <v>38</v>
      </c>
      <c r="N1762" s="11">
        <f t="shared" si="27"/>
        <v>5</v>
      </c>
    </row>
    <row r="1763" spans="1:14" ht="16" x14ac:dyDescent="0.2">
      <c r="A1763" s="3">
        <v>44262.255308336076</v>
      </c>
      <c r="B1763" s="1" t="s">
        <v>2123</v>
      </c>
      <c r="C1763" t="s">
        <v>283</v>
      </c>
      <c r="D1763">
        <v>11</v>
      </c>
      <c r="E1763">
        <v>144</v>
      </c>
      <c r="F1763">
        <v>36</v>
      </c>
      <c r="G1763">
        <v>1584</v>
      </c>
      <c r="H1763" s="4">
        <v>396</v>
      </c>
      <c r="I1763" s="4">
        <v>1188</v>
      </c>
      <c r="J1763" t="s">
        <v>446</v>
      </c>
      <c r="K1763" t="s">
        <v>53</v>
      </c>
      <c r="L1763" s="4">
        <v>12.85215703546821</v>
      </c>
      <c r="M1763" s="1" t="s">
        <v>38</v>
      </c>
      <c r="N1763" s="11">
        <f t="shared" si="27"/>
        <v>5</v>
      </c>
    </row>
    <row r="1764" spans="1:14" ht="16" x14ac:dyDescent="0.2">
      <c r="A1764" s="3">
        <v>42748.614394642842</v>
      </c>
      <c r="B1764" s="1" t="s">
        <v>2124</v>
      </c>
      <c r="C1764" t="s">
        <v>425</v>
      </c>
      <c r="D1764">
        <v>2</v>
      </c>
      <c r="E1764">
        <v>352</v>
      </c>
      <c r="F1764">
        <v>88</v>
      </c>
      <c r="G1764">
        <v>704</v>
      </c>
      <c r="H1764" s="4">
        <v>176</v>
      </c>
      <c r="I1764" s="4">
        <v>528</v>
      </c>
      <c r="J1764" t="s">
        <v>851</v>
      </c>
      <c r="K1764" t="s">
        <v>49</v>
      </c>
      <c r="L1764" s="4">
        <v>9.5176115401380308</v>
      </c>
      <c r="M1764" s="1" t="s">
        <v>38</v>
      </c>
      <c r="N1764" s="11">
        <f t="shared" si="27"/>
        <v>5</v>
      </c>
    </row>
    <row r="1765" spans="1:14" ht="16" x14ac:dyDescent="0.2">
      <c r="A1765" s="3">
        <v>43940.74746398913</v>
      </c>
      <c r="B1765" s="1" t="s">
        <v>2125</v>
      </c>
      <c r="C1765" t="s">
        <v>420</v>
      </c>
      <c r="D1765">
        <v>11</v>
      </c>
      <c r="E1765">
        <v>162</v>
      </c>
      <c r="F1765">
        <v>54</v>
      </c>
      <c r="G1765">
        <v>1782</v>
      </c>
      <c r="H1765" s="4">
        <v>594</v>
      </c>
      <c r="I1765" s="4">
        <v>1188</v>
      </c>
      <c r="J1765" t="s">
        <v>640</v>
      </c>
      <c r="K1765" t="s">
        <v>53</v>
      </c>
      <c r="L1765" s="4">
        <v>8.7741864171993527</v>
      </c>
      <c r="M1765" s="1" t="s">
        <v>54</v>
      </c>
      <c r="N1765" s="11">
        <f t="shared" si="27"/>
        <v>10</v>
      </c>
    </row>
    <row r="1766" spans="1:14" ht="16" x14ac:dyDescent="0.2">
      <c r="A1766" s="3">
        <v>44741.799900632817</v>
      </c>
      <c r="B1766" s="1" t="s">
        <v>2126</v>
      </c>
      <c r="C1766" t="s">
        <v>44</v>
      </c>
      <c r="D1766">
        <v>14</v>
      </c>
      <c r="E1766">
        <v>114</v>
      </c>
      <c r="F1766">
        <v>57</v>
      </c>
      <c r="G1766">
        <v>1596</v>
      </c>
      <c r="H1766" s="4">
        <v>798</v>
      </c>
      <c r="I1766" s="4">
        <v>798</v>
      </c>
      <c r="J1766" t="s">
        <v>359</v>
      </c>
      <c r="K1766" t="s">
        <v>64</v>
      </c>
      <c r="L1766" s="4">
        <v>11.970975110943924</v>
      </c>
      <c r="M1766" s="1" t="s">
        <v>38</v>
      </c>
      <c r="N1766" s="11">
        <f t="shared" si="27"/>
        <v>5</v>
      </c>
    </row>
    <row r="1767" spans="1:14" ht="16" x14ac:dyDescent="0.2">
      <c r="A1767" s="3">
        <v>43470.689196785082</v>
      </c>
      <c r="B1767" s="1" t="s">
        <v>2127</v>
      </c>
      <c r="C1767" t="s">
        <v>101</v>
      </c>
      <c r="D1767">
        <v>16</v>
      </c>
      <c r="E1767">
        <v>50</v>
      </c>
      <c r="F1767">
        <v>25</v>
      </c>
      <c r="G1767">
        <v>800</v>
      </c>
      <c r="H1767" s="4">
        <v>400</v>
      </c>
      <c r="I1767" s="4">
        <v>400</v>
      </c>
      <c r="J1767" t="s">
        <v>477</v>
      </c>
      <c r="K1767" t="s">
        <v>53</v>
      </c>
      <c r="L1767" s="4">
        <v>14.845213075061906</v>
      </c>
      <c r="M1767" s="1" t="s">
        <v>38</v>
      </c>
      <c r="N1767" s="11">
        <f t="shared" si="27"/>
        <v>5</v>
      </c>
    </row>
    <row r="1768" spans="1:14" ht="16" x14ac:dyDescent="0.2">
      <c r="A1768" s="3">
        <v>44128.881308143456</v>
      </c>
      <c r="B1768" s="1" t="s">
        <v>2128</v>
      </c>
      <c r="C1768" t="s">
        <v>125</v>
      </c>
      <c r="D1768">
        <v>7</v>
      </c>
      <c r="E1768">
        <v>176</v>
      </c>
      <c r="F1768">
        <v>88</v>
      </c>
      <c r="G1768">
        <v>1232</v>
      </c>
      <c r="H1768" s="4">
        <v>616</v>
      </c>
      <c r="I1768" s="4">
        <v>616</v>
      </c>
      <c r="J1768" t="s">
        <v>230</v>
      </c>
      <c r="K1768" t="s">
        <v>42</v>
      </c>
      <c r="L1768" s="4">
        <v>12.172922939334034</v>
      </c>
      <c r="M1768" s="1" t="s">
        <v>38</v>
      </c>
      <c r="N1768" s="11">
        <f t="shared" si="27"/>
        <v>5</v>
      </c>
    </row>
    <row r="1769" spans="1:14" ht="16" x14ac:dyDescent="0.2">
      <c r="A1769" s="3">
        <v>44817.150025713127</v>
      </c>
      <c r="B1769" s="1" t="s">
        <v>2129</v>
      </c>
      <c r="C1769" t="s">
        <v>370</v>
      </c>
      <c r="D1769">
        <v>4</v>
      </c>
      <c r="E1769">
        <v>144</v>
      </c>
      <c r="F1769">
        <v>36</v>
      </c>
      <c r="G1769">
        <v>576</v>
      </c>
      <c r="H1769" s="4">
        <v>144</v>
      </c>
      <c r="I1769" s="4">
        <v>432</v>
      </c>
      <c r="J1769" t="s">
        <v>802</v>
      </c>
      <c r="K1769" t="s">
        <v>58</v>
      </c>
      <c r="L1769" s="4">
        <v>11.943192562152261</v>
      </c>
      <c r="M1769" s="1" t="s">
        <v>54</v>
      </c>
      <c r="N1769" s="11">
        <f t="shared" si="27"/>
        <v>10</v>
      </c>
    </row>
    <row r="1770" spans="1:14" ht="16" x14ac:dyDescent="0.2">
      <c r="A1770" s="3">
        <v>42997.8415656785</v>
      </c>
      <c r="B1770" s="1" t="s">
        <v>2130</v>
      </c>
      <c r="C1770" t="s">
        <v>386</v>
      </c>
      <c r="D1770">
        <v>17</v>
      </c>
      <c r="E1770">
        <v>110</v>
      </c>
      <c r="F1770">
        <v>55</v>
      </c>
      <c r="G1770">
        <v>1870</v>
      </c>
      <c r="H1770" s="4">
        <v>935</v>
      </c>
      <c r="I1770" s="4">
        <v>935</v>
      </c>
      <c r="J1770" t="s">
        <v>210</v>
      </c>
      <c r="K1770" t="s">
        <v>58</v>
      </c>
      <c r="L1770" s="4">
        <v>11.995406972581796</v>
      </c>
      <c r="M1770" s="1" t="s">
        <v>38</v>
      </c>
      <c r="N1770" s="11">
        <f t="shared" si="27"/>
        <v>5</v>
      </c>
    </row>
    <row r="1771" spans="1:14" ht="16" x14ac:dyDescent="0.2">
      <c r="A1771" s="3">
        <v>44303.390906049957</v>
      </c>
      <c r="B1771" s="1" t="s">
        <v>2131</v>
      </c>
      <c r="C1771" t="s">
        <v>36</v>
      </c>
      <c r="D1771">
        <v>19</v>
      </c>
      <c r="E1771">
        <v>102</v>
      </c>
      <c r="F1771">
        <v>51</v>
      </c>
      <c r="G1771">
        <v>1938</v>
      </c>
      <c r="H1771" s="4">
        <v>969</v>
      </c>
      <c r="I1771" s="4">
        <v>969</v>
      </c>
      <c r="J1771" t="s">
        <v>474</v>
      </c>
      <c r="K1771" t="s">
        <v>33</v>
      </c>
      <c r="L1771" s="4">
        <v>9.629298039722805</v>
      </c>
      <c r="M1771" s="1" t="s">
        <v>34</v>
      </c>
      <c r="N1771" s="11">
        <f t="shared" si="27"/>
        <v>1</v>
      </c>
    </row>
    <row r="1772" spans="1:14" ht="16" x14ac:dyDescent="0.2">
      <c r="A1772" s="3">
        <v>44082.398101462408</v>
      </c>
      <c r="B1772" s="1" t="s">
        <v>2132</v>
      </c>
      <c r="C1772" t="s">
        <v>425</v>
      </c>
      <c r="D1772">
        <v>8</v>
      </c>
      <c r="E1772">
        <v>352</v>
      </c>
      <c r="F1772">
        <v>88</v>
      </c>
      <c r="G1772">
        <v>2816</v>
      </c>
      <c r="H1772" s="4">
        <v>704</v>
      </c>
      <c r="I1772" s="4">
        <v>2112</v>
      </c>
      <c r="J1772" t="s">
        <v>406</v>
      </c>
      <c r="K1772" t="s">
        <v>58</v>
      </c>
      <c r="L1772" s="4">
        <v>11.082295381980092</v>
      </c>
      <c r="M1772" s="1" t="s">
        <v>38</v>
      </c>
      <c r="N1772" s="11">
        <f t="shared" si="27"/>
        <v>5</v>
      </c>
    </row>
    <row r="1773" spans="1:14" ht="16" x14ac:dyDescent="0.2">
      <c r="A1773" s="3">
        <v>43761.948741184293</v>
      </c>
      <c r="B1773" s="1" t="s">
        <v>2133</v>
      </c>
      <c r="C1773" t="s">
        <v>583</v>
      </c>
      <c r="D1773">
        <v>18</v>
      </c>
      <c r="E1773">
        <v>57</v>
      </c>
      <c r="F1773">
        <v>19</v>
      </c>
      <c r="G1773">
        <v>1026</v>
      </c>
      <c r="H1773" s="4">
        <v>342</v>
      </c>
      <c r="I1773" s="4">
        <v>684</v>
      </c>
      <c r="J1773" t="s">
        <v>1138</v>
      </c>
      <c r="K1773" t="s">
        <v>64</v>
      </c>
      <c r="L1773" s="4">
        <v>13.601235361661526</v>
      </c>
      <c r="M1773" s="1" t="s">
        <v>38</v>
      </c>
      <c r="N1773" s="11">
        <f t="shared" si="27"/>
        <v>5</v>
      </c>
    </row>
    <row r="1774" spans="1:14" ht="16" x14ac:dyDescent="0.2">
      <c r="A1774" s="3">
        <v>44388.248958061668</v>
      </c>
      <c r="B1774" s="1" t="s">
        <v>2134</v>
      </c>
      <c r="C1774" t="s">
        <v>503</v>
      </c>
      <c r="D1774">
        <v>15</v>
      </c>
      <c r="E1774">
        <v>50</v>
      </c>
      <c r="F1774">
        <v>25</v>
      </c>
      <c r="G1774">
        <v>750</v>
      </c>
      <c r="H1774" s="4">
        <v>375</v>
      </c>
      <c r="I1774" s="4">
        <v>375</v>
      </c>
      <c r="J1774" t="s">
        <v>528</v>
      </c>
      <c r="K1774" t="s">
        <v>33</v>
      </c>
      <c r="L1774" s="4">
        <v>11.003496633574638</v>
      </c>
      <c r="M1774" s="1" t="s">
        <v>34</v>
      </c>
      <c r="N1774" s="11">
        <f t="shared" si="27"/>
        <v>1</v>
      </c>
    </row>
    <row r="1775" spans="1:14" ht="16" x14ac:dyDescent="0.2">
      <c r="A1775" s="3">
        <v>44696.640441289783</v>
      </c>
      <c r="B1775" s="1" t="s">
        <v>2135</v>
      </c>
      <c r="C1775" t="s">
        <v>276</v>
      </c>
      <c r="D1775">
        <v>9</v>
      </c>
      <c r="E1775">
        <v>57</v>
      </c>
      <c r="F1775">
        <v>19</v>
      </c>
      <c r="G1775">
        <v>513</v>
      </c>
      <c r="H1775" s="4">
        <v>171</v>
      </c>
      <c r="I1775" s="4">
        <v>342</v>
      </c>
      <c r="J1775" t="s">
        <v>815</v>
      </c>
      <c r="K1775" t="s">
        <v>33</v>
      </c>
      <c r="L1775" s="4">
        <v>16.254955391951082</v>
      </c>
      <c r="M1775" s="1" t="s">
        <v>38</v>
      </c>
      <c r="N1775" s="11">
        <f t="shared" si="27"/>
        <v>5</v>
      </c>
    </row>
    <row r="1776" spans="1:14" ht="16" x14ac:dyDescent="0.2">
      <c r="A1776" s="3">
        <v>43761.681740108957</v>
      </c>
      <c r="B1776" s="1" t="s">
        <v>2136</v>
      </c>
      <c r="C1776" t="s">
        <v>252</v>
      </c>
      <c r="D1776">
        <v>3</v>
      </c>
      <c r="E1776">
        <v>252</v>
      </c>
      <c r="F1776">
        <v>63</v>
      </c>
      <c r="G1776">
        <v>756</v>
      </c>
      <c r="H1776" s="4">
        <v>189</v>
      </c>
      <c r="I1776" s="4">
        <v>567</v>
      </c>
      <c r="J1776" t="s">
        <v>535</v>
      </c>
      <c r="K1776" t="s">
        <v>33</v>
      </c>
      <c r="L1776" s="4">
        <v>14.554851510602212</v>
      </c>
      <c r="M1776" s="1" t="s">
        <v>34</v>
      </c>
      <c r="N1776" s="11">
        <f t="shared" si="27"/>
        <v>1</v>
      </c>
    </row>
    <row r="1777" spans="1:14" ht="16" x14ac:dyDescent="0.2">
      <c r="A1777" s="3">
        <v>44431.369452908977</v>
      </c>
      <c r="B1777" s="1" t="s">
        <v>2137</v>
      </c>
      <c r="C1777" t="s">
        <v>410</v>
      </c>
      <c r="D1777">
        <v>4</v>
      </c>
      <c r="E1777">
        <v>84</v>
      </c>
      <c r="F1777">
        <v>21</v>
      </c>
      <c r="G1777">
        <v>336</v>
      </c>
      <c r="H1777" s="4">
        <v>84</v>
      </c>
      <c r="I1777" s="4">
        <v>252</v>
      </c>
      <c r="J1777" t="s">
        <v>432</v>
      </c>
      <c r="K1777" t="s">
        <v>49</v>
      </c>
      <c r="L1777" s="4">
        <v>13.857835104514242</v>
      </c>
      <c r="M1777" s="1" t="s">
        <v>54</v>
      </c>
      <c r="N1777" s="11">
        <f t="shared" si="27"/>
        <v>10</v>
      </c>
    </row>
    <row r="1778" spans="1:14" ht="16" x14ac:dyDescent="0.2">
      <c r="A1778" s="3">
        <v>43579.954148299083</v>
      </c>
      <c r="B1778" s="1" t="s">
        <v>2138</v>
      </c>
      <c r="C1778" t="s">
        <v>425</v>
      </c>
      <c r="D1778">
        <v>10</v>
      </c>
      <c r="E1778">
        <v>352</v>
      </c>
      <c r="F1778">
        <v>88</v>
      </c>
      <c r="G1778">
        <v>3520</v>
      </c>
      <c r="H1778" s="4">
        <v>880</v>
      </c>
      <c r="I1778" s="4">
        <v>2640</v>
      </c>
      <c r="J1778" t="s">
        <v>281</v>
      </c>
      <c r="K1778" t="s">
        <v>33</v>
      </c>
      <c r="L1778" s="4">
        <v>11.428575823958646</v>
      </c>
      <c r="M1778" s="1" t="s">
        <v>38</v>
      </c>
      <c r="N1778" s="11">
        <f t="shared" si="27"/>
        <v>5</v>
      </c>
    </row>
    <row r="1779" spans="1:14" ht="16" x14ac:dyDescent="0.2">
      <c r="A1779" s="3">
        <v>43773.924176850916</v>
      </c>
      <c r="B1779" s="1" t="s">
        <v>2139</v>
      </c>
      <c r="C1779" t="s">
        <v>503</v>
      </c>
      <c r="D1779">
        <v>11</v>
      </c>
      <c r="E1779">
        <v>50</v>
      </c>
      <c r="F1779">
        <v>25</v>
      </c>
      <c r="G1779">
        <v>550</v>
      </c>
      <c r="H1779" s="4">
        <v>275</v>
      </c>
      <c r="I1779" s="4">
        <v>275</v>
      </c>
      <c r="J1779" t="s">
        <v>469</v>
      </c>
      <c r="K1779" t="s">
        <v>64</v>
      </c>
      <c r="L1779" s="4">
        <v>7.9963422143733238</v>
      </c>
      <c r="M1779" s="1" t="s">
        <v>38</v>
      </c>
      <c r="N1779" s="11">
        <f t="shared" si="27"/>
        <v>5</v>
      </c>
    </row>
    <row r="1780" spans="1:14" ht="16" x14ac:dyDescent="0.2">
      <c r="A1780" s="3">
        <v>44431.08393677602</v>
      </c>
      <c r="B1780" s="1" t="s">
        <v>2140</v>
      </c>
      <c r="C1780" t="s">
        <v>36</v>
      </c>
      <c r="D1780">
        <v>18</v>
      </c>
      <c r="E1780">
        <v>102</v>
      </c>
      <c r="F1780">
        <v>51</v>
      </c>
      <c r="G1780">
        <v>1836</v>
      </c>
      <c r="H1780" s="4">
        <v>918</v>
      </c>
      <c r="I1780" s="4">
        <v>918</v>
      </c>
      <c r="J1780" t="s">
        <v>471</v>
      </c>
      <c r="K1780" t="s">
        <v>58</v>
      </c>
      <c r="L1780" s="4">
        <v>10.764293826791503</v>
      </c>
      <c r="M1780" s="1" t="s">
        <v>38</v>
      </c>
      <c r="N1780" s="11">
        <f t="shared" si="27"/>
        <v>5</v>
      </c>
    </row>
    <row r="1781" spans="1:14" ht="16" x14ac:dyDescent="0.2">
      <c r="A1781" s="3">
        <v>44093.815723842134</v>
      </c>
      <c r="B1781" s="1" t="s">
        <v>2141</v>
      </c>
      <c r="C1781" t="s">
        <v>204</v>
      </c>
      <c r="D1781">
        <v>14</v>
      </c>
      <c r="E1781">
        <v>57</v>
      </c>
      <c r="F1781">
        <v>19</v>
      </c>
      <c r="G1781">
        <v>798</v>
      </c>
      <c r="H1781" s="4">
        <v>266</v>
      </c>
      <c r="I1781" s="4">
        <v>532</v>
      </c>
      <c r="J1781" t="s">
        <v>854</v>
      </c>
      <c r="K1781" t="s">
        <v>58</v>
      </c>
      <c r="L1781" s="4">
        <v>12.990345718839325</v>
      </c>
      <c r="M1781" s="1" t="s">
        <v>38</v>
      </c>
      <c r="N1781" s="11">
        <f t="shared" si="27"/>
        <v>5</v>
      </c>
    </row>
    <row r="1782" spans="1:14" ht="16" x14ac:dyDescent="0.2">
      <c r="A1782" s="3">
        <v>44725.442742435611</v>
      </c>
      <c r="B1782" s="1" t="s">
        <v>2142</v>
      </c>
      <c r="C1782" t="s">
        <v>788</v>
      </c>
      <c r="D1782">
        <v>2</v>
      </c>
      <c r="E1782">
        <v>100</v>
      </c>
      <c r="F1782">
        <v>25</v>
      </c>
      <c r="G1782">
        <v>200</v>
      </c>
      <c r="H1782" s="4">
        <v>50</v>
      </c>
      <c r="I1782" s="4">
        <v>150</v>
      </c>
      <c r="J1782" t="s">
        <v>315</v>
      </c>
      <c r="K1782" t="s">
        <v>42</v>
      </c>
      <c r="L1782" s="4">
        <v>10.966283117837653</v>
      </c>
      <c r="M1782" s="1" t="s">
        <v>38</v>
      </c>
      <c r="N1782" s="11">
        <f t="shared" si="27"/>
        <v>5</v>
      </c>
    </row>
    <row r="1783" spans="1:14" ht="16" x14ac:dyDescent="0.2">
      <c r="A1783" s="3">
        <v>43784.946522744773</v>
      </c>
      <c r="B1783" s="1" t="s">
        <v>2143</v>
      </c>
      <c r="C1783" t="s">
        <v>47</v>
      </c>
      <c r="D1783">
        <v>13</v>
      </c>
      <c r="E1783">
        <v>231</v>
      </c>
      <c r="F1783">
        <v>77</v>
      </c>
      <c r="G1783">
        <v>3003</v>
      </c>
      <c r="H1783" s="4">
        <v>1001</v>
      </c>
      <c r="I1783" s="4">
        <v>2002</v>
      </c>
      <c r="J1783" t="s">
        <v>79</v>
      </c>
      <c r="K1783" t="s">
        <v>64</v>
      </c>
      <c r="L1783" s="4">
        <v>12.163730387337393</v>
      </c>
      <c r="M1783" s="1" t="s">
        <v>54</v>
      </c>
      <c r="N1783" s="11">
        <f t="shared" si="27"/>
        <v>10</v>
      </c>
    </row>
    <row r="1784" spans="1:14" ht="16" x14ac:dyDescent="0.2">
      <c r="A1784" s="3">
        <v>43472.951600257089</v>
      </c>
      <c r="B1784" s="1" t="s">
        <v>2144</v>
      </c>
      <c r="C1784" t="s">
        <v>788</v>
      </c>
      <c r="D1784">
        <v>12</v>
      </c>
      <c r="E1784">
        <v>100</v>
      </c>
      <c r="F1784">
        <v>25</v>
      </c>
      <c r="G1784">
        <v>1200</v>
      </c>
      <c r="H1784" s="4">
        <v>300</v>
      </c>
      <c r="I1784" s="4">
        <v>900</v>
      </c>
      <c r="J1784" t="s">
        <v>701</v>
      </c>
      <c r="K1784" t="s">
        <v>42</v>
      </c>
      <c r="L1784" s="4">
        <v>10.434860153112215</v>
      </c>
      <c r="M1784" s="1" t="s">
        <v>34</v>
      </c>
      <c r="N1784" s="11">
        <f t="shared" si="27"/>
        <v>1</v>
      </c>
    </row>
    <row r="1785" spans="1:14" ht="16" x14ac:dyDescent="0.2">
      <c r="A1785" s="3">
        <v>44643.580242162512</v>
      </c>
      <c r="B1785" s="1" t="s">
        <v>2145</v>
      </c>
      <c r="C1785" t="s">
        <v>188</v>
      </c>
      <c r="D1785">
        <v>5</v>
      </c>
      <c r="E1785">
        <v>368</v>
      </c>
      <c r="F1785">
        <v>92</v>
      </c>
      <c r="G1785">
        <v>1840</v>
      </c>
      <c r="H1785" s="4">
        <v>460</v>
      </c>
      <c r="I1785" s="4">
        <v>1380</v>
      </c>
      <c r="J1785" t="s">
        <v>1358</v>
      </c>
      <c r="K1785" t="s">
        <v>86</v>
      </c>
      <c r="L1785" s="4">
        <v>13.811876869930865</v>
      </c>
      <c r="M1785" s="1" t="s">
        <v>54</v>
      </c>
      <c r="N1785" s="11">
        <f t="shared" si="27"/>
        <v>10</v>
      </c>
    </row>
    <row r="1786" spans="1:14" ht="16" x14ac:dyDescent="0.2">
      <c r="A1786" s="3">
        <v>44441.453950093914</v>
      </c>
      <c r="B1786" s="1" t="s">
        <v>2146</v>
      </c>
      <c r="C1786" t="s">
        <v>218</v>
      </c>
      <c r="D1786">
        <v>5</v>
      </c>
      <c r="E1786">
        <v>264</v>
      </c>
      <c r="F1786">
        <v>88</v>
      </c>
      <c r="G1786">
        <v>1320</v>
      </c>
      <c r="H1786" s="4">
        <v>440</v>
      </c>
      <c r="I1786" s="4">
        <v>880</v>
      </c>
      <c r="J1786" t="s">
        <v>506</v>
      </c>
      <c r="K1786" t="s">
        <v>33</v>
      </c>
      <c r="L1786" s="4">
        <v>13.917704159139552</v>
      </c>
      <c r="M1786" s="1" t="s">
        <v>54</v>
      </c>
      <c r="N1786" s="11">
        <f t="shared" si="27"/>
        <v>10</v>
      </c>
    </row>
    <row r="1787" spans="1:14" ht="16" x14ac:dyDescent="0.2">
      <c r="A1787" s="3">
        <v>43767.954722931492</v>
      </c>
      <c r="B1787" s="1" t="s">
        <v>2147</v>
      </c>
      <c r="C1787" t="s">
        <v>218</v>
      </c>
      <c r="D1787">
        <v>1</v>
      </c>
      <c r="E1787">
        <v>264</v>
      </c>
      <c r="F1787">
        <v>88</v>
      </c>
      <c r="G1787">
        <v>264</v>
      </c>
      <c r="H1787" s="4">
        <v>88</v>
      </c>
      <c r="I1787" s="4">
        <v>176</v>
      </c>
      <c r="J1787" t="s">
        <v>1379</v>
      </c>
      <c r="K1787" t="s">
        <v>86</v>
      </c>
      <c r="L1787" s="4">
        <v>14.157909724393564</v>
      </c>
      <c r="M1787" s="1" t="s">
        <v>54</v>
      </c>
      <c r="N1787" s="11">
        <f t="shared" si="27"/>
        <v>10</v>
      </c>
    </row>
    <row r="1788" spans="1:14" ht="16" x14ac:dyDescent="0.2">
      <c r="A1788" s="3">
        <v>44208.212610839735</v>
      </c>
      <c r="B1788" s="1" t="s">
        <v>2148</v>
      </c>
      <c r="C1788" t="s">
        <v>259</v>
      </c>
      <c r="D1788">
        <v>5</v>
      </c>
      <c r="E1788">
        <v>270</v>
      </c>
      <c r="F1788">
        <v>90</v>
      </c>
      <c r="G1788">
        <v>1350</v>
      </c>
      <c r="H1788" s="4">
        <v>450</v>
      </c>
      <c r="I1788" s="4">
        <v>900</v>
      </c>
      <c r="J1788" t="s">
        <v>882</v>
      </c>
      <c r="K1788" t="s">
        <v>64</v>
      </c>
      <c r="L1788" s="4">
        <v>12.701325659159139</v>
      </c>
      <c r="M1788" s="1" t="s">
        <v>38</v>
      </c>
      <c r="N1788" s="11">
        <f t="shared" si="27"/>
        <v>5</v>
      </c>
    </row>
    <row r="1789" spans="1:14" ht="16" x14ac:dyDescent="0.2">
      <c r="A1789" s="3">
        <v>42968.904773158843</v>
      </c>
      <c r="B1789" s="1" t="s">
        <v>2149</v>
      </c>
      <c r="C1789" t="s">
        <v>51</v>
      </c>
      <c r="D1789">
        <v>2</v>
      </c>
      <c r="E1789">
        <v>160</v>
      </c>
      <c r="F1789">
        <v>80</v>
      </c>
      <c r="G1789">
        <v>320</v>
      </c>
      <c r="H1789" s="4">
        <v>160</v>
      </c>
      <c r="I1789" s="4">
        <v>160</v>
      </c>
      <c r="J1789" t="s">
        <v>1068</v>
      </c>
      <c r="K1789" t="s">
        <v>42</v>
      </c>
      <c r="L1789" s="4">
        <v>8.1352386075080023</v>
      </c>
      <c r="M1789" s="1" t="s">
        <v>38</v>
      </c>
      <c r="N1789" s="11">
        <f t="shared" si="27"/>
        <v>5</v>
      </c>
    </row>
    <row r="1790" spans="1:14" ht="16" x14ac:dyDescent="0.2">
      <c r="A1790" s="3">
        <v>43383.231023527842</v>
      </c>
      <c r="B1790" s="1" t="s">
        <v>2150</v>
      </c>
      <c r="C1790" t="s">
        <v>283</v>
      </c>
      <c r="D1790">
        <v>7</v>
      </c>
      <c r="E1790">
        <v>144</v>
      </c>
      <c r="F1790">
        <v>36</v>
      </c>
      <c r="G1790">
        <v>1008</v>
      </c>
      <c r="H1790" s="4">
        <v>252</v>
      </c>
      <c r="I1790" s="4">
        <v>756</v>
      </c>
      <c r="J1790" t="s">
        <v>879</v>
      </c>
      <c r="K1790" t="s">
        <v>42</v>
      </c>
      <c r="L1790" s="4">
        <v>12.37474961859551</v>
      </c>
      <c r="M1790" s="1" t="s">
        <v>38</v>
      </c>
      <c r="N1790" s="11">
        <f t="shared" si="27"/>
        <v>5</v>
      </c>
    </row>
    <row r="1791" spans="1:14" ht="16" x14ac:dyDescent="0.2">
      <c r="A1791" s="3">
        <v>43547.659096267715</v>
      </c>
      <c r="B1791" s="1" t="s">
        <v>2151</v>
      </c>
      <c r="C1791" t="s">
        <v>473</v>
      </c>
      <c r="D1791">
        <v>1</v>
      </c>
      <c r="E1791">
        <v>72</v>
      </c>
      <c r="F1791">
        <v>36</v>
      </c>
      <c r="G1791">
        <v>72</v>
      </c>
      <c r="H1791" s="4">
        <v>36</v>
      </c>
      <c r="I1791" s="4">
        <v>36</v>
      </c>
      <c r="J1791" t="s">
        <v>363</v>
      </c>
      <c r="K1791" t="s">
        <v>64</v>
      </c>
      <c r="L1791" s="4">
        <v>14.690198582365463</v>
      </c>
      <c r="M1791" s="1" t="s">
        <v>54</v>
      </c>
      <c r="N1791" s="11">
        <f t="shared" si="27"/>
        <v>10</v>
      </c>
    </row>
    <row r="1792" spans="1:14" ht="16" x14ac:dyDescent="0.2">
      <c r="A1792" s="3">
        <v>44631.114331247663</v>
      </c>
      <c r="B1792" s="1" t="s">
        <v>2152</v>
      </c>
      <c r="C1792" t="s">
        <v>110</v>
      </c>
      <c r="D1792">
        <v>8</v>
      </c>
      <c r="E1792">
        <v>144</v>
      </c>
      <c r="F1792">
        <v>36</v>
      </c>
      <c r="G1792">
        <v>1152</v>
      </c>
      <c r="H1792" s="4">
        <v>288</v>
      </c>
      <c r="I1792" s="4">
        <v>864</v>
      </c>
      <c r="J1792" t="s">
        <v>498</v>
      </c>
      <c r="K1792" t="s">
        <v>58</v>
      </c>
      <c r="L1792" s="4">
        <v>8.0758315802191021</v>
      </c>
      <c r="M1792" s="1" t="s">
        <v>54</v>
      </c>
      <c r="N1792" s="11">
        <f t="shared" si="27"/>
        <v>10</v>
      </c>
    </row>
    <row r="1793" spans="1:14" ht="16" x14ac:dyDescent="0.2">
      <c r="A1793" s="3">
        <v>44103.161845541974</v>
      </c>
      <c r="B1793" s="1" t="s">
        <v>2153</v>
      </c>
      <c r="C1793" t="s">
        <v>145</v>
      </c>
      <c r="D1793">
        <v>12</v>
      </c>
      <c r="E1793">
        <v>207</v>
      </c>
      <c r="F1793">
        <v>69</v>
      </c>
      <c r="G1793">
        <v>2484</v>
      </c>
      <c r="H1793" s="4">
        <v>828</v>
      </c>
      <c r="I1793" s="4">
        <v>1656</v>
      </c>
      <c r="J1793" t="s">
        <v>116</v>
      </c>
      <c r="K1793" t="s">
        <v>64</v>
      </c>
      <c r="L1793" s="4">
        <v>14.697745043716761</v>
      </c>
      <c r="M1793" s="1" t="s">
        <v>34</v>
      </c>
      <c r="N1793" s="11">
        <f t="shared" si="27"/>
        <v>1</v>
      </c>
    </row>
    <row r="1794" spans="1:14" ht="16" x14ac:dyDescent="0.2">
      <c r="A1794" s="3">
        <v>44062.873179811941</v>
      </c>
      <c r="B1794" s="1" t="s">
        <v>2154</v>
      </c>
      <c r="C1794" t="s">
        <v>299</v>
      </c>
      <c r="D1794">
        <v>2</v>
      </c>
      <c r="E1794">
        <v>225</v>
      </c>
      <c r="F1794">
        <v>75</v>
      </c>
      <c r="G1794">
        <v>450</v>
      </c>
      <c r="H1794" s="4">
        <v>150</v>
      </c>
      <c r="I1794" s="4">
        <v>300</v>
      </c>
      <c r="J1794" t="s">
        <v>197</v>
      </c>
      <c r="K1794" t="s">
        <v>49</v>
      </c>
      <c r="L1794" s="4">
        <v>13.288482149665386</v>
      </c>
      <c r="M1794" s="1" t="s">
        <v>38</v>
      </c>
      <c r="N1794" s="11">
        <f t="shared" si="27"/>
        <v>5</v>
      </c>
    </row>
    <row r="1795" spans="1:14" ht="16" x14ac:dyDescent="0.2">
      <c r="A1795" s="3">
        <v>43535.809669082242</v>
      </c>
      <c r="B1795" s="1" t="s">
        <v>2155</v>
      </c>
      <c r="C1795" t="s">
        <v>386</v>
      </c>
      <c r="D1795">
        <v>11</v>
      </c>
      <c r="E1795">
        <v>110</v>
      </c>
      <c r="F1795">
        <v>55</v>
      </c>
      <c r="G1795">
        <v>1210</v>
      </c>
      <c r="H1795" s="4">
        <v>605</v>
      </c>
      <c r="I1795" s="4">
        <v>605</v>
      </c>
      <c r="J1795" t="s">
        <v>1432</v>
      </c>
      <c r="K1795" t="s">
        <v>53</v>
      </c>
      <c r="L1795" s="4">
        <v>13.2671922973198</v>
      </c>
      <c r="M1795" s="1" t="s">
        <v>54</v>
      </c>
      <c r="N1795" s="11">
        <f t="shared" ref="N1795:N1858" si="28">+IF(M1795="Dissatisfied",1,IF(M1795="Satisfied",10,5))</f>
        <v>10</v>
      </c>
    </row>
    <row r="1796" spans="1:14" ht="16" x14ac:dyDescent="0.2">
      <c r="A1796" s="3">
        <v>44837.334514185161</v>
      </c>
      <c r="B1796" s="1" t="s">
        <v>2156</v>
      </c>
      <c r="C1796" t="s">
        <v>69</v>
      </c>
      <c r="D1796">
        <v>14</v>
      </c>
      <c r="E1796">
        <v>184</v>
      </c>
      <c r="F1796">
        <v>92</v>
      </c>
      <c r="G1796">
        <v>2576</v>
      </c>
      <c r="H1796" s="4">
        <v>1288</v>
      </c>
      <c r="I1796" s="4">
        <v>1288</v>
      </c>
      <c r="J1796" t="s">
        <v>1223</v>
      </c>
      <c r="K1796" t="s">
        <v>53</v>
      </c>
      <c r="L1796" s="4">
        <v>10.428287009858728</v>
      </c>
      <c r="M1796" s="1" t="s">
        <v>34</v>
      </c>
      <c r="N1796" s="11">
        <f t="shared" si="28"/>
        <v>1</v>
      </c>
    </row>
    <row r="1797" spans="1:14" ht="16" x14ac:dyDescent="0.2">
      <c r="A1797" s="3">
        <v>43999.016409133343</v>
      </c>
      <c r="B1797" s="1" t="s">
        <v>2157</v>
      </c>
      <c r="C1797" t="s">
        <v>185</v>
      </c>
      <c r="D1797">
        <v>15</v>
      </c>
      <c r="E1797">
        <v>146</v>
      </c>
      <c r="F1797">
        <v>73</v>
      </c>
      <c r="G1797">
        <v>2190</v>
      </c>
      <c r="H1797" s="4">
        <v>1095</v>
      </c>
      <c r="I1797" s="4">
        <v>1095</v>
      </c>
      <c r="J1797" t="s">
        <v>341</v>
      </c>
      <c r="K1797" t="s">
        <v>64</v>
      </c>
      <c r="L1797" s="4">
        <v>10.816866337473218</v>
      </c>
      <c r="M1797" s="1" t="s">
        <v>54</v>
      </c>
      <c r="N1797" s="11">
        <f t="shared" si="28"/>
        <v>10</v>
      </c>
    </row>
    <row r="1798" spans="1:14" ht="16" x14ac:dyDescent="0.2">
      <c r="A1798" s="3">
        <v>43780.202651047723</v>
      </c>
      <c r="B1798" s="1" t="s">
        <v>2158</v>
      </c>
      <c r="C1798" t="s">
        <v>154</v>
      </c>
      <c r="D1798">
        <v>17</v>
      </c>
      <c r="E1798">
        <v>308</v>
      </c>
      <c r="F1798">
        <v>77</v>
      </c>
      <c r="G1798">
        <v>5236</v>
      </c>
      <c r="H1798" s="4">
        <v>1309</v>
      </c>
      <c r="I1798" s="4">
        <v>3927</v>
      </c>
      <c r="J1798" t="s">
        <v>485</v>
      </c>
      <c r="K1798" t="s">
        <v>49</v>
      </c>
      <c r="L1798" s="4">
        <v>12.889576147248359</v>
      </c>
      <c r="M1798" s="1" t="s">
        <v>38</v>
      </c>
      <c r="N1798" s="11">
        <f t="shared" si="28"/>
        <v>5</v>
      </c>
    </row>
    <row r="1799" spans="1:14" ht="16" x14ac:dyDescent="0.2">
      <c r="A1799" s="3">
        <v>43427.9208377334</v>
      </c>
      <c r="B1799" s="1" t="s">
        <v>2159</v>
      </c>
      <c r="C1799" t="s">
        <v>110</v>
      </c>
      <c r="D1799">
        <v>20</v>
      </c>
      <c r="E1799">
        <v>144</v>
      </c>
      <c r="F1799">
        <v>36</v>
      </c>
      <c r="G1799">
        <v>2880</v>
      </c>
      <c r="H1799" s="4">
        <v>720</v>
      </c>
      <c r="I1799" s="4">
        <v>2160</v>
      </c>
      <c r="J1799" t="s">
        <v>323</v>
      </c>
      <c r="K1799" t="s">
        <v>53</v>
      </c>
      <c r="L1799" s="4">
        <v>11.221666113009938</v>
      </c>
      <c r="M1799" s="1" t="s">
        <v>38</v>
      </c>
      <c r="N1799" s="11">
        <f t="shared" si="28"/>
        <v>5</v>
      </c>
    </row>
    <row r="1800" spans="1:14" ht="16" x14ac:dyDescent="0.2">
      <c r="A1800" s="3">
        <v>45954.998561967324</v>
      </c>
      <c r="B1800" s="1" t="s">
        <v>2160</v>
      </c>
      <c r="C1800" t="s">
        <v>240</v>
      </c>
      <c r="D1800">
        <v>10</v>
      </c>
      <c r="E1800">
        <v>108</v>
      </c>
      <c r="F1800">
        <v>54</v>
      </c>
      <c r="G1800">
        <v>1080</v>
      </c>
      <c r="H1800" s="4">
        <v>540</v>
      </c>
      <c r="I1800" s="4">
        <v>540</v>
      </c>
      <c r="J1800" t="s">
        <v>106</v>
      </c>
      <c r="K1800" t="s">
        <v>42</v>
      </c>
      <c r="L1800" s="4">
        <v>13.717776078041958</v>
      </c>
      <c r="M1800" s="1" t="s">
        <v>38</v>
      </c>
      <c r="N1800" s="11">
        <f t="shared" si="28"/>
        <v>5</v>
      </c>
    </row>
    <row r="1801" spans="1:14" ht="16" x14ac:dyDescent="0.2">
      <c r="A1801" s="3">
        <v>43550.296917368651</v>
      </c>
      <c r="B1801" s="1" t="s">
        <v>2161</v>
      </c>
      <c r="C1801" t="s">
        <v>98</v>
      </c>
      <c r="D1801">
        <v>10</v>
      </c>
      <c r="E1801">
        <v>156</v>
      </c>
      <c r="F1801">
        <v>78</v>
      </c>
      <c r="G1801">
        <v>1560</v>
      </c>
      <c r="H1801" s="4">
        <v>780</v>
      </c>
      <c r="I1801" s="4">
        <v>780</v>
      </c>
      <c r="J1801" t="s">
        <v>152</v>
      </c>
      <c r="K1801" t="s">
        <v>33</v>
      </c>
      <c r="L1801" s="4">
        <v>11.749038185128619</v>
      </c>
      <c r="M1801" s="1" t="s">
        <v>54</v>
      </c>
      <c r="N1801" s="11">
        <f t="shared" si="28"/>
        <v>10</v>
      </c>
    </row>
    <row r="1802" spans="1:14" ht="16" x14ac:dyDescent="0.2">
      <c r="A1802" s="3">
        <v>44867.182703286075</v>
      </c>
      <c r="B1802" s="1" t="s">
        <v>2162</v>
      </c>
      <c r="C1802" t="s">
        <v>188</v>
      </c>
      <c r="D1802">
        <v>13</v>
      </c>
      <c r="E1802">
        <v>368</v>
      </c>
      <c r="F1802">
        <v>92</v>
      </c>
      <c r="G1802">
        <v>4784</v>
      </c>
      <c r="H1802" s="4">
        <v>1196</v>
      </c>
      <c r="I1802" s="4">
        <v>3588</v>
      </c>
      <c r="J1802" t="s">
        <v>856</v>
      </c>
      <c r="K1802" t="s">
        <v>42</v>
      </c>
      <c r="L1802" s="4">
        <v>11.226611755437654</v>
      </c>
      <c r="M1802" s="1" t="s">
        <v>54</v>
      </c>
      <c r="N1802" s="11">
        <f t="shared" si="28"/>
        <v>10</v>
      </c>
    </row>
    <row r="1803" spans="1:14" ht="16" x14ac:dyDescent="0.2">
      <c r="A1803" s="3">
        <v>43617.851208249456</v>
      </c>
      <c r="B1803" s="1" t="s">
        <v>2163</v>
      </c>
      <c r="C1803" t="s">
        <v>257</v>
      </c>
      <c r="D1803">
        <v>19</v>
      </c>
      <c r="E1803">
        <v>160</v>
      </c>
      <c r="F1803">
        <v>80</v>
      </c>
      <c r="G1803">
        <v>3040</v>
      </c>
      <c r="H1803" s="4">
        <v>1520</v>
      </c>
      <c r="I1803" s="4">
        <v>1520</v>
      </c>
      <c r="J1803" t="s">
        <v>513</v>
      </c>
      <c r="K1803" t="s">
        <v>58</v>
      </c>
      <c r="L1803" s="4">
        <v>15.207985888346794</v>
      </c>
      <c r="M1803" s="1" t="s">
        <v>54</v>
      </c>
      <c r="N1803" s="11">
        <f t="shared" si="28"/>
        <v>10</v>
      </c>
    </row>
    <row r="1804" spans="1:14" ht="16" x14ac:dyDescent="0.2">
      <c r="A1804" s="3">
        <v>43960.751745396796</v>
      </c>
      <c r="B1804" s="1" t="s">
        <v>2164</v>
      </c>
      <c r="C1804" t="s">
        <v>51</v>
      </c>
      <c r="D1804">
        <v>8</v>
      </c>
      <c r="E1804">
        <v>160</v>
      </c>
      <c r="F1804">
        <v>80</v>
      </c>
      <c r="G1804">
        <v>1280</v>
      </c>
      <c r="H1804" s="4">
        <v>640</v>
      </c>
      <c r="I1804" s="4">
        <v>640</v>
      </c>
      <c r="J1804" t="s">
        <v>57</v>
      </c>
      <c r="K1804" t="s">
        <v>58</v>
      </c>
      <c r="L1804" s="4">
        <v>11.749993886708426</v>
      </c>
      <c r="M1804" s="1" t="s">
        <v>38</v>
      </c>
      <c r="N1804" s="11">
        <f t="shared" si="28"/>
        <v>5</v>
      </c>
    </row>
    <row r="1805" spans="1:14" ht="16" x14ac:dyDescent="0.2">
      <c r="A1805" s="3">
        <v>43954.243859252041</v>
      </c>
      <c r="B1805" s="1" t="s">
        <v>2165</v>
      </c>
      <c r="C1805" t="s">
        <v>98</v>
      </c>
      <c r="D1805">
        <v>16</v>
      </c>
      <c r="E1805">
        <v>156</v>
      </c>
      <c r="F1805">
        <v>78</v>
      </c>
      <c r="G1805">
        <v>2496</v>
      </c>
      <c r="H1805" s="4">
        <v>1248</v>
      </c>
      <c r="I1805" s="4">
        <v>1248</v>
      </c>
      <c r="J1805" t="s">
        <v>426</v>
      </c>
      <c r="K1805" t="s">
        <v>53</v>
      </c>
      <c r="L1805" s="4">
        <v>13.923194761258239</v>
      </c>
      <c r="M1805" s="1" t="s">
        <v>54</v>
      </c>
      <c r="N1805" s="11">
        <f t="shared" si="28"/>
        <v>10</v>
      </c>
    </row>
    <row r="1806" spans="1:14" ht="16" x14ac:dyDescent="0.2">
      <c r="A1806" s="3">
        <v>44980.422984933532</v>
      </c>
      <c r="B1806" s="1" t="s">
        <v>2166</v>
      </c>
      <c r="C1806" t="s">
        <v>36</v>
      </c>
      <c r="D1806">
        <v>2</v>
      </c>
      <c r="E1806">
        <v>102</v>
      </c>
      <c r="F1806">
        <v>51</v>
      </c>
      <c r="G1806">
        <v>204</v>
      </c>
      <c r="H1806" s="4">
        <v>102</v>
      </c>
      <c r="I1806" s="4">
        <v>102</v>
      </c>
      <c r="J1806" t="s">
        <v>548</v>
      </c>
      <c r="K1806" t="s">
        <v>53</v>
      </c>
      <c r="L1806" s="4">
        <v>16.695690968264284</v>
      </c>
      <c r="M1806" s="1" t="s">
        <v>38</v>
      </c>
      <c r="N1806" s="11">
        <f t="shared" si="28"/>
        <v>5</v>
      </c>
    </row>
    <row r="1807" spans="1:14" ht="16" x14ac:dyDescent="0.2">
      <c r="A1807" s="3">
        <v>43838.597119347076</v>
      </c>
      <c r="B1807" s="1" t="s">
        <v>2167</v>
      </c>
      <c r="C1807" t="s">
        <v>473</v>
      </c>
      <c r="D1807">
        <v>19</v>
      </c>
      <c r="E1807">
        <v>72</v>
      </c>
      <c r="F1807">
        <v>36</v>
      </c>
      <c r="G1807">
        <v>1368</v>
      </c>
      <c r="H1807" s="4">
        <v>684</v>
      </c>
      <c r="I1807" s="4">
        <v>684</v>
      </c>
      <c r="J1807" t="s">
        <v>958</v>
      </c>
      <c r="K1807" t="s">
        <v>58</v>
      </c>
      <c r="L1807" s="4">
        <v>9.1591412531773226</v>
      </c>
      <c r="M1807" s="1" t="s">
        <v>38</v>
      </c>
      <c r="N1807" s="11">
        <f t="shared" si="28"/>
        <v>5</v>
      </c>
    </row>
    <row r="1808" spans="1:14" ht="16" x14ac:dyDescent="0.2">
      <c r="A1808" s="3">
        <v>43610.965363200768</v>
      </c>
      <c r="B1808" s="1" t="s">
        <v>2168</v>
      </c>
      <c r="C1808" t="s">
        <v>583</v>
      </c>
      <c r="D1808">
        <v>11</v>
      </c>
      <c r="E1808">
        <v>57</v>
      </c>
      <c r="F1808">
        <v>19</v>
      </c>
      <c r="G1808">
        <v>627</v>
      </c>
      <c r="H1808" s="4">
        <v>209</v>
      </c>
      <c r="I1808" s="4">
        <v>418</v>
      </c>
      <c r="J1808" t="s">
        <v>576</v>
      </c>
      <c r="K1808" t="s">
        <v>33</v>
      </c>
      <c r="L1808" s="4">
        <v>11.769937929618399</v>
      </c>
      <c r="M1808" s="1" t="s">
        <v>38</v>
      </c>
      <c r="N1808" s="11">
        <f t="shared" si="28"/>
        <v>5</v>
      </c>
    </row>
    <row r="1809" spans="1:14" ht="16" x14ac:dyDescent="0.2">
      <c r="A1809" s="3">
        <v>43746.648096218385</v>
      </c>
      <c r="B1809" s="1" t="s">
        <v>2169</v>
      </c>
      <c r="C1809" t="s">
        <v>261</v>
      </c>
      <c r="D1809">
        <v>11</v>
      </c>
      <c r="E1809">
        <v>92</v>
      </c>
      <c r="F1809">
        <v>46</v>
      </c>
      <c r="G1809">
        <v>1012</v>
      </c>
      <c r="H1809" s="4">
        <v>506</v>
      </c>
      <c r="I1809" s="4">
        <v>506</v>
      </c>
      <c r="J1809" t="s">
        <v>313</v>
      </c>
      <c r="K1809" t="s">
        <v>49</v>
      </c>
      <c r="L1809" s="4">
        <v>11.99399163482429</v>
      </c>
      <c r="M1809" s="1" t="s">
        <v>34</v>
      </c>
      <c r="N1809" s="11">
        <f t="shared" si="28"/>
        <v>1</v>
      </c>
    </row>
    <row r="1810" spans="1:14" ht="16" x14ac:dyDescent="0.2">
      <c r="A1810" s="3">
        <v>43154.838842292127</v>
      </c>
      <c r="B1810" s="1" t="s">
        <v>2170</v>
      </c>
      <c r="C1810" t="s">
        <v>84</v>
      </c>
      <c r="D1810">
        <v>13</v>
      </c>
      <c r="E1810">
        <v>126</v>
      </c>
      <c r="F1810">
        <v>42</v>
      </c>
      <c r="G1810">
        <v>1638</v>
      </c>
      <c r="H1810" s="4">
        <v>546</v>
      </c>
      <c r="I1810" s="4">
        <v>1092</v>
      </c>
      <c r="J1810" t="s">
        <v>152</v>
      </c>
      <c r="K1810" t="s">
        <v>33</v>
      </c>
      <c r="L1810" s="4">
        <v>11.749038185128619</v>
      </c>
      <c r="M1810" s="1" t="s">
        <v>54</v>
      </c>
      <c r="N1810" s="11">
        <f t="shared" si="28"/>
        <v>10</v>
      </c>
    </row>
    <row r="1811" spans="1:14" ht="16" x14ac:dyDescent="0.2">
      <c r="A1811" s="3">
        <v>43595.816119440977</v>
      </c>
      <c r="B1811" s="1" t="s">
        <v>1695</v>
      </c>
      <c r="C1811" t="s">
        <v>779</v>
      </c>
      <c r="D1811">
        <v>20</v>
      </c>
      <c r="E1811">
        <v>120</v>
      </c>
      <c r="F1811">
        <v>30</v>
      </c>
      <c r="G1811">
        <v>2400</v>
      </c>
      <c r="H1811" s="4">
        <v>600</v>
      </c>
      <c r="I1811" s="4">
        <v>1800</v>
      </c>
      <c r="J1811" t="s">
        <v>52</v>
      </c>
      <c r="K1811" t="s">
        <v>53</v>
      </c>
      <c r="L1811" s="4">
        <v>12.169266722245851</v>
      </c>
      <c r="M1811" s="1" t="s">
        <v>54</v>
      </c>
      <c r="N1811" s="11">
        <f t="shared" si="28"/>
        <v>10</v>
      </c>
    </row>
    <row r="1812" spans="1:14" ht="16" x14ac:dyDescent="0.2">
      <c r="A1812" s="3">
        <v>43791.042773145324</v>
      </c>
      <c r="B1812" s="1" t="s">
        <v>2171</v>
      </c>
      <c r="C1812" t="s">
        <v>148</v>
      </c>
      <c r="D1812">
        <v>5</v>
      </c>
      <c r="E1812">
        <v>144</v>
      </c>
      <c r="F1812">
        <v>36</v>
      </c>
      <c r="G1812">
        <v>720</v>
      </c>
      <c r="H1812" s="4">
        <v>180</v>
      </c>
      <c r="I1812" s="4">
        <v>540</v>
      </c>
      <c r="J1812" t="s">
        <v>643</v>
      </c>
      <c r="K1812" t="s">
        <v>33</v>
      </c>
      <c r="L1812" s="4">
        <v>12.275875773922367</v>
      </c>
      <c r="M1812" s="1" t="s">
        <v>38</v>
      </c>
      <c r="N1812" s="11">
        <f t="shared" si="28"/>
        <v>5</v>
      </c>
    </row>
    <row r="1813" spans="1:14" ht="16" x14ac:dyDescent="0.2">
      <c r="A1813" s="3">
        <v>42673.243228430474</v>
      </c>
      <c r="B1813" s="1" t="s">
        <v>2172</v>
      </c>
      <c r="C1813" t="s">
        <v>56</v>
      </c>
      <c r="D1813">
        <v>2</v>
      </c>
      <c r="E1813">
        <v>38</v>
      </c>
      <c r="F1813">
        <v>19</v>
      </c>
      <c r="G1813">
        <v>76</v>
      </c>
      <c r="H1813" s="4">
        <v>38</v>
      </c>
      <c r="I1813" s="4">
        <v>38</v>
      </c>
      <c r="J1813" t="s">
        <v>376</v>
      </c>
      <c r="K1813" t="s">
        <v>86</v>
      </c>
      <c r="L1813" s="4">
        <v>11.655355879643379</v>
      </c>
      <c r="M1813" s="1" t="s">
        <v>38</v>
      </c>
      <c r="N1813" s="11">
        <f t="shared" si="28"/>
        <v>5</v>
      </c>
    </row>
    <row r="1814" spans="1:14" ht="16" x14ac:dyDescent="0.2">
      <c r="A1814" s="3">
        <v>44004.191196740212</v>
      </c>
      <c r="B1814" s="1" t="s">
        <v>2173</v>
      </c>
      <c r="C1814" t="s">
        <v>101</v>
      </c>
      <c r="D1814">
        <v>13</v>
      </c>
      <c r="E1814">
        <v>50</v>
      </c>
      <c r="F1814">
        <v>25</v>
      </c>
      <c r="G1814">
        <v>650</v>
      </c>
      <c r="H1814" s="4">
        <v>325</v>
      </c>
      <c r="I1814" s="4">
        <v>325</v>
      </c>
      <c r="J1814" t="s">
        <v>862</v>
      </c>
      <c r="K1814" t="s">
        <v>58</v>
      </c>
      <c r="L1814" s="4">
        <v>13.827196127590291</v>
      </c>
      <c r="M1814" s="1" t="s">
        <v>38</v>
      </c>
      <c r="N1814" s="11">
        <f t="shared" si="28"/>
        <v>5</v>
      </c>
    </row>
    <row r="1815" spans="1:14" ht="16" x14ac:dyDescent="0.2">
      <c r="A1815" s="3">
        <v>44362.34403914107</v>
      </c>
      <c r="B1815" s="1" t="s">
        <v>2174</v>
      </c>
      <c r="C1815" t="s">
        <v>171</v>
      </c>
      <c r="D1815">
        <v>6</v>
      </c>
      <c r="E1815">
        <v>225</v>
      </c>
      <c r="F1815">
        <v>75</v>
      </c>
      <c r="G1815">
        <v>1350</v>
      </c>
      <c r="H1815" s="4">
        <v>450</v>
      </c>
      <c r="I1815" s="4">
        <v>900</v>
      </c>
      <c r="J1815" t="s">
        <v>569</v>
      </c>
      <c r="K1815" t="s">
        <v>33</v>
      </c>
      <c r="L1815" s="4">
        <v>12.921682080641304</v>
      </c>
      <c r="M1815" s="1" t="s">
        <v>38</v>
      </c>
      <c r="N1815" s="11">
        <f t="shared" si="28"/>
        <v>5</v>
      </c>
    </row>
    <row r="1816" spans="1:14" ht="16" x14ac:dyDescent="0.2">
      <c r="A1816" s="3">
        <v>44081.471740108595</v>
      </c>
      <c r="B1816" s="1" t="s">
        <v>2175</v>
      </c>
      <c r="C1816" t="s">
        <v>399</v>
      </c>
      <c r="D1816">
        <v>13</v>
      </c>
      <c r="E1816">
        <v>160</v>
      </c>
      <c r="F1816">
        <v>80</v>
      </c>
      <c r="G1816">
        <v>2080</v>
      </c>
      <c r="H1816" s="4">
        <v>1040</v>
      </c>
      <c r="I1816" s="4">
        <v>1040</v>
      </c>
      <c r="J1816" t="s">
        <v>1414</v>
      </c>
      <c r="K1816" t="s">
        <v>42</v>
      </c>
      <c r="L1816" s="4">
        <v>8.6625575824723242</v>
      </c>
      <c r="M1816" s="1" t="s">
        <v>38</v>
      </c>
      <c r="N1816" s="11">
        <f t="shared" si="28"/>
        <v>5</v>
      </c>
    </row>
    <row r="1817" spans="1:14" ht="16" x14ac:dyDescent="0.2">
      <c r="A1817" s="3">
        <v>44445.740160859365</v>
      </c>
      <c r="B1817" s="1" t="s">
        <v>2176</v>
      </c>
      <c r="C1817" t="s">
        <v>44</v>
      </c>
      <c r="D1817">
        <v>18</v>
      </c>
      <c r="E1817">
        <v>114</v>
      </c>
      <c r="F1817">
        <v>57</v>
      </c>
      <c r="G1817">
        <v>2052</v>
      </c>
      <c r="H1817" s="4">
        <v>1026</v>
      </c>
      <c r="I1817" s="4">
        <v>1026</v>
      </c>
      <c r="J1817" t="s">
        <v>1259</v>
      </c>
      <c r="K1817" t="s">
        <v>64</v>
      </c>
      <c r="L1817" s="4">
        <v>10.01033276255276</v>
      </c>
      <c r="M1817" s="1" t="s">
        <v>54</v>
      </c>
      <c r="N1817" s="11">
        <f t="shared" si="28"/>
        <v>10</v>
      </c>
    </row>
    <row r="1818" spans="1:14" ht="16" x14ac:dyDescent="0.2">
      <c r="A1818" s="3">
        <v>43640.891187202695</v>
      </c>
      <c r="B1818" s="1" t="s">
        <v>2177</v>
      </c>
      <c r="C1818" t="s">
        <v>317</v>
      </c>
      <c r="D1818">
        <v>4</v>
      </c>
      <c r="E1818">
        <v>352</v>
      </c>
      <c r="F1818">
        <v>88</v>
      </c>
      <c r="G1818">
        <v>1408</v>
      </c>
      <c r="H1818" s="4">
        <v>352</v>
      </c>
      <c r="I1818" s="4">
        <v>1056</v>
      </c>
      <c r="J1818" t="s">
        <v>802</v>
      </c>
      <c r="K1818" t="s">
        <v>58</v>
      </c>
      <c r="L1818" s="4">
        <v>11.943192562152261</v>
      </c>
      <c r="M1818" s="1" t="s">
        <v>38</v>
      </c>
      <c r="N1818" s="11">
        <f t="shared" si="28"/>
        <v>5</v>
      </c>
    </row>
    <row r="1819" spans="1:14" ht="16" x14ac:dyDescent="0.2">
      <c r="A1819" s="3">
        <v>44027.509140371418</v>
      </c>
      <c r="B1819" s="1" t="s">
        <v>294</v>
      </c>
      <c r="C1819" t="s">
        <v>547</v>
      </c>
      <c r="D1819">
        <v>13</v>
      </c>
      <c r="E1819">
        <v>300</v>
      </c>
      <c r="F1819">
        <v>75</v>
      </c>
      <c r="G1819">
        <v>3900</v>
      </c>
      <c r="H1819" s="4">
        <v>975</v>
      </c>
      <c r="I1819" s="4">
        <v>2925</v>
      </c>
      <c r="J1819" t="s">
        <v>73</v>
      </c>
      <c r="K1819" t="s">
        <v>58</v>
      </c>
      <c r="L1819" s="4">
        <v>8.2871811249429097</v>
      </c>
      <c r="M1819" s="1" t="s">
        <v>38</v>
      </c>
      <c r="N1819" s="11">
        <f t="shared" si="28"/>
        <v>5</v>
      </c>
    </row>
    <row r="1820" spans="1:14" ht="16" x14ac:dyDescent="0.2">
      <c r="A1820" s="3">
        <v>43402.594125605923</v>
      </c>
      <c r="B1820" s="1" t="s">
        <v>2178</v>
      </c>
      <c r="C1820" t="s">
        <v>151</v>
      </c>
      <c r="D1820">
        <v>13</v>
      </c>
      <c r="E1820">
        <v>153</v>
      </c>
      <c r="F1820">
        <v>51</v>
      </c>
      <c r="G1820">
        <v>1989</v>
      </c>
      <c r="H1820" s="4">
        <v>663</v>
      </c>
      <c r="I1820" s="4">
        <v>1326</v>
      </c>
      <c r="J1820" t="s">
        <v>890</v>
      </c>
      <c r="K1820" t="s">
        <v>86</v>
      </c>
      <c r="L1820" s="4">
        <v>15.856807810268592</v>
      </c>
      <c r="M1820" s="1" t="s">
        <v>38</v>
      </c>
      <c r="N1820" s="11">
        <f t="shared" si="28"/>
        <v>5</v>
      </c>
    </row>
    <row r="1821" spans="1:14" ht="16" x14ac:dyDescent="0.2">
      <c r="A1821" s="3">
        <v>44668.170311315662</v>
      </c>
      <c r="B1821" s="1" t="s">
        <v>2179</v>
      </c>
      <c r="C1821" t="s">
        <v>36</v>
      </c>
      <c r="D1821">
        <v>11</v>
      </c>
      <c r="E1821">
        <v>102</v>
      </c>
      <c r="F1821">
        <v>51</v>
      </c>
      <c r="G1821">
        <v>1122</v>
      </c>
      <c r="H1821" s="4">
        <v>561</v>
      </c>
      <c r="I1821" s="4">
        <v>561</v>
      </c>
      <c r="J1821" t="s">
        <v>126</v>
      </c>
      <c r="K1821" t="s">
        <v>64</v>
      </c>
      <c r="L1821" s="4">
        <v>11.006397834696006</v>
      </c>
      <c r="M1821" s="1" t="s">
        <v>38</v>
      </c>
      <c r="N1821" s="11">
        <f t="shared" si="28"/>
        <v>5</v>
      </c>
    </row>
    <row r="1822" spans="1:14" ht="16" x14ac:dyDescent="0.2">
      <c r="A1822" s="3">
        <v>44263.56958094085</v>
      </c>
      <c r="B1822" s="1" t="s">
        <v>2180</v>
      </c>
      <c r="C1822" t="s">
        <v>139</v>
      </c>
      <c r="D1822">
        <v>7</v>
      </c>
      <c r="E1822">
        <v>320</v>
      </c>
      <c r="F1822">
        <v>80</v>
      </c>
      <c r="G1822">
        <v>2240</v>
      </c>
      <c r="H1822" s="4">
        <v>560</v>
      </c>
      <c r="I1822" s="4">
        <v>1680</v>
      </c>
      <c r="J1822" t="s">
        <v>290</v>
      </c>
      <c r="K1822" t="s">
        <v>86</v>
      </c>
      <c r="L1822" s="4">
        <v>12.758430621858414</v>
      </c>
      <c r="M1822" s="1" t="s">
        <v>38</v>
      </c>
      <c r="N1822" s="11">
        <f t="shared" si="28"/>
        <v>5</v>
      </c>
    </row>
    <row r="1823" spans="1:14" ht="16" x14ac:dyDescent="0.2">
      <c r="A1823" s="3">
        <v>44050.550545899503</v>
      </c>
      <c r="B1823" s="1" t="s">
        <v>2181</v>
      </c>
      <c r="C1823" t="s">
        <v>133</v>
      </c>
      <c r="D1823">
        <v>4</v>
      </c>
      <c r="E1823">
        <v>189</v>
      </c>
      <c r="F1823">
        <v>63</v>
      </c>
      <c r="G1823">
        <v>756</v>
      </c>
      <c r="H1823" s="4">
        <v>252</v>
      </c>
      <c r="I1823" s="4">
        <v>504</v>
      </c>
      <c r="J1823" t="s">
        <v>689</v>
      </c>
      <c r="K1823" t="s">
        <v>58</v>
      </c>
      <c r="L1823" s="4">
        <v>13.486912834801583</v>
      </c>
      <c r="M1823" s="1" t="s">
        <v>38</v>
      </c>
      <c r="N1823" s="11">
        <f t="shared" si="28"/>
        <v>5</v>
      </c>
    </row>
    <row r="1824" spans="1:14" ht="16" x14ac:dyDescent="0.2">
      <c r="A1824" s="3">
        <v>44058.658764874228</v>
      </c>
      <c r="B1824" s="1" t="s">
        <v>2182</v>
      </c>
      <c r="C1824" t="s">
        <v>175</v>
      </c>
      <c r="D1824">
        <v>11</v>
      </c>
      <c r="E1824">
        <v>38</v>
      </c>
      <c r="F1824">
        <v>19</v>
      </c>
      <c r="G1824">
        <v>418</v>
      </c>
      <c r="H1824" s="4">
        <v>209</v>
      </c>
      <c r="I1824" s="4">
        <v>209</v>
      </c>
      <c r="J1824" t="s">
        <v>176</v>
      </c>
      <c r="K1824" t="s">
        <v>64</v>
      </c>
      <c r="L1824" s="4">
        <v>12.1334991293512</v>
      </c>
      <c r="M1824" s="1" t="s">
        <v>38</v>
      </c>
      <c r="N1824" s="11">
        <f t="shared" si="28"/>
        <v>5</v>
      </c>
    </row>
    <row r="1825" spans="1:14" ht="16" x14ac:dyDescent="0.2">
      <c r="A1825" s="3">
        <v>43536.576236318157</v>
      </c>
      <c r="B1825" s="1" t="s">
        <v>2183</v>
      </c>
      <c r="C1825" t="s">
        <v>81</v>
      </c>
      <c r="D1825">
        <v>2</v>
      </c>
      <c r="E1825">
        <v>166</v>
      </c>
      <c r="F1825">
        <v>83</v>
      </c>
      <c r="G1825">
        <v>332</v>
      </c>
      <c r="H1825" s="4">
        <v>166</v>
      </c>
      <c r="I1825" s="4">
        <v>166</v>
      </c>
      <c r="J1825" t="s">
        <v>1259</v>
      </c>
      <c r="K1825" t="s">
        <v>64</v>
      </c>
      <c r="L1825" s="4">
        <v>10.01033276255276</v>
      </c>
      <c r="M1825" s="1" t="s">
        <v>34</v>
      </c>
      <c r="N1825" s="11">
        <f t="shared" si="28"/>
        <v>1</v>
      </c>
    </row>
    <row r="1826" spans="1:14" ht="16" x14ac:dyDescent="0.2">
      <c r="A1826" s="3">
        <v>44447.446848272877</v>
      </c>
      <c r="B1826" s="1" t="s">
        <v>2184</v>
      </c>
      <c r="C1826" t="s">
        <v>431</v>
      </c>
      <c r="D1826">
        <v>15</v>
      </c>
      <c r="E1826">
        <v>356</v>
      </c>
      <c r="F1826">
        <v>89</v>
      </c>
      <c r="G1826">
        <v>5340</v>
      </c>
      <c r="H1826" s="4">
        <v>1335</v>
      </c>
      <c r="I1826" s="4">
        <v>4005</v>
      </c>
      <c r="J1826" t="s">
        <v>140</v>
      </c>
      <c r="K1826" t="s">
        <v>53</v>
      </c>
      <c r="L1826" s="4">
        <v>7.1104128275166252</v>
      </c>
      <c r="M1826" s="1" t="s">
        <v>38</v>
      </c>
      <c r="N1826" s="11">
        <f t="shared" si="28"/>
        <v>5</v>
      </c>
    </row>
    <row r="1827" spans="1:14" ht="16" x14ac:dyDescent="0.2">
      <c r="A1827" s="3">
        <v>43926.193848193638</v>
      </c>
      <c r="B1827" s="1" t="s">
        <v>2185</v>
      </c>
      <c r="C1827" t="s">
        <v>788</v>
      </c>
      <c r="D1827">
        <v>9</v>
      </c>
      <c r="E1827">
        <v>100</v>
      </c>
      <c r="F1827">
        <v>25</v>
      </c>
      <c r="G1827">
        <v>900</v>
      </c>
      <c r="H1827" s="4">
        <v>225</v>
      </c>
      <c r="I1827" s="4">
        <v>675</v>
      </c>
      <c r="J1827" t="s">
        <v>720</v>
      </c>
      <c r="K1827" t="s">
        <v>53</v>
      </c>
      <c r="L1827" s="4">
        <v>13.106678263594747</v>
      </c>
      <c r="M1827" s="1" t="s">
        <v>34</v>
      </c>
      <c r="N1827" s="11">
        <f t="shared" si="28"/>
        <v>1</v>
      </c>
    </row>
    <row r="1828" spans="1:14" ht="16" x14ac:dyDescent="0.2">
      <c r="A1828" s="3">
        <v>44023.458995250636</v>
      </c>
      <c r="B1828" s="1" t="s">
        <v>2186</v>
      </c>
      <c r="C1828" t="s">
        <v>276</v>
      </c>
      <c r="D1828">
        <v>4</v>
      </c>
      <c r="E1828">
        <v>57</v>
      </c>
      <c r="F1828">
        <v>19</v>
      </c>
      <c r="G1828">
        <v>228</v>
      </c>
      <c r="H1828" s="4">
        <v>76</v>
      </c>
      <c r="I1828" s="4">
        <v>152</v>
      </c>
      <c r="J1828" t="s">
        <v>650</v>
      </c>
      <c r="K1828" t="s">
        <v>86</v>
      </c>
      <c r="L1828" s="4">
        <v>12.679725647708608</v>
      </c>
      <c r="M1828" s="1" t="s">
        <v>54</v>
      </c>
      <c r="N1828" s="11">
        <f t="shared" si="28"/>
        <v>10</v>
      </c>
    </row>
    <row r="1829" spans="1:14" ht="16" x14ac:dyDescent="0.2">
      <c r="A1829" s="3">
        <v>43641.776932018758</v>
      </c>
      <c r="B1829" s="1" t="s">
        <v>2187</v>
      </c>
      <c r="C1829" t="s">
        <v>288</v>
      </c>
      <c r="D1829">
        <v>2</v>
      </c>
      <c r="E1829">
        <v>48</v>
      </c>
      <c r="F1829">
        <v>24</v>
      </c>
      <c r="G1829">
        <v>96</v>
      </c>
      <c r="H1829" s="4">
        <v>48</v>
      </c>
      <c r="I1829" s="4">
        <v>48</v>
      </c>
      <c r="J1829" t="s">
        <v>517</v>
      </c>
      <c r="K1829" t="s">
        <v>86</v>
      </c>
      <c r="L1829" s="4">
        <v>13.57003172959007</v>
      </c>
      <c r="M1829" s="1" t="s">
        <v>54</v>
      </c>
      <c r="N1829" s="11">
        <f t="shared" si="28"/>
        <v>10</v>
      </c>
    </row>
    <row r="1830" spans="1:14" ht="16" x14ac:dyDescent="0.2">
      <c r="A1830" s="3">
        <v>44147.707747857552</v>
      </c>
      <c r="B1830" s="1" t="s">
        <v>2188</v>
      </c>
      <c r="C1830" t="s">
        <v>276</v>
      </c>
      <c r="D1830">
        <v>11</v>
      </c>
      <c r="E1830">
        <v>57</v>
      </c>
      <c r="F1830">
        <v>19</v>
      </c>
      <c r="G1830">
        <v>627</v>
      </c>
      <c r="H1830" s="4">
        <v>209</v>
      </c>
      <c r="I1830" s="4">
        <v>418</v>
      </c>
      <c r="J1830" t="s">
        <v>802</v>
      </c>
      <c r="K1830" t="s">
        <v>58</v>
      </c>
      <c r="L1830" s="4">
        <v>11.943192562152261</v>
      </c>
      <c r="M1830" s="1" t="s">
        <v>38</v>
      </c>
      <c r="N1830" s="11">
        <f t="shared" si="28"/>
        <v>5</v>
      </c>
    </row>
    <row r="1831" spans="1:14" ht="16" x14ac:dyDescent="0.2">
      <c r="A1831" s="3">
        <v>43721.128980627611</v>
      </c>
      <c r="B1831" s="1" t="s">
        <v>2189</v>
      </c>
      <c r="C1831" t="s">
        <v>337</v>
      </c>
      <c r="D1831">
        <v>14</v>
      </c>
      <c r="E1831">
        <v>135</v>
      </c>
      <c r="F1831">
        <v>45</v>
      </c>
      <c r="G1831">
        <v>1890</v>
      </c>
      <c r="H1831" s="4">
        <v>630</v>
      </c>
      <c r="I1831" s="4">
        <v>1260</v>
      </c>
      <c r="J1831" t="s">
        <v>1136</v>
      </c>
      <c r="K1831" t="s">
        <v>49</v>
      </c>
      <c r="L1831" s="4">
        <v>14.129095302641241</v>
      </c>
      <c r="M1831" s="1" t="s">
        <v>38</v>
      </c>
      <c r="N1831" s="11">
        <f t="shared" si="28"/>
        <v>5</v>
      </c>
    </row>
    <row r="1832" spans="1:14" ht="16" x14ac:dyDescent="0.2">
      <c r="A1832" s="3">
        <v>44282.768436512182</v>
      </c>
      <c r="B1832" s="1" t="s">
        <v>2190</v>
      </c>
      <c r="C1832" t="s">
        <v>561</v>
      </c>
      <c r="D1832">
        <v>20</v>
      </c>
      <c r="E1832">
        <v>384</v>
      </c>
      <c r="F1832">
        <v>96</v>
      </c>
      <c r="G1832">
        <v>7680</v>
      </c>
      <c r="H1832" s="4">
        <v>1920</v>
      </c>
      <c r="I1832" s="4">
        <v>5760</v>
      </c>
      <c r="J1832" t="s">
        <v>745</v>
      </c>
      <c r="K1832" t="s">
        <v>33</v>
      </c>
      <c r="L1832" s="4">
        <v>9.1057685343725456</v>
      </c>
      <c r="M1832" s="1" t="s">
        <v>34</v>
      </c>
      <c r="N1832" s="11">
        <f t="shared" si="28"/>
        <v>1</v>
      </c>
    </row>
    <row r="1833" spans="1:14" ht="16" x14ac:dyDescent="0.2">
      <c r="A1833" s="3">
        <v>44181.126167528717</v>
      </c>
      <c r="B1833" s="1" t="s">
        <v>2191</v>
      </c>
      <c r="C1833" t="s">
        <v>72</v>
      </c>
      <c r="D1833">
        <v>19</v>
      </c>
      <c r="E1833">
        <v>352</v>
      </c>
      <c r="F1833">
        <v>88</v>
      </c>
      <c r="G1833">
        <v>6688</v>
      </c>
      <c r="H1833" s="4">
        <v>1672</v>
      </c>
      <c r="I1833" s="4">
        <v>5016</v>
      </c>
      <c r="J1833" t="s">
        <v>359</v>
      </c>
      <c r="K1833" t="s">
        <v>64</v>
      </c>
      <c r="L1833" s="4">
        <v>11.970975110943924</v>
      </c>
      <c r="M1833" s="1" t="s">
        <v>34</v>
      </c>
      <c r="N1833" s="11">
        <f t="shared" si="28"/>
        <v>1</v>
      </c>
    </row>
    <row r="1834" spans="1:14" ht="16" x14ac:dyDescent="0.2">
      <c r="A1834" s="3">
        <v>44106.280917460979</v>
      </c>
      <c r="B1834" s="1" t="s">
        <v>1713</v>
      </c>
      <c r="C1834" t="s">
        <v>304</v>
      </c>
      <c r="D1834">
        <v>5</v>
      </c>
      <c r="E1834">
        <v>116</v>
      </c>
      <c r="F1834">
        <v>29</v>
      </c>
      <c r="G1834">
        <v>580</v>
      </c>
      <c r="H1834" s="4">
        <v>145</v>
      </c>
      <c r="I1834" s="4">
        <v>435</v>
      </c>
      <c r="J1834" t="s">
        <v>1012</v>
      </c>
      <c r="K1834" t="s">
        <v>33</v>
      </c>
      <c r="L1834" s="4">
        <v>14.538471643780088</v>
      </c>
      <c r="M1834" s="1" t="s">
        <v>38</v>
      </c>
      <c r="N1834" s="11">
        <f t="shared" si="28"/>
        <v>5</v>
      </c>
    </row>
    <row r="1835" spans="1:14" ht="16" x14ac:dyDescent="0.2">
      <c r="A1835" s="3">
        <v>43994.072157897448</v>
      </c>
      <c r="B1835" s="1" t="s">
        <v>2192</v>
      </c>
      <c r="C1835" t="s">
        <v>93</v>
      </c>
      <c r="D1835">
        <v>1</v>
      </c>
      <c r="E1835">
        <v>204</v>
      </c>
      <c r="F1835">
        <v>51</v>
      </c>
      <c r="G1835">
        <v>204</v>
      </c>
      <c r="H1835" s="4">
        <v>51</v>
      </c>
      <c r="I1835" s="4">
        <v>153</v>
      </c>
      <c r="J1835" t="s">
        <v>421</v>
      </c>
      <c r="K1835" t="s">
        <v>53</v>
      </c>
      <c r="L1835" s="4">
        <v>10.96230865592911</v>
      </c>
      <c r="M1835" s="1" t="s">
        <v>38</v>
      </c>
      <c r="N1835" s="11">
        <f t="shared" si="28"/>
        <v>5</v>
      </c>
    </row>
    <row r="1836" spans="1:14" ht="16" x14ac:dyDescent="0.2">
      <c r="A1836" s="3">
        <v>44179.324925568071</v>
      </c>
      <c r="B1836" s="1" t="s">
        <v>2193</v>
      </c>
      <c r="C1836" t="s">
        <v>136</v>
      </c>
      <c r="D1836">
        <v>19</v>
      </c>
      <c r="E1836">
        <v>154</v>
      </c>
      <c r="F1836">
        <v>77</v>
      </c>
      <c r="G1836">
        <v>2926</v>
      </c>
      <c r="H1836" s="4">
        <v>1463</v>
      </c>
      <c r="I1836" s="4">
        <v>1463</v>
      </c>
      <c r="J1836" t="s">
        <v>411</v>
      </c>
      <c r="K1836" t="s">
        <v>64</v>
      </c>
      <c r="L1836" s="4">
        <v>13.115597690631557</v>
      </c>
      <c r="M1836" s="1" t="s">
        <v>54</v>
      </c>
      <c r="N1836" s="11">
        <f t="shared" si="28"/>
        <v>10</v>
      </c>
    </row>
    <row r="1837" spans="1:14" ht="16" x14ac:dyDescent="0.2">
      <c r="A1837" s="3">
        <v>44107.54959355879</v>
      </c>
      <c r="B1837" s="1" t="s">
        <v>2194</v>
      </c>
      <c r="C1837" t="s">
        <v>583</v>
      </c>
      <c r="D1837">
        <v>13</v>
      </c>
      <c r="E1837">
        <v>57</v>
      </c>
      <c r="F1837">
        <v>19</v>
      </c>
      <c r="G1837">
        <v>741</v>
      </c>
      <c r="H1837" s="4">
        <v>247</v>
      </c>
      <c r="I1837" s="4">
        <v>494</v>
      </c>
      <c r="J1837" t="s">
        <v>126</v>
      </c>
      <c r="K1837" t="s">
        <v>64</v>
      </c>
      <c r="L1837" s="4">
        <v>11.006397834696006</v>
      </c>
      <c r="M1837" s="1" t="s">
        <v>54</v>
      </c>
      <c r="N1837" s="11">
        <f t="shared" si="28"/>
        <v>10</v>
      </c>
    </row>
    <row r="1838" spans="1:14" ht="16" x14ac:dyDescent="0.2">
      <c r="A1838" s="3">
        <v>44018.161567486495</v>
      </c>
      <c r="B1838" s="1" t="s">
        <v>2195</v>
      </c>
      <c r="C1838" t="s">
        <v>148</v>
      </c>
      <c r="D1838">
        <v>15</v>
      </c>
      <c r="E1838">
        <v>144</v>
      </c>
      <c r="F1838">
        <v>36</v>
      </c>
      <c r="G1838">
        <v>2160</v>
      </c>
      <c r="H1838" s="4">
        <v>540</v>
      </c>
      <c r="I1838" s="4">
        <v>1620</v>
      </c>
      <c r="J1838" t="s">
        <v>67</v>
      </c>
      <c r="K1838" t="s">
        <v>64</v>
      </c>
      <c r="L1838" s="4">
        <v>15.602184182549776</v>
      </c>
      <c r="M1838" s="1" t="s">
        <v>34</v>
      </c>
      <c r="N1838" s="11">
        <f t="shared" si="28"/>
        <v>1</v>
      </c>
    </row>
    <row r="1839" spans="1:14" ht="16" x14ac:dyDescent="0.2">
      <c r="A1839" s="3">
        <v>43545.947825037045</v>
      </c>
      <c r="B1839" s="1" t="s">
        <v>2196</v>
      </c>
      <c r="C1839" t="s">
        <v>561</v>
      </c>
      <c r="D1839">
        <v>13</v>
      </c>
      <c r="E1839">
        <v>384</v>
      </c>
      <c r="F1839">
        <v>96</v>
      </c>
      <c r="G1839">
        <v>4992</v>
      </c>
      <c r="H1839" s="4">
        <v>1248</v>
      </c>
      <c r="I1839" s="4">
        <v>3744</v>
      </c>
      <c r="J1839" t="s">
        <v>152</v>
      </c>
      <c r="K1839" t="s">
        <v>33</v>
      </c>
      <c r="L1839" s="4">
        <v>11.749038185128619</v>
      </c>
      <c r="M1839" s="1" t="s">
        <v>38</v>
      </c>
      <c r="N1839" s="11">
        <f t="shared" si="28"/>
        <v>5</v>
      </c>
    </row>
    <row r="1840" spans="1:14" ht="16" x14ac:dyDescent="0.2">
      <c r="A1840" s="3">
        <v>43548.451225288154</v>
      </c>
      <c r="B1840" s="1" t="s">
        <v>2197</v>
      </c>
      <c r="C1840" t="s">
        <v>561</v>
      </c>
      <c r="D1840">
        <v>7</v>
      </c>
      <c r="E1840">
        <v>384</v>
      </c>
      <c r="F1840">
        <v>96</v>
      </c>
      <c r="G1840">
        <v>2688</v>
      </c>
      <c r="H1840" s="4">
        <v>672</v>
      </c>
      <c r="I1840" s="4">
        <v>2016</v>
      </c>
      <c r="J1840" t="s">
        <v>169</v>
      </c>
      <c r="K1840" t="s">
        <v>33</v>
      </c>
      <c r="L1840" s="4">
        <v>15.121383064708469</v>
      </c>
      <c r="M1840" s="1" t="s">
        <v>38</v>
      </c>
      <c r="N1840" s="11">
        <f t="shared" si="28"/>
        <v>5</v>
      </c>
    </row>
    <row r="1841" spans="1:14" ht="16" x14ac:dyDescent="0.2">
      <c r="A1841" s="3">
        <v>43700.143057941787</v>
      </c>
      <c r="B1841" s="1" t="s">
        <v>2198</v>
      </c>
      <c r="C1841" t="s">
        <v>779</v>
      </c>
      <c r="D1841">
        <v>7</v>
      </c>
      <c r="E1841">
        <v>120</v>
      </c>
      <c r="F1841">
        <v>30</v>
      </c>
      <c r="G1841">
        <v>840</v>
      </c>
      <c r="H1841" s="4">
        <v>210</v>
      </c>
      <c r="I1841" s="4">
        <v>630</v>
      </c>
      <c r="J1841" t="s">
        <v>589</v>
      </c>
      <c r="K1841" t="s">
        <v>58</v>
      </c>
      <c r="L1841" s="4">
        <v>12.207242573430314</v>
      </c>
      <c r="M1841" s="1" t="s">
        <v>38</v>
      </c>
      <c r="N1841" s="11">
        <f t="shared" si="28"/>
        <v>5</v>
      </c>
    </row>
    <row r="1842" spans="1:14" ht="16" x14ac:dyDescent="0.2">
      <c r="A1842" s="3">
        <v>43684.670303660205</v>
      </c>
      <c r="B1842" s="1" t="s">
        <v>2199</v>
      </c>
      <c r="C1842" t="s">
        <v>130</v>
      </c>
      <c r="D1842">
        <v>3</v>
      </c>
      <c r="E1842">
        <v>144</v>
      </c>
      <c r="F1842">
        <v>48</v>
      </c>
      <c r="G1842">
        <v>432</v>
      </c>
      <c r="H1842" s="4">
        <v>144</v>
      </c>
      <c r="I1842" s="4">
        <v>288</v>
      </c>
      <c r="J1842" t="s">
        <v>382</v>
      </c>
      <c r="K1842" t="s">
        <v>49</v>
      </c>
      <c r="L1842" s="4">
        <v>12.299779975023837</v>
      </c>
      <c r="M1842" s="1" t="s">
        <v>34</v>
      </c>
      <c r="N1842" s="11">
        <f t="shared" si="28"/>
        <v>1</v>
      </c>
    </row>
    <row r="1843" spans="1:14" ht="16" x14ac:dyDescent="0.2">
      <c r="A1843" s="3">
        <v>44433.613512334705</v>
      </c>
      <c r="B1843" s="1" t="s">
        <v>2200</v>
      </c>
      <c r="C1843" t="s">
        <v>218</v>
      </c>
      <c r="D1843">
        <v>8</v>
      </c>
      <c r="E1843">
        <v>264</v>
      </c>
      <c r="F1843">
        <v>88</v>
      </c>
      <c r="G1843">
        <v>2112</v>
      </c>
      <c r="H1843" s="4">
        <v>704</v>
      </c>
      <c r="I1843" s="4">
        <v>1408</v>
      </c>
      <c r="J1843" t="s">
        <v>660</v>
      </c>
      <c r="K1843" t="s">
        <v>86</v>
      </c>
      <c r="L1843" s="4">
        <v>10.163794912095831</v>
      </c>
      <c r="M1843" s="1" t="s">
        <v>38</v>
      </c>
      <c r="N1843" s="11">
        <f t="shared" si="28"/>
        <v>5</v>
      </c>
    </row>
    <row r="1844" spans="1:14" ht="16" x14ac:dyDescent="0.2">
      <c r="A1844" s="3">
        <v>43743.737160740449</v>
      </c>
      <c r="B1844" s="1" t="s">
        <v>2201</v>
      </c>
      <c r="C1844" t="s">
        <v>365</v>
      </c>
      <c r="D1844">
        <v>3</v>
      </c>
      <c r="E1844">
        <v>255</v>
      </c>
      <c r="F1844">
        <v>85</v>
      </c>
      <c r="G1844">
        <v>765</v>
      </c>
      <c r="H1844" s="4">
        <v>255</v>
      </c>
      <c r="I1844" s="4">
        <v>510</v>
      </c>
      <c r="J1844" t="s">
        <v>262</v>
      </c>
      <c r="K1844" t="s">
        <v>86</v>
      </c>
      <c r="L1844" s="4">
        <v>12.796588406005421</v>
      </c>
      <c r="M1844" s="1" t="s">
        <v>34</v>
      </c>
      <c r="N1844" s="11">
        <f t="shared" si="28"/>
        <v>1</v>
      </c>
    </row>
    <row r="1845" spans="1:14" ht="16" x14ac:dyDescent="0.2">
      <c r="A1845" s="3">
        <v>43722.228628185585</v>
      </c>
      <c r="B1845" s="1" t="s">
        <v>2202</v>
      </c>
      <c r="C1845" t="s">
        <v>299</v>
      </c>
      <c r="D1845">
        <v>4</v>
      </c>
      <c r="E1845">
        <v>225</v>
      </c>
      <c r="F1845">
        <v>75</v>
      </c>
      <c r="G1845">
        <v>900</v>
      </c>
      <c r="H1845" s="4">
        <v>300</v>
      </c>
      <c r="I1845" s="4">
        <v>600</v>
      </c>
      <c r="J1845" t="s">
        <v>416</v>
      </c>
      <c r="K1845" t="s">
        <v>58</v>
      </c>
      <c r="L1845" s="4">
        <v>12.399050786131125</v>
      </c>
      <c r="M1845" s="1" t="s">
        <v>38</v>
      </c>
      <c r="N1845" s="11">
        <f t="shared" si="28"/>
        <v>5</v>
      </c>
    </row>
    <row r="1846" spans="1:14" ht="16" x14ac:dyDescent="0.2">
      <c r="A1846" s="3">
        <v>44440.942039659363</v>
      </c>
      <c r="B1846" s="1" t="s">
        <v>2203</v>
      </c>
      <c r="C1846" t="s">
        <v>365</v>
      </c>
      <c r="D1846">
        <v>16</v>
      </c>
      <c r="E1846">
        <v>255</v>
      </c>
      <c r="F1846">
        <v>85</v>
      </c>
      <c r="G1846">
        <v>4080</v>
      </c>
      <c r="H1846" s="4">
        <v>1360</v>
      </c>
      <c r="I1846" s="4">
        <v>2720</v>
      </c>
      <c r="J1846" t="s">
        <v>795</v>
      </c>
      <c r="K1846" t="s">
        <v>49</v>
      </c>
      <c r="L1846" s="4">
        <v>11.661237375491201</v>
      </c>
      <c r="M1846" s="1" t="s">
        <v>34</v>
      </c>
      <c r="N1846" s="11">
        <f t="shared" si="28"/>
        <v>1</v>
      </c>
    </row>
    <row r="1847" spans="1:14" ht="16" x14ac:dyDescent="0.2">
      <c r="A1847" s="3">
        <v>42768.414782399501</v>
      </c>
      <c r="B1847" s="1" t="s">
        <v>2204</v>
      </c>
      <c r="C1847" t="s">
        <v>544</v>
      </c>
      <c r="D1847">
        <v>18</v>
      </c>
      <c r="E1847">
        <v>267</v>
      </c>
      <c r="F1847">
        <v>89</v>
      </c>
      <c r="G1847">
        <v>4806</v>
      </c>
      <c r="H1847" s="4">
        <v>1602</v>
      </c>
      <c r="I1847" s="4">
        <v>3204</v>
      </c>
      <c r="J1847" t="s">
        <v>63</v>
      </c>
      <c r="K1847" t="s">
        <v>64</v>
      </c>
      <c r="L1847" s="4">
        <v>10.988762477277161</v>
      </c>
      <c r="M1847" s="1" t="s">
        <v>54</v>
      </c>
      <c r="N1847" s="11">
        <f t="shared" si="28"/>
        <v>10</v>
      </c>
    </row>
    <row r="1848" spans="1:14" ht="16" x14ac:dyDescent="0.2">
      <c r="A1848" s="3">
        <v>43017.553285090049</v>
      </c>
      <c r="B1848" s="1" t="s">
        <v>2205</v>
      </c>
      <c r="C1848" t="s">
        <v>370</v>
      </c>
      <c r="D1848">
        <v>6</v>
      </c>
      <c r="E1848">
        <v>144</v>
      </c>
      <c r="F1848">
        <v>36</v>
      </c>
      <c r="G1848">
        <v>864</v>
      </c>
      <c r="H1848" s="4">
        <v>216</v>
      </c>
      <c r="I1848" s="4">
        <v>648</v>
      </c>
      <c r="J1848" t="s">
        <v>635</v>
      </c>
      <c r="K1848" t="s">
        <v>33</v>
      </c>
      <c r="L1848" s="4">
        <v>15.478388039566896</v>
      </c>
      <c r="M1848" s="1" t="s">
        <v>38</v>
      </c>
      <c r="N1848" s="11">
        <f t="shared" si="28"/>
        <v>5</v>
      </c>
    </row>
    <row r="1849" spans="1:14" ht="16" x14ac:dyDescent="0.2">
      <c r="A1849" s="3">
        <v>43888.036001723231</v>
      </c>
      <c r="B1849" s="1" t="s">
        <v>2206</v>
      </c>
      <c r="C1849" t="s">
        <v>283</v>
      </c>
      <c r="D1849">
        <v>9</v>
      </c>
      <c r="E1849">
        <v>144</v>
      </c>
      <c r="F1849">
        <v>36</v>
      </c>
      <c r="G1849">
        <v>1296</v>
      </c>
      <c r="H1849" s="4">
        <v>324</v>
      </c>
      <c r="I1849" s="4">
        <v>972</v>
      </c>
      <c r="J1849" t="s">
        <v>622</v>
      </c>
      <c r="K1849" t="s">
        <v>49</v>
      </c>
      <c r="L1849" s="4">
        <v>8.3272837771733244</v>
      </c>
      <c r="M1849" s="1" t="s">
        <v>38</v>
      </c>
      <c r="N1849" s="11">
        <f t="shared" si="28"/>
        <v>5</v>
      </c>
    </row>
    <row r="1850" spans="1:14" ht="16" x14ac:dyDescent="0.2">
      <c r="A1850" s="3">
        <v>43583.33510982561</v>
      </c>
      <c r="B1850" s="1" t="s">
        <v>905</v>
      </c>
      <c r="C1850" t="s">
        <v>51</v>
      </c>
      <c r="D1850">
        <v>8</v>
      </c>
      <c r="E1850">
        <v>160</v>
      </c>
      <c r="F1850">
        <v>80</v>
      </c>
      <c r="G1850">
        <v>1280</v>
      </c>
      <c r="H1850" s="4">
        <v>640</v>
      </c>
      <c r="I1850" s="4">
        <v>640</v>
      </c>
      <c r="J1850" t="s">
        <v>539</v>
      </c>
      <c r="K1850" t="s">
        <v>49</v>
      </c>
      <c r="L1850" s="4">
        <v>10.954865572729823</v>
      </c>
      <c r="M1850" s="1" t="s">
        <v>38</v>
      </c>
      <c r="N1850" s="11">
        <f t="shared" si="28"/>
        <v>5</v>
      </c>
    </row>
    <row r="1851" spans="1:14" ht="16" x14ac:dyDescent="0.2">
      <c r="A1851" s="3">
        <v>44522.000579208012</v>
      </c>
      <c r="B1851" s="1" t="s">
        <v>2207</v>
      </c>
      <c r="C1851" t="s">
        <v>320</v>
      </c>
      <c r="D1851">
        <v>1</v>
      </c>
      <c r="E1851">
        <v>280</v>
      </c>
      <c r="F1851">
        <v>70</v>
      </c>
      <c r="G1851">
        <v>280</v>
      </c>
      <c r="H1851" s="4">
        <v>70</v>
      </c>
      <c r="I1851" s="4">
        <v>210</v>
      </c>
      <c r="J1851" t="s">
        <v>52</v>
      </c>
      <c r="K1851" t="s">
        <v>53</v>
      </c>
      <c r="L1851" s="4">
        <v>12.169266722245851</v>
      </c>
      <c r="M1851" s="1" t="s">
        <v>38</v>
      </c>
      <c r="N1851" s="11">
        <f t="shared" si="28"/>
        <v>5</v>
      </c>
    </row>
    <row r="1852" spans="1:14" ht="16" x14ac:dyDescent="0.2">
      <c r="A1852" s="3">
        <v>43532.928758645969</v>
      </c>
      <c r="B1852" s="1" t="s">
        <v>2208</v>
      </c>
      <c r="C1852" t="s">
        <v>47</v>
      </c>
      <c r="D1852">
        <v>16</v>
      </c>
      <c r="E1852">
        <v>231</v>
      </c>
      <c r="F1852">
        <v>77</v>
      </c>
      <c r="G1852">
        <v>3696</v>
      </c>
      <c r="H1852" s="4">
        <v>1232</v>
      </c>
      <c r="I1852" s="4">
        <v>2464</v>
      </c>
      <c r="J1852" t="s">
        <v>155</v>
      </c>
      <c r="K1852" t="s">
        <v>42</v>
      </c>
      <c r="L1852" s="4">
        <v>13.378080355059918</v>
      </c>
      <c r="M1852" s="1" t="s">
        <v>54</v>
      </c>
      <c r="N1852" s="11">
        <f t="shared" si="28"/>
        <v>10</v>
      </c>
    </row>
    <row r="1853" spans="1:14" ht="16" x14ac:dyDescent="0.2">
      <c r="A1853" s="3">
        <v>43745.564604082901</v>
      </c>
      <c r="B1853" s="1" t="s">
        <v>2209</v>
      </c>
      <c r="C1853" t="s">
        <v>248</v>
      </c>
      <c r="D1853">
        <v>11</v>
      </c>
      <c r="E1853">
        <v>132</v>
      </c>
      <c r="F1853">
        <v>44</v>
      </c>
      <c r="G1853">
        <v>1452</v>
      </c>
      <c r="H1853" s="4">
        <v>484</v>
      </c>
      <c r="I1853" s="4">
        <v>968</v>
      </c>
      <c r="J1853" t="s">
        <v>234</v>
      </c>
      <c r="K1853" t="s">
        <v>64</v>
      </c>
      <c r="L1853" s="4">
        <v>12.200533931675887</v>
      </c>
      <c r="M1853" s="1" t="s">
        <v>54</v>
      </c>
      <c r="N1853" s="11">
        <f t="shared" si="28"/>
        <v>10</v>
      </c>
    </row>
    <row r="1854" spans="1:14" ht="16" x14ac:dyDescent="0.2">
      <c r="A1854" s="3">
        <v>43710.375857504667</v>
      </c>
      <c r="B1854" s="1" t="s">
        <v>2210</v>
      </c>
      <c r="C1854" t="s">
        <v>204</v>
      </c>
      <c r="D1854">
        <v>3</v>
      </c>
      <c r="E1854">
        <v>57</v>
      </c>
      <c r="F1854">
        <v>19</v>
      </c>
      <c r="G1854">
        <v>171</v>
      </c>
      <c r="H1854" s="4">
        <v>57</v>
      </c>
      <c r="I1854" s="4">
        <v>114</v>
      </c>
      <c r="J1854" t="s">
        <v>856</v>
      </c>
      <c r="K1854" t="s">
        <v>42</v>
      </c>
      <c r="L1854" s="4">
        <v>11.226611755437654</v>
      </c>
      <c r="M1854" s="1" t="s">
        <v>38</v>
      </c>
      <c r="N1854" s="11">
        <f t="shared" si="28"/>
        <v>5</v>
      </c>
    </row>
    <row r="1855" spans="1:14" ht="16" x14ac:dyDescent="0.2">
      <c r="A1855" s="3">
        <v>44663.909799981258</v>
      </c>
      <c r="B1855" s="1" t="s">
        <v>2211</v>
      </c>
      <c r="C1855" t="s">
        <v>240</v>
      </c>
      <c r="D1855">
        <v>9</v>
      </c>
      <c r="E1855">
        <v>108</v>
      </c>
      <c r="F1855">
        <v>54</v>
      </c>
      <c r="G1855">
        <v>972</v>
      </c>
      <c r="H1855" s="4">
        <v>486</v>
      </c>
      <c r="I1855" s="4">
        <v>486</v>
      </c>
      <c r="J1855" t="s">
        <v>351</v>
      </c>
      <c r="K1855" t="s">
        <v>33</v>
      </c>
      <c r="L1855" s="4">
        <v>11.070908141213383</v>
      </c>
      <c r="M1855" s="1" t="s">
        <v>38</v>
      </c>
      <c r="N1855" s="11">
        <f t="shared" si="28"/>
        <v>5</v>
      </c>
    </row>
    <row r="1856" spans="1:14" ht="16" x14ac:dyDescent="0.2">
      <c r="A1856" s="3">
        <v>43144.571917421505</v>
      </c>
      <c r="B1856" s="1" t="s">
        <v>2212</v>
      </c>
      <c r="C1856" t="s">
        <v>538</v>
      </c>
      <c r="D1856">
        <v>5</v>
      </c>
      <c r="E1856">
        <v>261</v>
      </c>
      <c r="F1856">
        <v>87</v>
      </c>
      <c r="G1856">
        <v>1305</v>
      </c>
      <c r="H1856" s="4">
        <v>435</v>
      </c>
      <c r="I1856" s="4">
        <v>870</v>
      </c>
      <c r="J1856" t="s">
        <v>589</v>
      </c>
      <c r="K1856" t="s">
        <v>58</v>
      </c>
      <c r="L1856" s="4">
        <v>12.207242573430314</v>
      </c>
      <c r="M1856" s="1" t="s">
        <v>54</v>
      </c>
      <c r="N1856" s="11">
        <f t="shared" si="28"/>
        <v>10</v>
      </c>
    </row>
    <row r="1857" spans="1:14" ht="16" x14ac:dyDescent="0.2">
      <c r="A1857" s="3">
        <v>44401.017751350832</v>
      </c>
      <c r="B1857" s="1" t="s">
        <v>2213</v>
      </c>
      <c r="C1857" t="s">
        <v>370</v>
      </c>
      <c r="D1857">
        <v>2</v>
      </c>
      <c r="E1857">
        <v>144</v>
      </c>
      <c r="F1857">
        <v>36</v>
      </c>
      <c r="G1857">
        <v>288</v>
      </c>
      <c r="H1857" s="4">
        <v>72</v>
      </c>
      <c r="I1857" s="4">
        <v>216</v>
      </c>
      <c r="J1857" t="s">
        <v>450</v>
      </c>
      <c r="K1857" t="s">
        <v>49</v>
      </c>
      <c r="L1857" s="4">
        <v>13.332534707865639</v>
      </c>
      <c r="M1857" s="1" t="s">
        <v>38</v>
      </c>
      <c r="N1857" s="11">
        <f t="shared" si="28"/>
        <v>5</v>
      </c>
    </row>
    <row r="1858" spans="1:14" ht="16" x14ac:dyDescent="0.2">
      <c r="A1858" s="3">
        <v>44099.537190427916</v>
      </c>
      <c r="B1858" s="1" t="s">
        <v>2214</v>
      </c>
      <c r="C1858" t="s">
        <v>248</v>
      </c>
      <c r="D1858">
        <v>4</v>
      </c>
      <c r="E1858">
        <v>132</v>
      </c>
      <c r="F1858">
        <v>44</v>
      </c>
      <c r="G1858">
        <v>528</v>
      </c>
      <c r="H1858" s="4">
        <v>176</v>
      </c>
      <c r="I1858" s="4">
        <v>352</v>
      </c>
      <c r="J1858" t="s">
        <v>264</v>
      </c>
      <c r="K1858" t="s">
        <v>42</v>
      </c>
      <c r="L1858" s="4">
        <v>12.514998090845811</v>
      </c>
      <c r="M1858" s="1" t="s">
        <v>54</v>
      </c>
      <c r="N1858" s="11">
        <f t="shared" si="28"/>
        <v>10</v>
      </c>
    </row>
    <row r="1859" spans="1:14" ht="16" x14ac:dyDescent="0.2">
      <c r="A1859" s="3">
        <v>44566.19525795435</v>
      </c>
      <c r="B1859" s="1" t="s">
        <v>1258</v>
      </c>
      <c r="C1859" t="s">
        <v>72</v>
      </c>
      <c r="D1859">
        <v>16</v>
      </c>
      <c r="E1859">
        <v>352</v>
      </c>
      <c r="F1859">
        <v>88</v>
      </c>
      <c r="G1859">
        <v>5632</v>
      </c>
      <c r="H1859" s="4">
        <v>1408</v>
      </c>
      <c r="I1859" s="4">
        <v>4224</v>
      </c>
      <c r="J1859" t="s">
        <v>123</v>
      </c>
      <c r="K1859" t="s">
        <v>53</v>
      </c>
      <c r="L1859" s="4">
        <v>10.42743035829395</v>
      </c>
      <c r="M1859" s="1" t="s">
        <v>34</v>
      </c>
      <c r="N1859" s="11">
        <f t="shared" ref="N1859:N1922" si="29">+IF(M1859="Dissatisfied",1,IF(M1859="Satisfied",10,5))</f>
        <v>1</v>
      </c>
    </row>
    <row r="1860" spans="1:14" ht="16" x14ac:dyDescent="0.2">
      <c r="A1860" s="3">
        <v>44235.914496218873</v>
      </c>
      <c r="B1860" s="1" t="s">
        <v>2215</v>
      </c>
      <c r="C1860" t="s">
        <v>157</v>
      </c>
      <c r="D1860">
        <v>15</v>
      </c>
      <c r="E1860">
        <v>50</v>
      </c>
      <c r="F1860">
        <v>25</v>
      </c>
      <c r="G1860">
        <v>750</v>
      </c>
      <c r="H1860" s="4">
        <v>375</v>
      </c>
      <c r="I1860" s="4">
        <v>375</v>
      </c>
      <c r="J1860" t="s">
        <v>650</v>
      </c>
      <c r="K1860" t="s">
        <v>86</v>
      </c>
      <c r="L1860" s="4">
        <v>12.679725647708608</v>
      </c>
      <c r="M1860" s="1" t="s">
        <v>38</v>
      </c>
      <c r="N1860" s="11">
        <f t="shared" si="29"/>
        <v>5</v>
      </c>
    </row>
    <row r="1861" spans="1:14" ht="16" x14ac:dyDescent="0.2">
      <c r="A1861" s="3">
        <v>42788.212095886716</v>
      </c>
      <c r="B1861" s="1" t="s">
        <v>2216</v>
      </c>
      <c r="C1861" t="s">
        <v>425</v>
      </c>
      <c r="D1861">
        <v>8</v>
      </c>
      <c r="E1861">
        <v>352</v>
      </c>
      <c r="F1861">
        <v>88</v>
      </c>
      <c r="G1861">
        <v>2816</v>
      </c>
      <c r="H1861" s="4">
        <v>704</v>
      </c>
      <c r="I1861" s="4">
        <v>2112</v>
      </c>
      <c r="J1861" t="s">
        <v>210</v>
      </c>
      <c r="K1861" t="s">
        <v>58</v>
      </c>
      <c r="L1861" s="4">
        <v>11.995406972581796</v>
      </c>
      <c r="M1861" s="1" t="s">
        <v>38</v>
      </c>
      <c r="N1861" s="11">
        <f t="shared" si="29"/>
        <v>5</v>
      </c>
    </row>
    <row r="1862" spans="1:14" ht="16" x14ac:dyDescent="0.2">
      <c r="A1862" s="3">
        <v>43721.639923808143</v>
      </c>
      <c r="B1862" s="1" t="s">
        <v>2217</v>
      </c>
      <c r="C1862" t="s">
        <v>196</v>
      </c>
      <c r="D1862">
        <v>9</v>
      </c>
      <c r="E1862">
        <v>192</v>
      </c>
      <c r="F1862">
        <v>96</v>
      </c>
      <c r="G1862">
        <v>1728</v>
      </c>
      <c r="H1862" s="4">
        <v>864</v>
      </c>
      <c r="I1862" s="4">
        <v>864</v>
      </c>
      <c r="J1862" t="s">
        <v>411</v>
      </c>
      <c r="K1862" t="s">
        <v>64</v>
      </c>
      <c r="L1862" s="4">
        <v>13.115597690631557</v>
      </c>
      <c r="M1862" s="1" t="s">
        <v>38</v>
      </c>
      <c r="N1862" s="11">
        <f t="shared" si="29"/>
        <v>5</v>
      </c>
    </row>
    <row r="1863" spans="1:14" ht="16" x14ac:dyDescent="0.2">
      <c r="A1863" s="3">
        <v>44290.41012268026</v>
      </c>
      <c r="B1863" s="1" t="s">
        <v>2218</v>
      </c>
      <c r="C1863" t="s">
        <v>544</v>
      </c>
      <c r="D1863">
        <v>7</v>
      </c>
      <c r="E1863">
        <v>267</v>
      </c>
      <c r="F1863">
        <v>89</v>
      </c>
      <c r="G1863">
        <v>1869</v>
      </c>
      <c r="H1863" s="4">
        <v>623</v>
      </c>
      <c r="I1863" s="4">
        <v>1246</v>
      </c>
      <c r="J1863" t="s">
        <v>202</v>
      </c>
      <c r="K1863" t="s">
        <v>58</v>
      </c>
      <c r="L1863" s="4">
        <v>13.765798454641494</v>
      </c>
      <c r="M1863" s="1" t="s">
        <v>38</v>
      </c>
      <c r="N1863" s="11">
        <f t="shared" si="29"/>
        <v>5</v>
      </c>
    </row>
    <row r="1864" spans="1:14" ht="16" x14ac:dyDescent="0.2">
      <c r="A1864" s="3">
        <v>43819.198591257998</v>
      </c>
      <c r="B1864" s="1" t="s">
        <v>2219</v>
      </c>
      <c r="C1864" t="s">
        <v>110</v>
      </c>
      <c r="D1864">
        <v>4</v>
      </c>
      <c r="E1864">
        <v>144</v>
      </c>
      <c r="F1864">
        <v>36</v>
      </c>
      <c r="G1864">
        <v>576</v>
      </c>
      <c r="H1864" s="4">
        <v>144</v>
      </c>
      <c r="I1864" s="4">
        <v>432</v>
      </c>
      <c r="J1864" t="s">
        <v>686</v>
      </c>
      <c r="K1864" t="s">
        <v>86</v>
      </c>
      <c r="L1864" s="4">
        <v>8.1595626482464514</v>
      </c>
      <c r="M1864" s="1" t="s">
        <v>38</v>
      </c>
      <c r="N1864" s="11">
        <f t="shared" si="29"/>
        <v>5</v>
      </c>
    </row>
    <row r="1865" spans="1:14" ht="16" x14ac:dyDescent="0.2">
      <c r="A1865" s="3">
        <v>45332.367595668926</v>
      </c>
      <c r="B1865" s="1" t="s">
        <v>2220</v>
      </c>
      <c r="C1865" t="s">
        <v>425</v>
      </c>
      <c r="D1865">
        <v>17</v>
      </c>
      <c r="E1865">
        <v>352</v>
      </c>
      <c r="F1865">
        <v>88</v>
      </c>
      <c r="G1865">
        <v>5984</v>
      </c>
      <c r="H1865" s="4">
        <v>1496</v>
      </c>
      <c r="I1865" s="4">
        <v>4488</v>
      </c>
      <c r="J1865" t="s">
        <v>341</v>
      </c>
      <c r="K1865" t="s">
        <v>64</v>
      </c>
      <c r="L1865" s="4">
        <v>10.816866337473218</v>
      </c>
      <c r="M1865" s="1" t="s">
        <v>38</v>
      </c>
      <c r="N1865" s="11">
        <f t="shared" si="29"/>
        <v>5</v>
      </c>
    </row>
    <row r="1866" spans="1:14" ht="16" x14ac:dyDescent="0.2">
      <c r="A1866" s="3">
        <v>45036.849458741985</v>
      </c>
      <c r="B1866" s="1" t="s">
        <v>2221</v>
      </c>
      <c r="C1866" t="s">
        <v>283</v>
      </c>
      <c r="D1866">
        <v>6</v>
      </c>
      <c r="E1866">
        <v>144</v>
      </c>
      <c r="F1866">
        <v>36</v>
      </c>
      <c r="G1866">
        <v>864</v>
      </c>
      <c r="H1866" s="4">
        <v>216</v>
      </c>
      <c r="I1866" s="4">
        <v>648</v>
      </c>
      <c r="J1866" t="s">
        <v>213</v>
      </c>
      <c r="K1866" t="s">
        <v>58</v>
      </c>
      <c r="L1866" s="4">
        <v>10.980884286450312</v>
      </c>
      <c r="M1866" s="1" t="s">
        <v>38</v>
      </c>
      <c r="N1866" s="11">
        <f t="shared" si="29"/>
        <v>5</v>
      </c>
    </row>
    <row r="1867" spans="1:14" ht="16" x14ac:dyDescent="0.2">
      <c r="A1867" s="3">
        <v>43372.819870687221</v>
      </c>
      <c r="B1867" s="1" t="s">
        <v>2222</v>
      </c>
      <c r="C1867" t="s">
        <v>420</v>
      </c>
      <c r="D1867">
        <v>14</v>
      </c>
      <c r="E1867">
        <v>162</v>
      </c>
      <c r="F1867">
        <v>54</v>
      </c>
      <c r="G1867">
        <v>2268</v>
      </c>
      <c r="H1867" s="4">
        <v>756</v>
      </c>
      <c r="I1867" s="4">
        <v>1512</v>
      </c>
      <c r="J1867" t="s">
        <v>435</v>
      </c>
      <c r="K1867" t="s">
        <v>33</v>
      </c>
      <c r="L1867" s="4">
        <v>5.9872353338051019</v>
      </c>
      <c r="M1867" s="1" t="s">
        <v>38</v>
      </c>
      <c r="N1867" s="11">
        <f t="shared" si="29"/>
        <v>5</v>
      </c>
    </row>
    <row r="1868" spans="1:14" ht="16" x14ac:dyDescent="0.2">
      <c r="A1868" s="3">
        <v>43808.323383056566</v>
      </c>
      <c r="B1868" s="1" t="s">
        <v>2223</v>
      </c>
      <c r="C1868" t="s">
        <v>91</v>
      </c>
      <c r="D1868">
        <v>13</v>
      </c>
      <c r="E1868">
        <v>300</v>
      </c>
      <c r="F1868">
        <v>75</v>
      </c>
      <c r="G1868">
        <v>3900</v>
      </c>
      <c r="H1868" s="4">
        <v>975</v>
      </c>
      <c r="I1868" s="4">
        <v>2925</v>
      </c>
      <c r="J1868" t="s">
        <v>79</v>
      </c>
      <c r="K1868" t="s">
        <v>64</v>
      </c>
      <c r="L1868" s="4">
        <v>12.163730387337393</v>
      </c>
      <c r="M1868" s="1" t="s">
        <v>38</v>
      </c>
      <c r="N1868" s="11">
        <f t="shared" si="29"/>
        <v>5</v>
      </c>
    </row>
    <row r="1869" spans="1:14" ht="16" x14ac:dyDescent="0.2">
      <c r="A1869" s="3">
        <v>43678.752357376383</v>
      </c>
      <c r="B1869" s="1" t="s">
        <v>1766</v>
      </c>
      <c r="C1869" t="s">
        <v>196</v>
      </c>
      <c r="D1869">
        <v>10</v>
      </c>
      <c r="E1869">
        <v>192</v>
      </c>
      <c r="F1869">
        <v>96</v>
      </c>
      <c r="G1869">
        <v>1920</v>
      </c>
      <c r="H1869" s="4">
        <v>960</v>
      </c>
      <c r="I1869" s="4">
        <v>960</v>
      </c>
      <c r="J1869" t="s">
        <v>371</v>
      </c>
      <c r="K1869" t="s">
        <v>58</v>
      </c>
      <c r="L1869" s="4">
        <v>12.004541523616258</v>
      </c>
      <c r="M1869" s="1" t="s">
        <v>38</v>
      </c>
      <c r="N1869" s="11">
        <f t="shared" si="29"/>
        <v>5</v>
      </c>
    </row>
    <row r="1870" spans="1:14" ht="16" x14ac:dyDescent="0.2">
      <c r="A1870" s="3">
        <v>43353.08136104024</v>
      </c>
      <c r="B1870" s="1" t="s">
        <v>2224</v>
      </c>
      <c r="C1870" t="s">
        <v>154</v>
      </c>
      <c r="D1870">
        <v>12</v>
      </c>
      <c r="E1870">
        <v>308</v>
      </c>
      <c r="F1870">
        <v>77</v>
      </c>
      <c r="G1870">
        <v>3696</v>
      </c>
      <c r="H1870" s="4">
        <v>924</v>
      </c>
      <c r="I1870" s="4">
        <v>2772</v>
      </c>
      <c r="J1870" t="s">
        <v>741</v>
      </c>
      <c r="K1870" t="s">
        <v>42</v>
      </c>
      <c r="L1870" s="4">
        <v>14.817898176328208</v>
      </c>
      <c r="M1870" s="1" t="s">
        <v>54</v>
      </c>
      <c r="N1870" s="11">
        <f t="shared" si="29"/>
        <v>10</v>
      </c>
    </row>
    <row r="1871" spans="1:14" ht="16" x14ac:dyDescent="0.2">
      <c r="A1871" s="3">
        <v>43089.419386997593</v>
      </c>
      <c r="B1871" s="1" t="s">
        <v>2225</v>
      </c>
      <c r="C1871" t="s">
        <v>561</v>
      </c>
      <c r="D1871">
        <v>17</v>
      </c>
      <c r="E1871">
        <v>384</v>
      </c>
      <c r="F1871">
        <v>96</v>
      </c>
      <c r="G1871">
        <v>6528</v>
      </c>
      <c r="H1871" s="4">
        <v>1632</v>
      </c>
      <c r="I1871" s="4">
        <v>4896</v>
      </c>
      <c r="J1871" t="s">
        <v>1721</v>
      </c>
      <c r="K1871" t="s">
        <v>58</v>
      </c>
      <c r="L1871" s="4">
        <v>13.537350739681813</v>
      </c>
      <c r="M1871" s="1" t="s">
        <v>34</v>
      </c>
      <c r="N1871" s="11">
        <f t="shared" si="29"/>
        <v>1</v>
      </c>
    </row>
    <row r="1872" spans="1:14" ht="16" x14ac:dyDescent="0.2">
      <c r="A1872" s="3">
        <v>43534.000630194452</v>
      </c>
      <c r="B1872" s="1" t="s">
        <v>2226</v>
      </c>
      <c r="C1872" t="s">
        <v>62</v>
      </c>
      <c r="D1872">
        <v>14</v>
      </c>
      <c r="E1872">
        <v>80</v>
      </c>
      <c r="F1872">
        <v>20</v>
      </c>
      <c r="G1872">
        <v>1120</v>
      </c>
      <c r="H1872" s="4">
        <v>280</v>
      </c>
      <c r="I1872" s="4">
        <v>840</v>
      </c>
      <c r="J1872" t="s">
        <v>528</v>
      </c>
      <c r="K1872" t="s">
        <v>33</v>
      </c>
      <c r="L1872" s="4">
        <v>11.003496633574638</v>
      </c>
      <c r="M1872" s="1" t="s">
        <v>34</v>
      </c>
      <c r="N1872" s="11">
        <f t="shared" si="29"/>
        <v>1</v>
      </c>
    </row>
    <row r="1873" spans="1:14" ht="16" x14ac:dyDescent="0.2">
      <c r="A1873" s="3">
        <v>44018.359691380378</v>
      </c>
      <c r="B1873" s="1" t="s">
        <v>2227</v>
      </c>
      <c r="C1873" t="s">
        <v>473</v>
      </c>
      <c r="D1873">
        <v>3</v>
      </c>
      <c r="E1873">
        <v>72</v>
      </c>
      <c r="F1873">
        <v>36</v>
      </c>
      <c r="G1873">
        <v>216</v>
      </c>
      <c r="H1873" s="4">
        <v>108</v>
      </c>
      <c r="I1873" s="4">
        <v>108</v>
      </c>
      <c r="J1873" t="s">
        <v>230</v>
      </c>
      <c r="K1873" t="s">
        <v>42</v>
      </c>
      <c r="L1873" s="4">
        <v>12.172922939334034</v>
      </c>
      <c r="M1873" s="1" t="s">
        <v>34</v>
      </c>
      <c r="N1873" s="11">
        <f t="shared" si="29"/>
        <v>1</v>
      </c>
    </row>
    <row r="1874" spans="1:14" ht="16" x14ac:dyDescent="0.2">
      <c r="A1874" s="3">
        <v>44362.724858610964</v>
      </c>
      <c r="B1874" s="1" t="s">
        <v>2228</v>
      </c>
      <c r="C1874" t="s">
        <v>101</v>
      </c>
      <c r="D1874">
        <v>15</v>
      </c>
      <c r="E1874">
        <v>50</v>
      </c>
      <c r="F1874">
        <v>25</v>
      </c>
      <c r="G1874">
        <v>750</v>
      </c>
      <c r="H1874" s="4">
        <v>375</v>
      </c>
      <c r="I1874" s="4">
        <v>375</v>
      </c>
      <c r="J1874" t="s">
        <v>638</v>
      </c>
      <c r="K1874" t="s">
        <v>33</v>
      </c>
      <c r="L1874" s="4">
        <v>12.131375018945562</v>
      </c>
      <c r="M1874" s="1" t="s">
        <v>54</v>
      </c>
      <c r="N1874" s="11">
        <f t="shared" si="29"/>
        <v>10</v>
      </c>
    </row>
    <row r="1875" spans="1:14" ht="16" x14ac:dyDescent="0.2">
      <c r="A1875" s="3">
        <v>44452.968390139482</v>
      </c>
      <c r="B1875" s="1" t="s">
        <v>2229</v>
      </c>
      <c r="C1875" t="s">
        <v>62</v>
      </c>
      <c r="D1875">
        <v>11</v>
      </c>
      <c r="E1875">
        <v>80</v>
      </c>
      <c r="F1875">
        <v>20</v>
      </c>
      <c r="G1875">
        <v>880</v>
      </c>
      <c r="H1875" s="4">
        <v>220</v>
      </c>
      <c r="I1875" s="4">
        <v>660</v>
      </c>
      <c r="J1875" t="s">
        <v>179</v>
      </c>
      <c r="K1875" t="s">
        <v>53</v>
      </c>
      <c r="L1875" s="4">
        <v>11.36085047138285</v>
      </c>
      <c r="M1875" s="1" t="s">
        <v>38</v>
      </c>
      <c r="N1875" s="11">
        <f t="shared" si="29"/>
        <v>5</v>
      </c>
    </row>
    <row r="1876" spans="1:14" ht="16" x14ac:dyDescent="0.2">
      <c r="A1876" s="3">
        <v>43657.994536057879</v>
      </c>
      <c r="B1876" s="1" t="s">
        <v>2230</v>
      </c>
      <c r="C1876" t="s">
        <v>301</v>
      </c>
      <c r="D1876">
        <v>9</v>
      </c>
      <c r="E1876">
        <v>188</v>
      </c>
      <c r="F1876">
        <v>94</v>
      </c>
      <c r="G1876">
        <v>1692</v>
      </c>
      <c r="H1876" s="4">
        <v>846</v>
      </c>
      <c r="I1876" s="4">
        <v>846</v>
      </c>
      <c r="J1876" t="s">
        <v>890</v>
      </c>
      <c r="K1876" t="s">
        <v>86</v>
      </c>
      <c r="L1876" s="4">
        <v>15.856807810268592</v>
      </c>
      <c r="M1876" s="1" t="s">
        <v>38</v>
      </c>
      <c r="N1876" s="11">
        <f t="shared" si="29"/>
        <v>5</v>
      </c>
    </row>
    <row r="1877" spans="1:14" ht="16" x14ac:dyDescent="0.2">
      <c r="A1877" s="3">
        <v>43437.240375229419</v>
      </c>
      <c r="B1877" s="1" t="s">
        <v>2231</v>
      </c>
      <c r="C1877" t="s">
        <v>139</v>
      </c>
      <c r="D1877">
        <v>20</v>
      </c>
      <c r="E1877">
        <v>320</v>
      </c>
      <c r="F1877">
        <v>80</v>
      </c>
      <c r="G1877">
        <v>6400</v>
      </c>
      <c r="H1877" s="4">
        <v>1600</v>
      </c>
      <c r="I1877" s="4">
        <v>4800</v>
      </c>
      <c r="J1877" t="s">
        <v>689</v>
      </c>
      <c r="K1877" t="s">
        <v>58</v>
      </c>
      <c r="L1877" s="4">
        <v>13.486912834801583</v>
      </c>
      <c r="M1877" s="1" t="s">
        <v>38</v>
      </c>
      <c r="N1877" s="11">
        <f t="shared" si="29"/>
        <v>5</v>
      </c>
    </row>
    <row r="1878" spans="1:14" ht="16" x14ac:dyDescent="0.2">
      <c r="A1878" s="3">
        <v>43677.094508919123</v>
      </c>
      <c r="B1878" s="1" t="s">
        <v>1584</v>
      </c>
      <c r="C1878" t="s">
        <v>544</v>
      </c>
      <c r="D1878">
        <v>17</v>
      </c>
      <c r="E1878">
        <v>267</v>
      </c>
      <c r="F1878">
        <v>89</v>
      </c>
      <c r="G1878">
        <v>4539</v>
      </c>
      <c r="H1878" s="4">
        <v>1513</v>
      </c>
      <c r="I1878" s="4">
        <v>3026</v>
      </c>
      <c r="J1878" t="s">
        <v>1253</v>
      </c>
      <c r="K1878" t="s">
        <v>49</v>
      </c>
      <c r="L1878" s="4">
        <v>10.518436853046438</v>
      </c>
      <c r="M1878" s="1" t="s">
        <v>54</v>
      </c>
      <c r="N1878" s="11">
        <f t="shared" si="29"/>
        <v>10</v>
      </c>
    </row>
    <row r="1879" spans="1:14" ht="16" x14ac:dyDescent="0.2">
      <c r="A1879" s="3">
        <v>43578.794779018637</v>
      </c>
      <c r="B1879" s="1" t="s">
        <v>2232</v>
      </c>
      <c r="C1879" t="s">
        <v>133</v>
      </c>
      <c r="D1879">
        <v>8</v>
      </c>
      <c r="E1879">
        <v>189</v>
      </c>
      <c r="F1879">
        <v>63</v>
      </c>
      <c r="G1879">
        <v>1512</v>
      </c>
      <c r="H1879" s="4">
        <v>504</v>
      </c>
      <c r="I1879" s="4">
        <v>1008</v>
      </c>
      <c r="J1879" t="s">
        <v>238</v>
      </c>
      <c r="K1879" t="s">
        <v>86</v>
      </c>
      <c r="L1879" s="4">
        <v>14.593670394271927</v>
      </c>
      <c r="M1879" s="1" t="s">
        <v>54</v>
      </c>
      <c r="N1879" s="11">
        <f t="shared" si="29"/>
        <v>10</v>
      </c>
    </row>
    <row r="1880" spans="1:14" ht="16" x14ac:dyDescent="0.2">
      <c r="A1880" s="3">
        <v>44250.485487862934</v>
      </c>
      <c r="B1880" s="1" t="s">
        <v>2233</v>
      </c>
      <c r="C1880" t="s">
        <v>320</v>
      </c>
      <c r="D1880">
        <v>15</v>
      </c>
      <c r="E1880">
        <v>280</v>
      </c>
      <c r="F1880">
        <v>70</v>
      </c>
      <c r="G1880">
        <v>4200</v>
      </c>
      <c r="H1880" s="4">
        <v>1050</v>
      </c>
      <c r="I1880" s="4">
        <v>3150</v>
      </c>
      <c r="J1880" t="s">
        <v>1253</v>
      </c>
      <c r="K1880" t="s">
        <v>49</v>
      </c>
      <c r="L1880" s="4">
        <v>10.518436853046438</v>
      </c>
      <c r="M1880" s="1" t="s">
        <v>54</v>
      </c>
      <c r="N1880" s="11">
        <f t="shared" si="29"/>
        <v>10</v>
      </c>
    </row>
    <row r="1881" spans="1:14" ht="16" x14ac:dyDescent="0.2">
      <c r="A1881" s="3">
        <v>44340.910855250317</v>
      </c>
      <c r="B1881" s="1" t="s">
        <v>2234</v>
      </c>
      <c r="C1881" t="s">
        <v>151</v>
      </c>
      <c r="D1881">
        <v>1</v>
      </c>
      <c r="E1881">
        <v>153</v>
      </c>
      <c r="F1881">
        <v>51</v>
      </c>
      <c r="G1881">
        <v>153</v>
      </c>
      <c r="H1881" s="4">
        <v>51</v>
      </c>
      <c r="I1881" s="4">
        <v>102</v>
      </c>
      <c r="J1881" t="s">
        <v>186</v>
      </c>
      <c r="K1881" t="s">
        <v>58</v>
      </c>
      <c r="L1881" s="4">
        <v>11.31221475547909</v>
      </c>
      <c r="M1881" s="1" t="s">
        <v>38</v>
      </c>
      <c r="N1881" s="11">
        <f t="shared" si="29"/>
        <v>5</v>
      </c>
    </row>
    <row r="1882" spans="1:14" ht="16" x14ac:dyDescent="0.2">
      <c r="A1882" s="3">
        <v>45007.672476930267</v>
      </c>
      <c r="B1882" s="1" t="s">
        <v>2235</v>
      </c>
      <c r="C1882" t="s">
        <v>101</v>
      </c>
      <c r="D1882">
        <v>4</v>
      </c>
      <c r="E1882">
        <v>50</v>
      </c>
      <c r="F1882">
        <v>25</v>
      </c>
      <c r="G1882">
        <v>200</v>
      </c>
      <c r="H1882" s="4">
        <v>100</v>
      </c>
      <c r="I1882" s="4">
        <v>100</v>
      </c>
      <c r="J1882" t="s">
        <v>539</v>
      </c>
      <c r="K1882" t="s">
        <v>49</v>
      </c>
      <c r="L1882" s="4">
        <v>10.954865572729823</v>
      </c>
      <c r="M1882" s="1" t="s">
        <v>38</v>
      </c>
      <c r="N1882" s="11">
        <f t="shared" si="29"/>
        <v>5</v>
      </c>
    </row>
    <row r="1883" spans="1:14" ht="16" x14ac:dyDescent="0.2">
      <c r="A1883" s="3">
        <v>44245.191994019602</v>
      </c>
      <c r="B1883" s="1" t="s">
        <v>2236</v>
      </c>
      <c r="C1883" t="s">
        <v>157</v>
      </c>
      <c r="D1883">
        <v>6</v>
      </c>
      <c r="E1883">
        <v>50</v>
      </c>
      <c r="F1883">
        <v>25</v>
      </c>
      <c r="G1883">
        <v>300</v>
      </c>
      <c r="H1883" s="4">
        <v>150</v>
      </c>
      <c r="I1883" s="4">
        <v>150</v>
      </c>
      <c r="J1883" t="s">
        <v>223</v>
      </c>
      <c r="K1883" t="s">
        <v>64</v>
      </c>
      <c r="L1883" s="4">
        <v>14.030594525378042</v>
      </c>
      <c r="M1883" s="1" t="s">
        <v>54</v>
      </c>
      <c r="N1883" s="11">
        <f t="shared" si="29"/>
        <v>10</v>
      </c>
    </row>
    <row r="1884" spans="1:14" ht="16" x14ac:dyDescent="0.2">
      <c r="A1884" s="3">
        <v>44402.154762278136</v>
      </c>
      <c r="B1884" s="1" t="s">
        <v>2237</v>
      </c>
      <c r="C1884" t="s">
        <v>259</v>
      </c>
      <c r="D1884">
        <v>7</v>
      </c>
      <c r="E1884">
        <v>270</v>
      </c>
      <c r="F1884">
        <v>90</v>
      </c>
      <c r="G1884">
        <v>1890</v>
      </c>
      <c r="H1884" s="4">
        <v>630</v>
      </c>
      <c r="I1884" s="4">
        <v>1260</v>
      </c>
      <c r="J1884" t="s">
        <v>1068</v>
      </c>
      <c r="K1884" t="s">
        <v>42</v>
      </c>
      <c r="L1884" s="4">
        <v>8.1352386075080023</v>
      </c>
      <c r="M1884" s="1" t="s">
        <v>54</v>
      </c>
      <c r="N1884" s="11">
        <f t="shared" si="29"/>
        <v>10</v>
      </c>
    </row>
    <row r="1885" spans="1:14" ht="16" x14ac:dyDescent="0.2">
      <c r="A1885" s="3">
        <v>43345.340191426854</v>
      </c>
      <c r="B1885" s="1" t="s">
        <v>2238</v>
      </c>
      <c r="C1885" t="s">
        <v>56</v>
      </c>
      <c r="D1885">
        <v>18</v>
      </c>
      <c r="E1885">
        <v>38</v>
      </c>
      <c r="F1885">
        <v>19</v>
      </c>
      <c r="G1885">
        <v>684</v>
      </c>
      <c r="H1885" s="4">
        <v>342</v>
      </c>
      <c r="I1885" s="4">
        <v>342</v>
      </c>
      <c r="J1885" t="s">
        <v>1091</v>
      </c>
      <c r="K1885" t="s">
        <v>33</v>
      </c>
      <c r="L1885" s="4">
        <v>12.55774399806273</v>
      </c>
      <c r="M1885" s="1" t="s">
        <v>54</v>
      </c>
      <c r="N1885" s="11">
        <f t="shared" si="29"/>
        <v>10</v>
      </c>
    </row>
    <row r="1886" spans="1:14" ht="16" x14ac:dyDescent="0.2">
      <c r="A1886" s="3">
        <v>44004.895339259921</v>
      </c>
      <c r="B1886" s="1" t="s">
        <v>2239</v>
      </c>
      <c r="C1886" t="s">
        <v>317</v>
      </c>
      <c r="D1886">
        <v>2</v>
      </c>
      <c r="E1886">
        <v>352</v>
      </c>
      <c r="F1886">
        <v>88</v>
      </c>
      <c r="G1886">
        <v>704</v>
      </c>
      <c r="H1886" s="4">
        <v>176</v>
      </c>
      <c r="I1886" s="4">
        <v>528</v>
      </c>
      <c r="J1886" t="s">
        <v>426</v>
      </c>
      <c r="K1886" t="s">
        <v>53</v>
      </c>
      <c r="L1886" s="4">
        <v>13.923194761258239</v>
      </c>
      <c r="M1886" s="1" t="s">
        <v>38</v>
      </c>
      <c r="N1886" s="11">
        <f t="shared" si="29"/>
        <v>5</v>
      </c>
    </row>
    <row r="1887" spans="1:14" ht="16" x14ac:dyDescent="0.2">
      <c r="A1887" s="3">
        <v>44554.628813699499</v>
      </c>
      <c r="B1887" s="1" t="s">
        <v>2240</v>
      </c>
      <c r="C1887" t="s">
        <v>547</v>
      </c>
      <c r="D1887">
        <v>14</v>
      </c>
      <c r="E1887">
        <v>300</v>
      </c>
      <c r="F1887">
        <v>75</v>
      </c>
      <c r="G1887">
        <v>4200</v>
      </c>
      <c r="H1887" s="4">
        <v>1050</v>
      </c>
      <c r="I1887" s="4">
        <v>3150</v>
      </c>
      <c r="J1887" t="s">
        <v>569</v>
      </c>
      <c r="K1887" t="s">
        <v>33</v>
      </c>
      <c r="L1887" s="4">
        <v>12.921682080641304</v>
      </c>
      <c r="M1887" s="1" t="s">
        <v>38</v>
      </c>
      <c r="N1887" s="11">
        <f t="shared" si="29"/>
        <v>5</v>
      </c>
    </row>
    <row r="1888" spans="1:14" ht="16" x14ac:dyDescent="0.2">
      <c r="A1888" s="3">
        <v>44357.908787967754</v>
      </c>
      <c r="B1888" s="1" t="s">
        <v>2241</v>
      </c>
      <c r="C1888" t="s">
        <v>340</v>
      </c>
      <c r="D1888">
        <v>18</v>
      </c>
      <c r="E1888">
        <v>180</v>
      </c>
      <c r="F1888">
        <v>45</v>
      </c>
      <c r="G1888">
        <v>3240</v>
      </c>
      <c r="H1888" s="4">
        <v>810</v>
      </c>
      <c r="I1888" s="4">
        <v>2430</v>
      </c>
      <c r="J1888" t="s">
        <v>238</v>
      </c>
      <c r="K1888" t="s">
        <v>86</v>
      </c>
      <c r="L1888" s="4">
        <v>14.593670394271927</v>
      </c>
      <c r="M1888" s="1" t="s">
        <v>38</v>
      </c>
      <c r="N1888" s="11">
        <f t="shared" si="29"/>
        <v>5</v>
      </c>
    </row>
    <row r="1889" spans="1:14" ht="16" x14ac:dyDescent="0.2">
      <c r="A1889" s="3">
        <v>43672.118469203095</v>
      </c>
      <c r="B1889" s="1" t="s">
        <v>467</v>
      </c>
      <c r="C1889" t="s">
        <v>209</v>
      </c>
      <c r="D1889">
        <v>20</v>
      </c>
      <c r="E1889">
        <v>150</v>
      </c>
      <c r="F1889">
        <v>75</v>
      </c>
      <c r="G1889">
        <v>3000</v>
      </c>
      <c r="H1889" s="4">
        <v>1500</v>
      </c>
      <c r="I1889" s="4">
        <v>1500</v>
      </c>
      <c r="J1889" t="s">
        <v>1068</v>
      </c>
      <c r="K1889" t="s">
        <v>42</v>
      </c>
      <c r="L1889" s="4">
        <v>8.1352386075080023</v>
      </c>
      <c r="M1889" s="1" t="s">
        <v>34</v>
      </c>
      <c r="N1889" s="11">
        <f t="shared" si="29"/>
        <v>1</v>
      </c>
    </row>
    <row r="1890" spans="1:14" ht="16" x14ac:dyDescent="0.2">
      <c r="A1890" s="3">
        <v>43911.180721482524</v>
      </c>
      <c r="B1890" s="1" t="s">
        <v>2242</v>
      </c>
      <c r="C1890" t="s">
        <v>93</v>
      </c>
      <c r="D1890">
        <v>19</v>
      </c>
      <c r="E1890">
        <v>204</v>
      </c>
      <c r="F1890">
        <v>51</v>
      </c>
      <c r="G1890">
        <v>3876</v>
      </c>
      <c r="H1890" s="4">
        <v>969</v>
      </c>
      <c r="I1890" s="4">
        <v>2907</v>
      </c>
      <c r="J1890" t="s">
        <v>923</v>
      </c>
      <c r="K1890" t="s">
        <v>42</v>
      </c>
      <c r="L1890" s="4">
        <v>12.502346728827876</v>
      </c>
      <c r="M1890" s="1" t="s">
        <v>38</v>
      </c>
      <c r="N1890" s="11">
        <f t="shared" si="29"/>
        <v>5</v>
      </c>
    </row>
    <row r="1891" spans="1:14" ht="16" x14ac:dyDescent="0.2">
      <c r="A1891" s="3">
        <v>43558.264057449582</v>
      </c>
      <c r="B1891" s="1" t="s">
        <v>1517</v>
      </c>
      <c r="C1891" t="s">
        <v>88</v>
      </c>
      <c r="D1891">
        <v>18</v>
      </c>
      <c r="E1891">
        <v>210</v>
      </c>
      <c r="F1891">
        <v>70</v>
      </c>
      <c r="G1891">
        <v>3780</v>
      </c>
      <c r="H1891" s="4">
        <v>1260</v>
      </c>
      <c r="I1891" s="4">
        <v>2520</v>
      </c>
      <c r="J1891" t="s">
        <v>709</v>
      </c>
      <c r="K1891" t="s">
        <v>86</v>
      </c>
      <c r="L1891" s="4">
        <v>12.658317415198635</v>
      </c>
      <c r="M1891" s="1" t="s">
        <v>34</v>
      </c>
      <c r="N1891" s="11">
        <f t="shared" si="29"/>
        <v>1</v>
      </c>
    </row>
    <row r="1892" spans="1:14" ht="16" x14ac:dyDescent="0.2">
      <c r="A1892" s="3">
        <v>43746.895437141902</v>
      </c>
      <c r="B1892" s="1" t="s">
        <v>2243</v>
      </c>
      <c r="C1892" t="s">
        <v>297</v>
      </c>
      <c r="D1892">
        <v>11</v>
      </c>
      <c r="E1892">
        <v>108</v>
      </c>
      <c r="F1892">
        <v>36</v>
      </c>
      <c r="G1892">
        <v>1188</v>
      </c>
      <c r="H1892" s="4">
        <v>396</v>
      </c>
      <c r="I1892" s="4">
        <v>792</v>
      </c>
      <c r="J1892" t="s">
        <v>504</v>
      </c>
      <c r="K1892" t="s">
        <v>53</v>
      </c>
      <c r="L1892" s="4">
        <v>12.801144805697081</v>
      </c>
      <c r="M1892" s="1" t="s">
        <v>54</v>
      </c>
      <c r="N1892" s="11">
        <f t="shared" si="29"/>
        <v>10</v>
      </c>
    </row>
    <row r="1893" spans="1:14" ht="16" x14ac:dyDescent="0.2">
      <c r="A1893" s="3">
        <v>44614.202826732231</v>
      </c>
      <c r="B1893" s="1" t="s">
        <v>2244</v>
      </c>
      <c r="C1893" t="s">
        <v>299</v>
      </c>
      <c r="D1893">
        <v>5</v>
      </c>
      <c r="E1893">
        <v>225</v>
      </c>
      <c r="F1893">
        <v>75</v>
      </c>
      <c r="G1893">
        <v>1125</v>
      </c>
      <c r="H1893" s="4">
        <v>375</v>
      </c>
      <c r="I1893" s="4">
        <v>750</v>
      </c>
      <c r="J1893" t="s">
        <v>216</v>
      </c>
      <c r="K1893" t="s">
        <v>58</v>
      </c>
      <c r="L1893" s="4">
        <v>15.556812309269255</v>
      </c>
      <c r="M1893" s="1" t="s">
        <v>34</v>
      </c>
      <c r="N1893" s="11">
        <f t="shared" si="29"/>
        <v>1</v>
      </c>
    </row>
    <row r="1894" spans="1:14" ht="16" x14ac:dyDescent="0.2">
      <c r="A1894" s="3">
        <v>43681.039330217813</v>
      </c>
      <c r="B1894" s="1" t="s">
        <v>2245</v>
      </c>
      <c r="C1894" t="s">
        <v>101</v>
      </c>
      <c r="D1894">
        <v>12</v>
      </c>
      <c r="E1894">
        <v>50</v>
      </c>
      <c r="F1894">
        <v>25</v>
      </c>
      <c r="G1894">
        <v>600</v>
      </c>
      <c r="H1894" s="4">
        <v>300</v>
      </c>
      <c r="I1894" s="4">
        <v>300</v>
      </c>
      <c r="J1894" t="s">
        <v>290</v>
      </c>
      <c r="K1894" t="s">
        <v>86</v>
      </c>
      <c r="L1894" s="4">
        <v>12.758430621858414</v>
      </c>
      <c r="M1894" s="1" t="s">
        <v>54</v>
      </c>
      <c r="N1894" s="11">
        <f t="shared" si="29"/>
        <v>10</v>
      </c>
    </row>
    <row r="1895" spans="1:14" ht="16" x14ac:dyDescent="0.2">
      <c r="A1895" s="3">
        <v>43824.336426241549</v>
      </c>
      <c r="B1895" s="1" t="s">
        <v>2246</v>
      </c>
      <c r="C1895" t="s">
        <v>120</v>
      </c>
      <c r="D1895">
        <v>16</v>
      </c>
      <c r="E1895">
        <v>252</v>
      </c>
      <c r="F1895">
        <v>63</v>
      </c>
      <c r="G1895">
        <v>4032</v>
      </c>
      <c r="H1895" s="4">
        <v>1008</v>
      </c>
      <c r="I1895" s="4">
        <v>3024</v>
      </c>
      <c r="J1895" t="s">
        <v>453</v>
      </c>
      <c r="K1895" t="s">
        <v>42</v>
      </c>
      <c r="L1895" s="4">
        <v>13.104576594826185</v>
      </c>
      <c r="M1895" s="1" t="s">
        <v>38</v>
      </c>
      <c r="N1895" s="11">
        <f t="shared" si="29"/>
        <v>5</v>
      </c>
    </row>
    <row r="1896" spans="1:14" ht="16" x14ac:dyDescent="0.2">
      <c r="A1896" s="3">
        <v>43894.965406486161</v>
      </c>
      <c r="B1896" s="1" t="s">
        <v>961</v>
      </c>
      <c r="C1896" t="s">
        <v>365</v>
      </c>
      <c r="D1896">
        <v>3</v>
      </c>
      <c r="E1896">
        <v>255</v>
      </c>
      <c r="F1896">
        <v>85</v>
      </c>
      <c r="G1896">
        <v>765</v>
      </c>
      <c r="H1896" s="4">
        <v>255</v>
      </c>
      <c r="I1896" s="4">
        <v>510</v>
      </c>
      <c r="J1896" t="s">
        <v>1223</v>
      </c>
      <c r="K1896" t="s">
        <v>53</v>
      </c>
      <c r="L1896" s="4">
        <v>10.428287009858728</v>
      </c>
      <c r="M1896" s="1" t="s">
        <v>38</v>
      </c>
      <c r="N1896" s="11">
        <f t="shared" si="29"/>
        <v>5</v>
      </c>
    </row>
    <row r="1897" spans="1:14" ht="16" x14ac:dyDescent="0.2">
      <c r="A1897" s="3">
        <v>43199.048455681099</v>
      </c>
      <c r="B1897" s="1" t="s">
        <v>2247</v>
      </c>
      <c r="C1897" t="s">
        <v>81</v>
      </c>
      <c r="D1897">
        <v>10</v>
      </c>
      <c r="E1897">
        <v>166</v>
      </c>
      <c r="F1897">
        <v>83</v>
      </c>
      <c r="G1897">
        <v>1660</v>
      </c>
      <c r="H1897" s="4">
        <v>830</v>
      </c>
      <c r="I1897" s="4">
        <v>830</v>
      </c>
      <c r="J1897" t="s">
        <v>408</v>
      </c>
      <c r="K1897" t="s">
        <v>42</v>
      </c>
      <c r="L1897" s="4">
        <v>9.1877733607656964</v>
      </c>
      <c r="M1897" s="1" t="s">
        <v>38</v>
      </c>
      <c r="N1897" s="11">
        <f t="shared" si="29"/>
        <v>5</v>
      </c>
    </row>
    <row r="1898" spans="1:14" ht="16" x14ac:dyDescent="0.2">
      <c r="A1898" s="3">
        <v>44165.097293082283</v>
      </c>
      <c r="B1898" s="1" t="s">
        <v>2248</v>
      </c>
      <c r="C1898" t="s">
        <v>544</v>
      </c>
      <c r="D1898">
        <v>19</v>
      </c>
      <c r="E1898">
        <v>267</v>
      </c>
      <c r="F1898">
        <v>89</v>
      </c>
      <c r="G1898">
        <v>5073</v>
      </c>
      <c r="H1898" s="4">
        <v>1691</v>
      </c>
      <c r="I1898" s="4">
        <v>3382</v>
      </c>
      <c r="J1898" t="s">
        <v>128</v>
      </c>
      <c r="K1898" t="s">
        <v>42</v>
      </c>
      <c r="L1898" s="4">
        <v>15.487214309603928</v>
      </c>
      <c r="M1898" s="1" t="s">
        <v>38</v>
      </c>
      <c r="N1898" s="11">
        <f t="shared" si="29"/>
        <v>5</v>
      </c>
    </row>
    <row r="1899" spans="1:14" ht="16" x14ac:dyDescent="0.2">
      <c r="A1899" s="3">
        <v>42892.376209183822</v>
      </c>
      <c r="B1899" s="1" t="s">
        <v>2249</v>
      </c>
      <c r="C1899" t="s">
        <v>88</v>
      </c>
      <c r="D1899">
        <v>6</v>
      </c>
      <c r="E1899">
        <v>210</v>
      </c>
      <c r="F1899">
        <v>70</v>
      </c>
      <c r="G1899">
        <v>1260</v>
      </c>
      <c r="H1899" s="4">
        <v>420</v>
      </c>
      <c r="I1899" s="4">
        <v>840</v>
      </c>
      <c r="J1899" t="s">
        <v>513</v>
      </c>
      <c r="K1899" t="s">
        <v>58</v>
      </c>
      <c r="L1899" s="4">
        <v>15.207985888346794</v>
      </c>
      <c r="M1899" s="1" t="s">
        <v>38</v>
      </c>
      <c r="N1899" s="11">
        <f t="shared" si="29"/>
        <v>5</v>
      </c>
    </row>
    <row r="1900" spans="1:14" ht="16" x14ac:dyDescent="0.2">
      <c r="A1900" s="3">
        <v>44427.687981119794</v>
      </c>
      <c r="B1900" s="1" t="s">
        <v>2250</v>
      </c>
      <c r="C1900" t="s">
        <v>188</v>
      </c>
      <c r="D1900">
        <v>20</v>
      </c>
      <c r="E1900">
        <v>368</v>
      </c>
      <c r="F1900">
        <v>92</v>
      </c>
      <c r="G1900">
        <v>7360</v>
      </c>
      <c r="H1900" s="4">
        <v>1840</v>
      </c>
      <c r="I1900" s="4">
        <v>5520</v>
      </c>
      <c r="J1900" t="s">
        <v>1750</v>
      </c>
      <c r="K1900" t="s">
        <v>58</v>
      </c>
      <c r="L1900" s="4">
        <v>7.9096461399190003</v>
      </c>
      <c r="M1900" s="1" t="s">
        <v>34</v>
      </c>
      <c r="N1900" s="11">
        <f t="shared" si="29"/>
        <v>1</v>
      </c>
    </row>
    <row r="1901" spans="1:14" ht="16" x14ac:dyDescent="0.2">
      <c r="A1901" s="3">
        <v>43211.16062505811</v>
      </c>
      <c r="B1901" s="1" t="s">
        <v>2251</v>
      </c>
      <c r="C1901" t="s">
        <v>248</v>
      </c>
      <c r="D1901">
        <v>3</v>
      </c>
      <c r="E1901">
        <v>132</v>
      </c>
      <c r="F1901">
        <v>44</v>
      </c>
      <c r="G1901">
        <v>396</v>
      </c>
      <c r="H1901" s="4">
        <v>132</v>
      </c>
      <c r="I1901" s="4">
        <v>264</v>
      </c>
      <c r="J1901" t="s">
        <v>603</v>
      </c>
      <c r="K1901" t="s">
        <v>64</v>
      </c>
      <c r="L1901" s="4">
        <v>11.072271050116964</v>
      </c>
      <c r="M1901" s="1" t="s">
        <v>38</v>
      </c>
      <c r="N1901" s="11">
        <f t="shared" si="29"/>
        <v>5</v>
      </c>
    </row>
    <row r="1902" spans="1:14" ht="16" x14ac:dyDescent="0.2">
      <c r="A1902" s="3">
        <v>44499.81859065684</v>
      </c>
      <c r="B1902" s="1" t="s">
        <v>2252</v>
      </c>
      <c r="C1902" t="s">
        <v>375</v>
      </c>
      <c r="D1902">
        <v>13</v>
      </c>
      <c r="E1902">
        <v>360</v>
      </c>
      <c r="F1902">
        <v>90</v>
      </c>
      <c r="G1902">
        <v>4680</v>
      </c>
      <c r="H1902" s="4">
        <v>1170</v>
      </c>
      <c r="I1902" s="4">
        <v>3510</v>
      </c>
      <c r="J1902" t="s">
        <v>506</v>
      </c>
      <c r="K1902" t="s">
        <v>33</v>
      </c>
      <c r="L1902" s="4">
        <v>13.917704159139552</v>
      </c>
      <c r="M1902" s="1" t="s">
        <v>54</v>
      </c>
      <c r="N1902" s="11">
        <f t="shared" si="29"/>
        <v>10</v>
      </c>
    </row>
    <row r="1903" spans="1:14" ht="16" x14ac:dyDescent="0.2">
      <c r="A1903" s="3">
        <v>44376.40385216954</v>
      </c>
      <c r="B1903" s="1" t="s">
        <v>2253</v>
      </c>
      <c r="C1903" t="s">
        <v>248</v>
      </c>
      <c r="D1903">
        <v>6</v>
      </c>
      <c r="E1903">
        <v>132</v>
      </c>
      <c r="F1903">
        <v>44</v>
      </c>
      <c r="G1903">
        <v>792</v>
      </c>
      <c r="H1903" s="4">
        <v>264</v>
      </c>
      <c r="I1903" s="4">
        <v>528</v>
      </c>
      <c r="J1903" t="s">
        <v>354</v>
      </c>
      <c r="K1903" t="s">
        <v>42</v>
      </c>
      <c r="L1903" s="4">
        <v>13.518413464873573</v>
      </c>
      <c r="M1903" s="1" t="s">
        <v>54</v>
      </c>
      <c r="N1903" s="11">
        <f t="shared" si="29"/>
        <v>10</v>
      </c>
    </row>
    <row r="1904" spans="1:14" ht="16" x14ac:dyDescent="0.2">
      <c r="A1904" s="3">
        <v>43914.900684181499</v>
      </c>
      <c r="B1904" s="1" t="s">
        <v>2214</v>
      </c>
      <c r="C1904" t="s">
        <v>276</v>
      </c>
      <c r="D1904">
        <v>3</v>
      </c>
      <c r="E1904">
        <v>57</v>
      </c>
      <c r="F1904">
        <v>19</v>
      </c>
      <c r="G1904">
        <v>171</v>
      </c>
      <c r="H1904" s="4">
        <v>57</v>
      </c>
      <c r="I1904" s="4">
        <v>114</v>
      </c>
      <c r="J1904" t="s">
        <v>877</v>
      </c>
      <c r="K1904" t="s">
        <v>49</v>
      </c>
      <c r="L1904" s="4">
        <v>13.275355576494196</v>
      </c>
      <c r="M1904" s="1" t="s">
        <v>34</v>
      </c>
      <c r="N1904" s="11">
        <f t="shared" si="29"/>
        <v>1</v>
      </c>
    </row>
    <row r="1905" spans="1:14" ht="16" x14ac:dyDescent="0.2">
      <c r="A1905" s="3">
        <v>43966.427611072169</v>
      </c>
      <c r="B1905" s="1" t="s">
        <v>2254</v>
      </c>
      <c r="C1905" t="s">
        <v>93</v>
      </c>
      <c r="D1905">
        <v>13</v>
      </c>
      <c r="E1905">
        <v>204</v>
      </c>
      <c r="F1905">
        <v>51</v>
      </c>
      <c r="G1905">
        <v>2652</v>
      </c>
      <c r="H1905" s="4">
        <v>663</v>
      </c>
      <c r="I1905" s="4">
        <v>1989</v>
      </c>
      <c r="J1905" t="s">
        <v>774</v>
      </c>
      <c r="K1905" t="s">
        <v>49</v>
      </c>
      <c r="L1905" s="4">
        <v>13.392447352247808</v>
      </c>
      <c r="M1905" s="1" t="s">
        <v>34</v>
      </c>
      <c r="N1905" s="11">
        <f t="shared" si="29"/>
        <v>1</v>
      </c>
    </row>
    <row r="1906" spans="1:14" ht="16" x14ac:dyDescent="0.2">
      <c r="A1906" s="3">
        <v>44014.936570488542</v>
      </c>
      <c r="B1906" s="1" t="s">
        <v>2255</v>
      </c>
      <c r="C1906" t="s">
        <v>72</v>
      </c>
      <c r="D1906">
        <v>5</v>
      </c>
      <c r="E1906">
        <v>352</v>
      </c>
      <c r="F1906">
        <v>88</v>
      </c>
      <c r="G1906">
        <v>1760</v>
      </c>
      <c r="H1906" s="4">
        <v>440</v>
      </c>
      <c r="I1906" s="4">
        <v>1320</v>
      </c>
      <c r="J1906" t="s">
        <v>310</v>
      </c>
      <c r="K1906" t="s">
        <v>58</v>
      </c>
      <c r="L1906" s="4">
        <v>11.03324198943719</v>
      </c>
      <c r="M1906" s="1" t="s">
        <v>34</v>
      </c>
      <c r="N1906" s="11">
        <f t="shared" si="29"/>
        <v>1</v>
      </c>
    </row>
    <row r="1907" spans="1:14" ht="16" x14ac:dyDescent="0.2">
      <c r="A1907" s="3">
        <v>43682.611769163042</v>
      </c>
      <c r="B1907" s="1" t="s">
        <v>995</v>
      </c>
      <c r="C1907" t="s">
        <v>101</v>
      </c>
      <c r="D1907">
        <v>5</v>
      </c>
      <c r="E1907">
        <v>50</v>
      </c>
      <c r="F1907">
        <v>25</v>
      </c>
      <c r="G1907">
        <v>250</v>
      </c>
      <c r="H1907" s="4">
        <v>125</v>
      </c>
      <c r="I1907" s="4">
        <v>125</v>
      </c>
      <c r="J1907" t="s">
        <v>186</v>
      </c>
      <c r="K1907" t="s">
        <v>58</v>
      </c>
      <c r="L1907" s="4">
        <v>11.31221475547909</v>
      </c>
      <c r="M1907" s="1" t="s">
        <v>54</v>
      </c>
      <c r="N1907" s="11">
        <f t="shared" si="29"/>
        <v>10</v>
      </c>
    </row>
    <row r="1908" spans="1:14" ht="16" x14ac:dyDescent="0.2">
      <c r="A1908" s="3">
        <v>43797.304870639789</v>
      </c>
      <c r="B1908" s="1" t="s">
        <v>2256</v>
      </c>
      <c r="C1908" t="s">
        <v>252</v>
      </c>
      <c r="D1908">
        <v>13</v>
      </c>
      <c r="E1908">
        <v>252</v>
      </c>
      <c r="F1908">
        <v>63</v>
      </c>
      <c r="G1908">
        <v>3276</v>
      </c>
      <c r="H1908" s="4">
        <v>819</v>
      </c>
      <c r="I1908" s="4">
        <v>2457</v>
      </c>
      <c r="J1908" t="s">
        <v>528</v>
      </c>
      <c r="K1908" t="s">
        <v>33</v>
      </c>
      <c r="L1908" s="4">
        <v>11.003496633574638</v>
      </c>
      <c r="M1908" s="1" t="s">
        <v>34</v>
      </c>
      <c r="N1908" s="11">
        <f t="shared" si="29"/>
        <v>1</v>
      </c>
    </row>
    <row r="1909" spans="1:14" ht="16" x14ac:dyDescent="0.2">
      <c r="A1909" s="3">
        <v>43850.959463493244</v>
      </c>
      <c r="B1909" s="1" t="s">
        <v>2257</v>
      </c>
      <c r="C1909" t="s">
        <v>120</v>
      </c>
      <c r="D1909">
        <v>2</v>
      </c>
      <c r="E1909">
        <v>252</v>
      </c>
      <c r="F1909">
        <v>63</v>
      </c>
      <c r="G1909">
        <v>504</v>
      </c>
      <c r="H1909" s="4">
        <v>126</v>
      </c>
      <c r="I1909" s="4">
        <v>378</v>
      </c>
      <c r="J1909" t="s">
        <v>462</v>
      </c>
      <c r="K1909" t="s">
        <v>86</v>
      </c>
      <c r="L1909" s="4">
        <v>12.732640267350657</v>
      </c>
      <c r="M1909" s="1" t="s">
        <v>34</v>
      </c>
      <c r="N1909" s="11">
        <f t="shared" si="29"/>
        <v>1</v>
      </c>
    </row>
    <row r="1910" spans="1:14" ht="16" x14ac:dyDescent="0.2">
      <c r="A1910" s="3">
        <v>44011.194163100095</v>
      </c>
      <c r="B1910" s="1" t="s">
        <v>2258</v>
      </c>
      <c r="C1910" t="s">
        <v>148</v>
      </c>
      <c r="D1910">
        <v>15</v>
      </c>
      <c r="E1910">
        <v>144</v>
      </c>
      <c r="F1910">
        <v>36</v>
      </c>
      <c r="G1910">
        <v>2160</v>
      </c>
      <c r="H1910" s="4">
        <v>540</v>
      </c>
      <c r="I1910" s="4">
        <v>1620</v>
      </c>
      <c r="J1910" t="s">
        <v>244</v>
      </c>
      <c r="K1910" t="s">
        <v>86</v>
      </c>
      <c r="L1910" s="4">
        <v>15.458859683514467</v>
      </c>
      <c r="M1910" s="1" t="s">
        <v>38</v>
      </c>
      <c r="N1910" s="11">
        <f t="shared" si="29"/>
        <v>5</v>
      </c>
    </row>
    <row r="1911" spans="1:14" ht="16" x14ac:dyDescent="0.2">
      <c r="A1911" s="3">
        <v>44419.669121099716</v>
      </c>
      <c r="B1911" s="1" t="s">
        <v>2259</v>
      </c>
      <c r="C1911" t="s">
        <v>243</v>
      </c>
      <c r="D1911">
        <v>20</v>
      </c>
      <c r="E1911">
        <v>90</v>
      </c>
      <c r="F1911">
        <v>45</v>
      </c>
      <c r="G1911">
        <v>1800</v>
      </c>
      <c r="H1911" s="4">
        <v>900</v>
      </c>
      <c r="I1911" s="4">
        <v>900</v>
      </c>
      <c r="J1911" t="s">
        <v>432</v>
      </c>
      <c r="K1911" t="s">
        <v>49</v>
      </c>
      <c r="L1911" s="4">
        <v>13.857835104514242</v>
      </c>
      <c r="M1911" s="1" t="s">
        <v>54</v>
      </c>
      <c r="N1911" s="11">
        <f t="shared" si="29"/>
        <v>10</v>
      </c>
    </row>
    <row r="1912" spans="1:14" ht="16" x14ac:dyDescent="0.2">
      <c r="A1912" s="3">
        <v>43715.709150008639</v>
      </c>
      <c r="B1912" s="1" t="s">
        <v>2260</v>
      </c>
      <c r="C1912" t="s">
        <v>286</v>
      </c>
      <c r="D1912">
        <v>1</v>
      </c>
      <c r="E1912">
        <v>34</v>
      </c>
      <c r="F1912">
        <v>17</v>
      </c>
      <c r="G1912">
        <v>34</v>
      </c>
      <c r="H1912" s="4">
        <v>17</v>
      </c>
      <c r="I1912" s="4">
        <v>17</v>
      </c>
      <c r="J1912" t="s">
        <v>542</v>
      </c>
      <c r="K1912" t="s">
        <v>58</v>
      </c>
      <c r="L1912" s="4">
        <v>13.929237493388955</v>
      </c>
      <c r="M1912" s="1" t="s">
        <v>38</v>
      </c>
      <c r="N1912" s="11">
        <f t="shared" si="29"/>
        <v>5</v>
      </c>
    </row>
    <row r="1913" spans="1:14" ht="16" x14ac:dyDescent="0.2">
      <c r="A1913" s="3">
        <v>44653.033858068229</v>
      </c>
      <c r="B1913" s="1" t="s">
        <v>2261</v>
      </c>
      <c r="C1913" t="s">
        <v>88</v>
      </c>
      <c r="D1913">
        <v>15</v>
      </c>
      <c r="E1913">
        <v>210</v>
      </c>
      <c r="F1913">
        <v>70</v>
      </c>
      <c r="G1913">
        <v>3150</v>
      </c>
      <c r="H1913" s="4">
        <v>1050</v>
      </c>
      <c r="I1913" s="4">
        <v>2100</v>
      </c>
      <c r="J1913" t="s">
        <v>164</v>
      </c>
      <c r="K1913" t="s">
        <v>86</v>
      </c>
      <c r="L1913" s="4">
        <v>12.452986387489583</v>
      </c>
      <c r="M1913" s="1" t="s">
        <v>38</v>
      </c>
      <c r="N1913" s="11">
        <f t="shared" si="29"/>
        <v>5</v>
      </c>
    </row>
    <row r="1914" spans="1:14" ht="16" x14ac:dyDescent="0.2">
      <c r="A1914" s="3">
        <v>43330.105438292783</v>
      </c>
      <c r="B1914" s="1" t="s">
        <v>2262</v>
      </c>
      <c r="C1914" t="s">
        <v>160</v>
      </c>
      <c r="D1914">
        <v>6</v>
      </c>
      <c r="E1914">
        <v>132</v>
      </c>
      <c r="F1914">
        <v>33</v>
      </c>
      <c r="G1914">
        <v>792</v>
      </c>
      <c r="H1914" s="4">
        <v>198</v>
      </c>
      <c r="I1914" s="4">
        <v>594</v>
      </c>
      <c r="J1914" t="s">
        <v>844</v>
      </c>
      <c r="K1914" t="s">
        <v>33</v>
      </c>
      <c r="L1914" s="4">
        <v>11.816654396440285</v>
      </c>
      <c r="M1914" s="1" t="s">
        <v>34</v>
      </c>
      <c r="N1914" s="11">
        <f t="shared" si="29"/>
        <v>1</v>
      </c>
    </row>
    <row r="1915" spans="1:14" ht="16" x14ac:dyDescent="0.2">
      <c r="A1915" s="3">
        <v>43935.922777386826</v>
      </c>
      <c r="B1915" s="1" t="s">
        <v>2263</v>
      </c>
      <c r="C1915" t="s">
        <v>151</v>
      </c>
      <c r="D1915">
        <v>3</v>
      </c>
      <c r="E1915">
        <v>153</v>
      </c>
      <c r="F1915">
        <v>51</v>
      </c>
      <c r="G1915">
        <v>459</v>
      </c>
      <c r="H1915" s="4">
        <v>153</v>
      </c>
      <c r="I1915" s="4">
        <v>306</v>
      </c>
      <c r="J1915" t="s">
        <v>469</v>
      </c>
      <c r="K1915" t="s">
        <v>64</v>
      </c>
      <c r="L1915" s="4">
        <v>7.9963422143733238</v>
      </c>
      <c r="M1915" s="1" t="s">
        <v>38</v>
      </c>
      <c r="N1915" s="11">
        <f t="shared" si="29"/>
        <v>5</v>
      </c>
    </row>
    <row r="1916" spans="1:14" ht="16" x14ac:dyDescent="0.2">
      <c r="A1916" s="3">
        <v>43537.024082067197</v>
      </c>
      <c r="B1916" s="1" t="s">
        <v>2264</v>
      </c>
      <c r="C1916" t="s">
        <v>386</v>
      </c>
      <c r="D1916">
        <v>9</v>
      </c>
      <c r="E1916">
        <v>110</v>
      </c>
      <c r="F1916">
        <v>55</v>
      </c>
      <c r="G1916">
        <v>990</v>
      </c>
      <c r="H1916" s="4">
        <v>495</v>
      </c>
      <c r="I1916" s="4">
        <v>495</v>
      </c>
      <c r="J1916" t="s">
        <v>181</v>
      </c>
      <c r="K1916" t="s">
        <v>53</v>
      </c>
      <c r="L1916" s="4">
        <v>11.727497850343074</v>
      </c>
      <c r="M1916" s="1" t="s">
        <v>34</v>
      </c>
      <c r="N1916" s="11">
        <f t="shared" si="29"/>
        <v>1</v>
      </c>
    </row>
    <row r="1917" spans="1:14" ht="16" x14ac:dyDescent="0.2">
      <c r="A1917" s="3">
        <v>43848.693891038129</v>
      </c>
      <c r="B1917" s="1" t="s">
        <v>1015</v>
      </c>
      <c r="C1917" t="s">
        <v>157</v>
      </c>
      <c r="D1917">
        <v>5</v>
      </c>
      <c r="E1917">
        <v>50</v>
      </c>
      <c r="F1917">
        <v>25</v>
      </c>
      <c r="G1917">
        <v>250</v>
      </c>
      <c r="H1917" s="4">
        <v>125</v>
      </c>
      <c r="I1917" s="4">
        <v>125</v>
      </c>
      <c r="J1917" t="s">
        <v>191</v>
      </c>
      <c r="K1917" t="s">
        <v>42</v>
      </c>
      <c r="L1917" s="4">
        <v>10.523527521613014</v>
      </c>
      <c r="M1917" s="1" t="s">
        <v>38</v>
      </c>
      <c r="N1917" s="11">
        <f t="shared" si="29"/>
        <v>5</v>
      </c>
    </row>
    <row r="1918" spans="1:14" ht="16" x14ac:dyDescent="0.2">
      <c r="A1918" s="3">
        <v>44578.545222411092</v>
      </c>
      <c r="B1918" s="1" t="s">
        <v>1594</v>
      </c>
      <c r="C1918" t="s">
        <v>72</v>
      </c>
      <c r="D1918">
        <v>1</v>
      </c>
      <c r="E1918">
        <v>352</v>
      </c>
      <c r="F1918">
        <v>88</v>
      </c>
      <c r="G1918">
        <v>352</v>
      </c>
      <c r="H1918" s="4">
        <v>88</v>
      </c>
      <c r="I1918" s="4">
        <v>264</v>
      </c>
      <c r="J1918" t="s">
        <v>378</v>
      </c>
      <c r="K1918" t="s">
        <v>53</v>
      </c>
      <c r="L1918" s="4">
        <v>14.423322704129969</v>
      </c>
      <c r="M1918" s="1" t="s">
        <v>38</v>
      </c>
      <c r="N1918" s="11">
        <f t="shared" si="29"/>
        <v>5</v>
      </c>
    </row>
    <row r="1919" spans="1:14" ht="16" x14ac:dyDescent="0.2">
      <c r="A1919" s="3">
        <v>44073.953559297253</v>
      </c>
      <c r="B1919" s="1" t="s">
        <v>2265</v>
      </c>
      <c r="C1919" t="s">
        <v>51</v>
      </c>
      <c r="D1919">
        <v>2</v>
      </c>
      <c r="E1919">
        <v>160</v>
      </c>
      <c r="F1919">
        <v>80</v>
      </c>
      <c r="G1919">
        <v>320</v>
      </c>
      <c r="H1919" s="4">
        <v>160</v>
      </c>
      <c r="I1919" s="4">
        <v>160</v>
      </c>
      <c r="J1919" t="s">
        <v>1432</v>
      </c>
      <c r="K1919" t="s">
        <v>53</v>
      </c>
      <c r="L1919" s="4">
        <v>13.2671922973198</v>
      </c>
      <c r="M1919" s="1" t="s">
        <v>38</v>
      </c>
      <c r="N1919" s="11">
        <f t="shared" si="29"/>
        <v>5</v>
      </c>
    </row>
    <row r="1920" spans="1:14" ht="16" x14ac:dyDescent="0.2">
      <c r="A1920" s="3">
        <v>43363.156317771638</v>
      </c>
      <c r="B1920" s="1" t="s">
        <v>2266</v>
      </c>
      <c r="C1920" t="s">
        <v>88</v>
      </c>
      <c r="D1920">
        <v>11</v>
      </c>
      <c r="E1920">
        <v>210</v>
      </c>
      <c r="F1920">
        <v>70</v>
      </c>
      <c r="G1920">
        <v>2310</v>
      </c>
      <c r="H1920" s="4">
        <v>770</v>
      </c>
      <c r="I1920" s="4">
        <v>1540</v>
      </c>
      <c r="J1920" t="s">
        <v>968</v>
      </c>
      <c r="K1920" t="s">
        <v>42</v>
      </c>
      <c r="L1920" s="4">
        <v>11.961761925704458</v>
      </c>
      <c r="M1920" s="1" t="s">
        <v>38</v>
      </c>
      <c r="N1920" s="11">
        <f t="shared" si="29"/>
        <v>5</v>
      </c>
    </row>
    <row r="1921" spans="1:14" ht="16" x14ac:dyDescent="0.2">
      <c r="A1921" s="3">
        <v>43672.658440416984</v>
      </c>
      <c r="B1921" s="1" t="s">
        <v>2267</v>
      </c>
      <c r="C1921" t="s">
        <v>62</v>
      </c>
      <c r="D1921">
        <v>13</v>
      </c>
      <c r="E1921">
        <v>80</v>
      </c>
      <c r="F1921">
        <v>20</v>
      </c>
      <c r="G1921">
        <v>1040</v>
      </c>
      <c r="H1921" s="4">
        <v>260</v>
      </c>
      <c r="I1921" s="4">
        <v>780</v>
      </c>
      <c r="J1921" t="s">
        <v>914</v>
      </c>
      <c r="K1921" t="s">
        <v>42</v>
      </c>
      <c r="L1921" s="4">
        <v>13.853438793083487</v>
      </c>
      <c r="M1921" s="1" t="s">
        <v>34</v>
      </c>
      <c r="N1921" s="11">
        <f t="shared" si="29"/>
        <v>1</v>
      </c>
    </row>
    <row r="1922" spans="1:14" ht="16" x14ac:dyDescent="0.2">
      <c r="A1922" s="3">
        <v>45059.687213438316</v>
      </c>
      <c r="B1922" s="1" t="s">
        <v>2268</v>
      </c>
      <c r="C1922" t="s">
        <v>78</v>
      </c>
      <c r="D1922">
        <v>9</v>
      </c>
      <c r="E1922">
        <v>94</v>
      </c>
      <c r="F1922">
        <v>47</v>
      </c>
      <c r="G1922">
        <v>846</v>
      </c>
      <c r="H1922" s="4">
        <v>423</v>
      </c>
      <c r="I1922" s="4">
        <v>423</v>
      </c>
      <c r="J1922" t="s">
        <v>207</v>
      </c>
      <c r="K1922" t="s">
        <v>42</v>
      </c>
      <c r="L1922" s="4">
        <v>12.177709716438097</v>
      </c>
      <c r="M1922" s="1" t="s">
        <v>38</v>
      </c>
      <c r="N1922" s="11">
        <f t="shared" si="29"/>
        <v>5</v>
      </c>
    </row>
    <row r="1923" spans="1:14" ht="16" x14ac:dyDescent="0.2">
      <c r="A1923" s="3">
        <v>44186.201324423913</v>
      </c>
      <c r="B1923" s="1" t="s">
        <v>2269</v>
      </c>
      <c r="C1923" t="s">
        <v>788</v>
      </c>
      <c r="D1923">
        <v>1</v>
      </c>
      <c r="E1923">
        <v>100</v>
      </c>
      <c r="F1923">
        <v>25</v>
      </c>
      <c r="G1923">
        <v>100</v>
      </c>
      <c r="H1923" s="4">
        <v>25</v>
      </c>
      <c r="I1923" s="4">
        <v>75</v>
      </c>
      <c r="J1923" t="s">
        <v>106</v>
      </c>
      <c r="K1923" t="s">
        <v>42</v>
      </c>
      <c r="L1923" s="4">
        <v>13.717776078041958</v>
      </c>
      <c r="M1923" s="1" t="s">
        <v>38</v>
      </c>
      <c r="N1923" s="11">
        <f t="shared" ref="N1923:N1986" si="30">+IF(M1923="Dissatisfied",1,IF(M1923="Satisfied",10,5))</f>
        <v>5</v>
      </c>
    </row>
    <row r="1924" spans="1:14" ht="16" x14ac:dyDescent="0.2">
      <c r="A1924" s="3">
        <v>43313.417641026695</v>
      </c>
      <c r="B1924" s="1" t="s">
        <v>2270</v>
      </c>
      <c r="C1924" t="s">
        <v>148</v>
      </c>
      <c r="D1924">
        <v>15</v>
      </c>
      <c r="E1924">
        <v>144</v>
      </c>
      <c r="F1924">
        <v>36</v>
      </c>
      <c r="G1924">
        <v>2160</v>
      </c>
      <c r="H1924" s="4">
        <v>540</v>
      </c>
      <c r="I1924" s="4">
        <v>1620</v>
      </c>
      <c r="J1924" t="s">
        <v>1202</v>
      </c>
      <c r="K1924" t="s">
        <v>58</v>
      </c>
      <c r="L1924" s="4">
        <v>10.524491192521829</v>
      </c>
      <c r="M1924" s="1" t="s">
        <v>38</v>
      </c>
      <c r="N1924" s="11">
        <f t="shared" si="30"/>
        <v>5</v>
      </c>
    </row>
    <row r="1925" spans="1:14" ht="16" x14ac:dyDescent="0.2">
      <c r="A1925" s="3">
        <v>43697.050971284909</v>
      </c>
      <c r="B1925" s="1" t="s">
        <v>2271</v>
      </c>
      <c r="C1925" t="s">
        <v>75</v>
      </c>
      <c r="D1925">
        <v>8</v>
      </c>
      <c r="E1925">
        <v>76</v>
      </c>
      <c r="F1925">
        <v>19</v>
      </c>
      <c r="G1925">
        <v>608</v>
      </c>
      <c r="H1925" s="4">
        <v>152</v>
      </c>
      <c r="I1925" s="4">
        <v>456</v>
      </c>
      <c r="J1925" t="s">
        <v>73</v>
      </c>
      <c r="K1925" t="s">
        <v>58</v>
      </c>
      <c r="L1925" s="4">
        <v>8.2871811249429097</v>
      </c>
      <c r="M1925" s="1" t="s">
        <v>38</v>
      </c>
      <c r="N1925" s="11">
        <f t="shared" si="30"/>
        <v>5</v>
      </c>
    </row>
    <row r="1926" spans="1:14" ht="16" x14ac:dyDescent="0.2">
      <c r="A1926" s="3">
        <v>44405.086713835684</v>
      </c>
      <c r="B1926" s="1" t="s">
        <v>1576</v>
      </c>
      <c r="C1926" t="s">
        <v>218</v>
      </c>
      <c r="D1926">
        <v>5</v>
      </c>
      <c r="E1926">
        <v>264</v>
      </c>
      <c r="F1926">
        <v>88</v>
      </c>
      <c r="G1926">
        <v>1320</v>
      </c>
      <c r="H1926" s="4">
        <v>440</v>
      </c>
      <c r="I1926" s="4">
        <v>880</v>
      </c>
      <c r="J1926" t="s">
        <v>856</v>
      </c>
      <c r="K1926" t="s">
        <v>42</v>
      </c>
      <c r="L1926" s="4">
        <v>11.226611755437654</v>
      </c>
      <c r="M1926" s="1" t="s">
        <v>34</v>
      </c>
      <c r="N1926" s="11">
        <f t="shared" si="30"/>
        <v>1</v>
      </c>
    </row>
    <row r="1927" spans="1:14" ht="16" x14ac:dyDescent="0.2">
      <c r="A1927" s="3">
        <v>43387.243188929497</v>
      </c>
      <c r="B1927" s="1" t="s">
        <v>2272</v>
      </c>
      <c r="C1927" t="s">
        <v>607</v>
      </c>
      <c r="D1927">
        <v>1</v>
      </c>
      <c r="E1927">
        <v>225</v>
      </c>
      <c r="F1927">
        <v>75</v>
      </c>
      <c r="G1927">
        <v>225</v>
      </c>
      <c r="H1927" s="4">
        <v>75</v>
      </c>
      <c r="I1927" s="4">
        <v>150</v>
      </c>
      <c r="J1927" t="s">
        <v>341</v>
      </c>
      <c r="K1927" t="s">
        <v>64</v>
      </c>
      <c r="L1927" s="4">
        <v>10.816866337473218</v>
      </c>
      <c r="M1927" s="1" t="s">
        <v>34</v>
      </c>
      <c r="N1927" s="11">
        <f t="shared" si="30"/>
        <v>1</v>
      </c>
    </row>
    <row r="1928" spans="1:14" ht="16" x14ac:dyDescent="0.2">
      <c r="A1928" s="3">
        <v>44221.972870636477</v>
      </c>
      <c r="B1928" s="1" t="s">
        <v>2273</v>
      </c>
      <c r="C1928" t="s">
        <v>365</v>
      </c>
      <c r="D1928">
        <v>14</v>
      </c>
      <c r="E1928">
        <v>255</v>
      </c>
      <c r="F1928">
        <v>85</v>
      </c>
      <c r="G1928">
        <v>3570</v>
      </c>
      <c r="H1928" s="4">
        <v>1190</v>
      </c>
      <c r="I1928" s="4">
        <v>2380</v>
      </c>
      <c r="J1928" t="s">
        <v>411</v>
      </c>
      <c r="K1928" t="s">
        <v>64</v>
      </c>
      <c r="L1928" s="4">
        <v>13.115597690631557</v>
      </c>
      <c r="M1928" s="1" t="s">
        <v>38</v>
      </c>
      <c r="N1928" s="11">
        <f t="shared" si="30"/>
        <v>5</v>
      </c>
    </row>
    <row r="1929" spans="1:14" ht="16" x14ac:dyDescent="0.2">
      <c r="A1929" s="3">
        <v>42920.589463095916</v>
      </c>
      <c r="B1929" s="1" t="s">
        <v>2274</v>
      </c>
      <c r="C1929" t="s">
        <v>487</v>
      </c>
      <c r="D1929">
        <v>16</v>
      </c>
      <c r="E1929">
        <v>264</v>
      </c>
      <c r="F1929">
        <v>88</v>
      </c>
      <c r="G1929">
        <v>4224</v>
      </c>
      <c r="H1929" s="4">
        <v>1408</v>
      </c>
      <c r="I1929" s="4">
        <v>2816</v>
      </c>
      <c r="J1929" t="s">
        <v>640</v>
      </c>
      <c r="K1929" t="s">
        <v>53</v>
      </c>
      <c r="L1929" s="4">
        <v>8.7741864171993527</v>
      </c>
      <c r="M1929" s="1" t="s">
        <v>38</v>
      </c>
      <c r="N1929" s="11">
        <f t="shared" si="30"/>
        <v>5</v>
      </c>
    </row>
    <row r="1930" spans="1:14" ht="16" x14ac:dyDescent="0.2">
      <c r="A1930" s="3">
        <v>42695.684861272428</v>
      </c>
      <c r="B1930" s="1" t="s">
        <v>2275</v>
      </c>
      <c r="C1930" t="s">
        <v>171</v>
      </c>
      <c r="D1930">
        <v>6</v>
      </c>
      <c r="E1930">
        <v>225</v>
      </c>
      <c r="F1930">
        <v>75</v>
      </c>
      <c r="G1930">
        <v>1350</v>
      </c>
      <c r="H1930" s="4">
        <v>450</v>
      </c>
      <c r="I1930" s="4">
        <v>900</v>
      </c>
      <c r="J1930" t="s">
        <v>363</v>
      </c>
      <c r="K1930" t="s">
        <v>64</v>
      </c>
      <c r="L1930" s="4">
        <v>14.690198582365463</v>
      </c>
      <c r="M1930" s="1" t="s">
        <v>38</v>
      </c>
      <c r="N1930" s="11">
        <f t="shared" si="30"/>
        <v>5</v>
      </c>
    </row>
    <row r="1931" spans="1:14" ht="16" x14ac:dyDescent="0.2">
      <c r="A1931" s="3">
        <v>43503.190859762923</v>
      </c>
      <c r="B1931" s="1" t="s">
        <v>2276</v>
      </c>
      <c r="C1931" t="s">
        <v>257</v>
      </c>
      <c r="D1931">
        <v>1</v>
      </c>
      <c r="E1931">
        <v>160</v>
      </c>
      <c r="F1931">
        <v>80</v>
      </c>
      <c r="G1931">
        <v>160</v>
      </c>
      <c r="H1931" s="4">
        <v>80</v>
      </c>
      <c r="I1931" s="4">
        <v>80</v>
      </c>
      <c r="J1931" t="s">
        <v>351</v>
      </c>
      <c r="K1931" t="s">
        <v>33</v>
      </c>
      <c r="L1931" s="4">
        <v>11.070908141213383</v>
      </c>
      <c r="M1931" s="1" t="s">
        <v>38</v>
      </c>
      <c r="N1931" s="11">
        <f t="shared" si="30"/>
        <v>5</v>
      </c>
    </row>
    <row r="1932" spans="1:14" ht="16" x14ac:dyDescent="0.2">
      <c r="A1932" s="3">
        <v>44647.986782040767</v>
      </c>
      <c r="B1932" s="1" t="s">
        <v>2277</v>
      </c>
      <c r="C1932" t="s">
        <v>503</v>
      </c>
      <c r="D1932">
        <v>14</v>
      </c>
      <c r="E1932">
        <v>50</v>
      </c>
      <c r="F1932">
        <v>25</v>
      </c>
      <c r="G1932">
        <v>700</v>
      </c>
      <c r="H1932" s="4">
        <v>350</v>
      </c>
      <c r="I1932" s="4">
        <v>350</v>
      </c>
      <c r="J1932" t="s">
        <v>310</v>
      </c>
      <c r="K1932" t="s">
        <v>58</v>
      </c>
      <c r="L1932" s="4">
        <v>11.03324198943719</v>
      </c>
      <c r="M1932" s="1" t="s">
        <v>38</v>
      </c>
      <c r="N1932" s="11">
        <f t="shared" si="30"/>
        <v>5</v>
      </c>
    </row>
    <row r="1933" spans="1:14" ht="16" x14ac:dyDescent="0.2">
      <c r="A1933" s="3">
        <v>43892.207305804739</v>
      </c>
      <c r="B1933" s="1" t="s">
        <v>2278</v>
      </c>
      <c r="C1933" t="s">
        <v>365</v>
      </c>
      <c r="D1933">
        <v>16</v>
      </c>
      <c r="E1933">
        <v>255</v>
      </c>
      <c r="F1933">
        <v>85</v>
      </c>
      <c r="G1933">
        <v>4080</v>
      </c>
      <c r="H1933" s="4">
        <v>1360</v>
      </c>
      <c r="I1933" s="4">
        <v>2720</v>
      </c>
      <c r="J1933" t="s">
        <v>392</v>
      </c>
      <c r="K1933" t="s">
        <v>49</v>
      </c>
      <c r="L1933" s="4">
        <v>12.456740895640767</v>
      </c>
      <c r="M1933" s="1" t="s">
        <v>54</v>
      </c>
      <c r="N1933" s="11">
        <f t="shared" si="30"/>
        <v>10</v>
      </c>
    </row>
    <row r="1934" spans="1:14" ht="16" x14ac:dyDescent="0.2">
      <c r="A1934" s="3">
        <v>43837.55116482584</v>
      </c>
      <c r="B1934" s="1" t="s">
        <v>2279</v>
      </c>
      <c r="C1934" t="s">
        <v>523</v>
      </c>
      <c r="D1934">
        <v>2</v>
      </c>
      <c r="E1934">
        <v>92</v>
      </c>
      <c r="F1934">
        <v>46</v>
      </c>
      <c r="G1934">
        <v>184</v>
      </c>
      <c r="H1934" s="4">
        <v>92</v>
      </c>
      <c r="I1934" s="4">
        <v>92</v>
      </c>
      <c r="J1934" t="s">
        <v>729</v>
      </c>
      <c r="K1934" t="s">
        <v>64</v>
      </c>
      <c r="L1934" s="4">
        <v>11.443503623244197</v>
      </c>
      <c r="M1934" s="1" t="s">
        <v>54</v>
      </c>
      <c r="N1934" s="11">
        <f t="shared" si="30"/>
        <v>10</v>
      </c>
    </row>
    <row r="1935" spans="1:14" ht="16" x14ac:dyDescent="0.2">
      <c r="A1935" s="3">
        <v>44140.058121752758</v>
      </c>
      <c r="B1935" s="1" t="s">
        <v>2280</v>
      </c>
      <c r="C1935" t="s">
        <v>356</v>
      </c>
      <c r="D1935">
        <v>2</v>
      </c>
      <c r="E1935">
        <v>356</v>
      </c>
      <c r="F1935">
        <v>89</v>
      </c>
      <c r="G1935">
        <v>712</v>
      </c>
      <c r="H1935" s="4">
        <v>178</v>
      </c>
      <c r="I1935" s="4">
        <v>534</v>
      </c>
      <c r="J1935" t="s">
        <v>292</v>
      </c>
      <c r="K1935" t="s">
        <v>49</v>
      </c>
      <c r="L1935" s="4">
        <v>11.710935611749917</v>
      </c>
      <c r="M1935" s="1" t="s">
        <v>38</v>
      </c>
      <c r="N1935" s="11">
        <f t="shared" si="30"/>
        <v>5</v>
      </c>
    </row>
    <row r="1936" spans="1:14" ht="16" x14ac:dyDescent="0.2">
      <c r="A1936" s="3">
        <v>45071.622303733115</v>
      </c>
      <c r="B1936" s="1" t="s">
        <v>2281</v>
      </c>
      <c r="C1936" t="s">
        <v>312</v>
      </c>
      <c r="D1936">
        <v>3</v>
      </c>
      <c r="E1936">
        <v>240</v>
      </c>
      <c r="F1936">
        <v>80</v>
      </c>
      <c r="G1936">
        <v>720</v>
      </c>
      <c r="H1936" s="4">
        <v>240</v>
      </c>
      <c r="I1936" s="4">
        <v>480</v>
      </c>
      <c r="J1936" t="s">
        <v>862</v>
      </c>
      <c r="K1936" t="s">
        <v>58</v>
      </c>
      <c r="L1936" s="4">
        <v>13.827196127590291</v>
      </c>
      <c r="M1936" s="1" t="s">
        <v>38</v>
      </c>
      <c r="N1936" s="11">
        <f t="shared" si="30"/>
        <v>5</v>
      </c>
    </row>
    <row r="1937" spans="1:14" ht="16" x14ac:dyDescent="0.2">
      <c r="A1937" s="3">
        <v>44154.053096792333</v>
      </c>
      <c r="B1937" s="1" t="s">
        <v>1627</v>
      </c>
      <c r="C1937" t="s">
        <v>84</v>
      </c>
      <c r="D1937">
        <v>3</v>
      </c>
      <c r="E1937">
        <v>126</v>
      </c>
      <c r="F1937">
        <v>42</v>
      </c>
      <c r="G1937">
        <v>378</v>
      </c>
      <c r="H1937" s="4">
        <v>126</v>
      </c>
      <c r="I1937" s="4">
        <v>252</v>
      </c>
      <c r="J1937" t="s">
        <v>912</v>
      </c>
      <c r="K1937" t="s">
        <v>64</v>
      </c>
      <c r="L1937" s="4">
        <v>11.816651848338852</v>
      </c>
      <c r="M1937" s="1" t="s">
        <v>34</v>
      </c>
      <c r="N1937" s="11">
        <f t="shared" si="30"/>
        <v>1</v>
      </c>
    </row>
    <row r="1938" spans="1:14" ht="16" x14ac:dyDescent="0.2">
      <c r="A1938" s="3">
        <v>44337.283383314672</v>
      </c>
      <c r="B1938" s="1" t="s">
        <v>2282</v>
      </c>
      <c r="C1938" t="s">
        <v>370</v>
      </c>
      <c r="D1938">
        <v>12</v>
      </c>
      <c r="E1938">
        <v>144</v>
      </c>
      <c r="F1938">
        <v>36</v>
      </c>
      <c r="G1938">
        <v>1728</v>
      </c>
      <c r="H1938" s="4">
        <v>432</v>
      </c>
      <c r="I1938" s="4">
        <v>1296</v>
      </c>
      <c r="J1938" t="s">
        <v>423</v>
      </c>
      <c r="K1938" t="s">
        <v>86</v>
      </c>
      <c r="L1938" s="4">
        <v>10.813269600021069</v>
      </c>
      <c r="M1938" s="1" t="s">
        <v>34</v>
      </c>
      <c r="N1938" s="11">
        <f t="shared" si="30"/>
        <v>1</v>
      </c>
    </row>
    <row r="1939" spans="1:14" ht="16" x14ac:dyDescent="0.2">
      <c r="A1939" s="3">
        <v>44497.363610437736</v>
      </c>
      <c r="B1939" s="1" t="s">
        <v>2283</v>
      </c>
      <c r="C1939" t="s">
        <v>788</v>
      </c>
      <c r="D1939">
        <v>13</v>
      </c>
      <c r="E1939">
        <v>100</v>
      </c>
      <c r="F1939">
        <v>25</v>
      </c>
      <c r="G1939">
        <v>1300</v>
      </c>
      <c r="H1939" s="4">
        <v>325</v>
      </c>
      <c r="I1939" s="4">
        <v>975</v>
      </c>
      <c r="J1939" t="s">
        <v>819</v>
      </c>
      <c r="K1939" t="s">
        <v>86</v>
      </c>
      <c r="L1939" s="4">
        <v>12.155895475340943</v>
      </c>
      <c r="M1939" s="1" t="s">
        <v>38</v>
      </c>
      <c r="N1939" s="11">
        <f t="shared" si="30"/>
        <v>5</v>
      </c>
    </row>
    <row r="1940" spans="1:14" ht="16" x14ac:dyDescent="0.2">
      <c r="A1940" s="3">
        <v>43788.145486281966</v>
      </c>
      <c r="B1940" s="1" t="s">
        <v>2284</v>
      </c>
      <c r="C1940" t="s">
        <v>44</v>
      </c>
      <c r="D1940">
        <v>11</v>
      </c>
      <c r="E1940">
        <v>114</v>
      </c>
      <c r="F1940">
        <v>57</v>
      </c>
      <c r="G1940">
        <v>1254</v>
      </c>
      <c r="H1940" s="4">
        <v>627</v>
      </c>
      <c r="I1940" s="4">
        <v>627</v>
      </c>
      <c r="J1940" t="s">
        <v>371</v>
      </c>
      <c r="K1940" t="s">
        <v>58</v>
      </c>
      <c r="L1940" s="4">
        <v>12.004541523616258</v>
      </c>
      <c r="M1940" s="1" t="s">
        <v>38</v>
      </c>
      <c r="N1940" s="11">
        <f t="shared" si="30"/>
        <v>5</v>
      </c>
    </row>
    <row r="1941" spans="1:14" ht="16" x14ac:dyDescent="0.2">
      <c r="A1941" s="3">
        <v>44440.229669348751</v>
      </c>
      <c r="B1941" s="1" t="s">
        <v>2285</v>
      </c>
      <c r="C1941" t="s">
        <v>259</v>
      </c>
      <c r="D1941">
        <v>11</v>
      </c>
      <c r="E1941">
        <v>270</v>
      </c>
      <c r="F1941">
        <v>90</v>
      </c>
      <c r="G1941">
        <v>2970</v>
      </c>
      <c r="H1941" s="4">
        <v>990</v>
      </c>
      <c r="I1941" s="4">
        <v>1980</v>
      </c>
      <c r="J1941" t="s">
        <v>234</v>
      </c>
      <c r="K1941" t="s">
        <v>64</v>
      </c>
      <c r="L1941" s="4">
        <v>12.200533931675887</v>
      </c>
      <c r="M1941" s="1" t="s">
        <v>38</v>
      </c>
      <c r="N1941" s="11">
        <f t="shared" si="30"/>
        <v>5</v>
      </c>
    </row>
    <row r="1942" spans="1:14" ht="16" x14ac:dyDescent="0.2">
      <c r="A1942" s="3">
        <v>43577.789000342331</v>
      </c>
      <c r="B1942" s="1" t="s">
        <v>2286</v>
      </c>
      <c r="C1942" t="s">
        <v>257</v>
      </c>
      <c r="D1942">
        <v>7</v>
      </c>
      <c r="E1942">
        <v>160</v>
      </c>
      <c r="F1942">
        <v>80</v>
      </c>
      <c r="G1942">
        <v>1120</v>
      </c>
      <c r="H1942" s="4">
        <v>560</v>
      </c>
      <c r="I1942" s="4">
        <v>560</v>
      </c>
      <c r="J1942" t="s">
        <v>877</v>
      </c>
      <c r="K1942" t="s">
        <v>49</v>
      </c>
      <c r="L1942" s="4">
        <v>13.275355576494196</v>
      </c>
      <c r="M1942" s="1" t="s">
        <v>34</v>
      </c>
      <c r="N1942" s="11">
        <f t="shared" si="30"/>
        <v>1</v>
      </c>
    </row>
    <row r="1943" spans="1:14" ht="16" x14ac:dyDescent="0.2">
      <c r="A1943" s="3">
        <v>43608.973435152402</v>
      </c>
      <c r="B1943" s="1" t="s">
        <v>2287</v>
      </c>
      <c r="C1943" t="s">
        <v>391</v>
      </c>
      <c r="D1943">
        <v>13</v>
      </c>
      <c r="E1943">
        <v>72</v>
      </c>
      <c r="F1943">
        <v>36</v>
      </c>
      <c r="G1943">
        <v>936</v>
      </c>
      <c r="H1943" s="4">
        <v>468</v>
      </c>
      <c r="I1943" s="4">
        <v>468</v>
      </c>
      <c r="J1943" t="s">
        <v>1343</v>
      </c>
      <c r="K1943" t="s">
        <v>49</v>
      </c>
      <c r="L1943" s="4">
        <v>9.1264071155960682</v>
      </c>
      <c r="M1943" s="1" t="s">
        <v>34</v>
      </c>
      <c r="N1943" s="11">
        <f t="shared" si="30"/>
        <v>1</v>
      </c>
    </row>
    <row r="1944" spans="1:14" ht="16" x14ac:dyDescent="0.2">
      <c r="A1944" s="3">
        <v>44338.348140877533</v>
      </c>
      <c r="B1944" s="1" t="s">
        <v>2288</v>
      </c>
      <c r="C1944" t="s">
        <v>328</v>
      </c>
      <c r="D1944">
        <v>11</v>
      </c>
      <c r="E1944">
        <v>124</v>
      </c>
      <c r="F1944">
        <v>62</v>
      </c>
      <c r="G1944">
        <v>1364</v>
      </c>
      <c r="H1944" s="4">
        <v>682</v>
      </c>
      <c r="I1944" s="4">
        <v>682</v>
      </c>
      <c r="J1944" t="s">
        <v>545</v>
      </c>
      <c r="K1944" t="s">
        <v>53</v>
      </c>
      <c r="L1944" s="4">
        <v>10.112765954734209</v>
      </c>
      <c r="M1944" s="1" t="s">
        <v>54</v>
      </c>
      <c r="N1944" s="11">
        <f t="shared" si="30"/>
        <v>10</v>
      </c>
    </row>
    <row r="1945" spans="1:14" ht="16" x14ac:dyDescent="0.2">
      <c r="A1945" s="3">
        <v>44234.998955964926</v>
      </c>
      <c r="B1945" s="1" t="s">
        <v>2289</v>
      </c>
      <c r="C1945" t="s">
        <v>473</v>
      </c>
      <c r="D1945">
        <v>7</v>
      </c>
      <c r="E1945">
        <v>72</v>
      </c>
      <c r="F1945">
        <v>36</v>
      </c>
      <c r="G1945">
        <v>504</v>
      </c>
      <c r="H1945" s="4">
        <v>252</v>
      </c>
      <c r="I1945" s="4">
        <v>252</v>
      </c>
      <c r="J1945" t="s">
        <v>686</v>
      </c>
      <c r="K1945" t="s">
        <v>86</v>
      </c>
      <c r="L1945" s="4">
        <v>8.1595626482464514</v>
      </c>
      <c r="M1945" s="1" t="s">
        <v>38</v>
      </c>
      <c r="N1945" s="11">
        <f t="shared" si="30"/>
        <v>5</v>
      </c>
    </row>
    <row r="1946" spans="1:14" ht="16" x14ac:dyDescent="0.2">
      <c r="A1946" s="3">
        <v>44691.680673292372</v>
      </c>
      <c r="B1946" s="1" t="s">
        <v>2290</v>
      </c>
      <c r="C1946" t="s">
        <v>36</v>
      </c>
      <c r="D1946">
        <v>13</v>
      </c>
      <c r="E1946">
        <v>102</v>
      </c>
      <c r="F1946">
        <v>51</v>
      </c>
      <c r="G1946">
        <v>1326</v>
      </c>
      <c r="H1946" s="4">
        <v>663</v>
      </c>
      <c r="I1946" s="4">
        <v>663</v>
      </c>
      <c r="J1946" t="s">
        <v>272</v>
      </c>
      <c r="K1946" t="s">
        <v>49</v>
      </c>
      <c r="L1946" s="4">
        <v>12.503632939408062</v>
      </c>
      <c r="M1946" s="1" t="s">
        <v>54</v>
      </c>
      <c r="N1946" s="11">
        <f t="shared" si="30"/>
        <v>10</v>
      </c>
    </row>
    <row r="1947" spans="1:14" ht="16" x14ac:dyDescent="0.2">
      <c r="A1947" s="3">
        <v>43957.123017173042</v>
      </c>
      <c r="B1947" s="1" t="s">
        <v>2291</v>
      </c>
      <c r="C1947" t="s">
        <v>297</v>
      </c>
      <c r="D1947">
        <v>19</v>
      </c>
      <c r="E1947">
        <v>108</v>
      </c>
      <c r="F1947">
        <v>36</v>
      </c>
      <c r="G1947">
        <v>2052</v>
      </c>
      <c r="H1947" s="4">
        <v>684</v>
      </c>
      <c r="I1947" s="4">
        <v>1368</v>
      </c>
      <c r="J1947" t="s">
        <v>146</v>
      </c>
      <c r="K1947" t="s">
        <v>64</v>
      </c>
      <c r="L1947" s="4">
        <v>12.487915239531313</v>
      </c>
      <c r="M1947" s="1" t="s">
        <v>38</v>
      </c>
      <c r="N1947" s="11">
        <f t="shared" si="30"/>
        <v>5</v>
      </c>
    </row>
    <row r="1948" spans="1:14" ht="16" x14ac:dyDescent="0.2">
      <c r="A1948" s="3">
        <v>44086.539072851803</v>
      </c>
      <c r="B1948" s="1" t="s">
        <v>2292</v>
      </c>
      <c r="C1948" t="s">
        <v>130</v>
      </c>
      <c r="D1948">
        <v>9</v>
      </c>
      <c r="E1948">
        <v>144</v>
      </c>
      <c r="F1948">
        <v>48</v>
      </c>
      <c r="G1948">
        <v>1296</v>
      </c>
      <c r="H1948" s="4">
        <v>432</v>
      </c>
      <c r="I1948" s="4">
        <v>864</v>
      </c>
      <c r="J1948" t="s">
        <v>348</v>
      </c>
      <c r="K1948" t="s">
        <v>42</v>
      </c>
      <c r="L1948" s="4">
        <v>11.769293993029555</v>
      </c>
      <c r="M1948" s="1" t="s">
        <v>54</v>
      </c>
      <c r="N1948" s="11">
        <f t="shared" si="30"/>
        <v>10</v>
      </c>
    </row>
    <row r="1949" spans="1:14" ht="16" x14ac:dyDescent="0.2">
      <c r="A1949" s="3">
        <v>44261.45624659671</v>
      </c>
      <c r="B1949" s="1" t="s">
        <v>2293</v>
      </c>
      <c r="C1949" t="s">
        <v>145</v>
      </c>
      <c r="D1949">
        <v>10</v>
      </c>
      <c r="E1949">
        <v>207</v>
      </c>
      <c r="F1949">
        <v>69</v>
      </c>
      <c r="G1949">
        <v>2070</v>
      </c>
      <c r="H1949" s="4">
        <v>690</v>
      </c>
      <c r="I1949" s="4">
        <v>1380</v>
      </c>
      <c r="J1949" t="s">
        <v>567</v>
      </c>
      <c r="K1949" t="s">
        <v>49</v>
      </c>
      <c r="L1949" s="4">
        <v>12.147202500273634</v>
      </c>
      <c r="M1949" s="1" t="s">
        <v>38</v>
      </c>
      <c r="N1949" s="11">
        <f t="shared" si="30"/>
        <v>5</v>
      </c>
    </row>
    <row r="1950" spans="1:14" ht="16" x14ac:dyDescent="0.2">
      <c r="A1950" s="3">
        <v>44876.417289540805</v>
      </c>
      <c r="B1950" s="1" t="s">
        <v>2294</v>
      </c>
      <c r="C1950" t="s">
        <v>523</v>
      </c>
      <c r="D1950">
        <v>14</v>
      </c>
      <c r="E1950">
        <v>92</v>
      </c>
      <c r="F1950">
        <v>46</v>
      </c>
      <c r="G1950">
        <v>1288</v>
      </c>
      <c r="H1950" s="4">
        <v>644</v>
      </c>
      <c r="I1950" s="4">
        <v>644</v>
      </c>
      <c r="J1950" t="s">
        <v>1202</v>
      </c>
      <c r="K1950" t="s">
        <v>58</v>
      </c>
      <c r="L1950" s="4">
        <v>10.524491192521829</v>
      </c>
      <c r="M1950" s="1" t="s">
        <v>38</v>
      </c>
      <c r="N1950" s="11">
        <f t="shared" si="30"/>
        <v>5</v>
      </c>
    </row>
    <row r="1951" spans="1:14" ht="16" x14ac:dyDescent="0.2">
      <c r="A1951" s="3">
        <v>43575.861034928559</v>
      </c>
      <c r="B1951" s="1" t="s">
        <v>2295</v>
      </c>
      <c r="C1951" t="s">
        <v>356</v>
      </c>
      <c r="D1951">
        <v>8</v>
      </c>
      <c r="E1951">
        <v>356</v>
      </c>
      <c r="F1951">
        <v>89</v>
      </c>
      <c r="G1951">
        <v>2848</v>
      </c>
      <c r="H1951" s="4">
        <v>712</v>
      </c>
      <c r="I1951" s="4">
        <v>2136</v>
      </c>
      <c r="J1951" t="s">
        <v>1008</v>
      </c>
      <c r="K1951" t="s">
        <v>58</v>
      </c>
      <c r="L1951" s="4">
        <v>9.9471686551317795</v>
      </c>
      <c r="M1951" s="1" t="s">
        <v>38</v>
      </c>
      <c r="N1951" s="11">
        <f t="shared" si="30"/>
        <v>5</v>
      </c>
    </row>
    <row r="1952" spans="1:14" ht="16" x14ac:dyDescent="0.2">
      <c r="A1952" s="3">
        <v>44366.992762503076</v>
      </c>
      <c r="B1952" s="1" t="s">
        <v>2296</v>
      </c>
      <c r="C1952" t="s">
        <v>320</v>
      </c>
      <c r="D1952">
        <v>5</v>
      </c>
      <c r="E1952">
        <v>280</v>
      </c>
      <c r="F1952">
        <v>70</v>
      </c>
      <c r="G1952">
        <v>1400</v>
      </c>
      <c r="H1952" s="4">
        <v>350</v>
      </c>
      <c r="I1952" s="4">
        <v>1050</v>
      </c>
      <c r="J1952" t="s">
        <v>94</v>
      </c>
      <c r="K1952" t="s">
        <v>49</v>
      </c>
      <c r="L1952" s="4">
        <v>9.8238489437106278</v>
      </c>
      <c r="M1952" s="1" t="s">
        <v>54</v>
      </c>
      <c r="N1952" s="11">
        <f t="shared" si="30"/>
        <v>10</v>
      </c>
    </row>
    <row r="1953" spans="1:14" ht="16" x14ac:dyDescent="0.2">
      <c r="A1953" s="3">
        <v>44538.666142255905</v>
      </c>
      <c r="B1953" s="1" t="s">
        <v>2297</v>
      </c>
      <c r="C1953" t="s">
        <v>56</v>
      </c>
      <c r="D1953">
        <v>9</v>
      </c>
      <c r="E1953">
        <v>38</v>
      </c>
      <c r="F1953">
        <v>19</v>
      </c>
      <c r="G1953">
        <v>342</v>
      </c>
      <c r="H1953" s="4">
        <v>171</v>
      </c>
      <c r="I1953" s="4">
        <v>171</v>
      </c>
      <c r="J1953" t="s">
        <v>384</v>
      </c>
      <c r="K1953" t="s">
        <v>33</v>
      </c>
      <c r="L1953" s="4">
        <v>11.687634894637348</v>
      </c>
      <c r="M1953" s="1" t="s">
        <v>34</v>
      </c>
      <c r="N1953" s="11">
        <f t="shared" si="30"/>
        <v>1</v>
      </c>
    </row>
    <row r="1954" spans="1:14" ht="16" x14ac:dyDescent="0.2">
      <c r="A1954" s="3">
        <v>43313.45947480583</v>
      </c>
      <c r="B1954" s="1" t="s">
        <v>2298</v>
      </c>
      <c r="C1954" t="s">
        <v>607</v>
      </c>
      <c r="D1954">
        <v>14</v>
      </c>
      <c r="E1954">
        <v>225</v>
      </c>
      <c r="F1954">
        <v>75</v>
      </c>
      <c r="G1954">
        <v>3150</v>
      </c>
      <c r="H1954" s="4">
        <v>1050</v>
      </c>
      <c r="I1954" s="4">
        <v>2100</v>
      </c>
      <c r="J1954" t="s">
        <v>879</v>
      </c>
      <c r="K1954" t="s">
        <v>42</v>
      </c>
      <c r="L1954" s="4">
        <v>12.37474961859551</v>
      </c>
      <c r="M1954" s="1" t="s">
        <v>38</v>
      </c>
      <c r="N1954" s="11">
        <f t="shared" si="30"/>
        <v>5</v>
      </c>
    </row>
    <row r="1955" spans="1:14" ht="16" x14ac:dyDescent="0.2">
      <c r="A1955" s="3">
        <v>43715.658537188167</v>
      </c>
      <c r="B1955" s="1" t="s">
        <v>2136</v>
      </c>
      <c r="C1955" t="s">
        <v>56</v>
      </c>
      <c r="D1955">
        <v>3</v>
      </c>
      <c r="E1955">
        <v>38</v>
      </c>
      <c r="F1955">
        <v>19</v>
      </c>
      <c r="G1955">
        <v>114</v>
      </c>
      <c r="H1955" s="4">
        <v>57</v>
      </c>
      <c r="I1955" s="4">
        <v>57</v>
      </c>
      <c r="J1955" t="s">
        <v>645</v>
      </c>
      <c r="K1955" t="s">
        <v>86</v>
      </c>
      <c r="L1955" s="4">
        <v>9.879282537628514</v>
      </c>
      <c r="M1955" s="1" t="s">
        <v>54</v>
      </c>
      <c r="N1955" s="11">
        <f t="shared" si="30"/>
        <v>10</v>
      </c>
    </row>
    <row r="1956" spans="1:14" ht="16" x14ac:dyDescent="0.2">
      <c r="A1956" s="3">
        <v>43410.345322372159</v>
      </c>
      <c r="B1956" s="1" t="s">
        <v>2299</v>
      </c>
      <c r="C1956" t="s">
        <v>431</v>
      </c>
      <c r="D1956">
        <v>2</v>
      </c>
      <c r="E1956">
        <v>356</v>
      </c>
      <c r="F1956">
        <v>89</v>
      </c>
      <c r="G1956">
        <v>712</v>
      </c>
      <c r="H1956" s="4">
        <v>178</v>
      </c>
      <c r="I1956" s="4">
        <v>534</v>
      </c>
      <c r="J1956" t="s">
        <v>438</v>
      </c>
      <c r="K1956" t="s">
        <v>64</v>
      </c>
      <c r="L1956" s="4">
        <v>12.532428411174646</v>
      </c>
      <c r="M1956" s="1" t="s">
        <v>54</v>
      </c>
      <c r="N1956" s="11">
        <f t="shared" si="30"/>
        <v>10</v>
      </c>
    </row>
    <row r="1957" spans="1:14" ht="16" x14ac:dyDescent="0.2">
      <c r="A1957" s="3">
        <v>44342.303844358663</v>
      </c>
      <c r="B1957" s="1" t="s">
        <v>2300</v>
      </c>
      <c r="C1957" t="s">
        <v>240</v>
      </c>
      <c r="D1957">
        <v>1</v>
      </c>
      <c r="E1957">
        <v>108</v>
      </c>
      <c r="F1957">
        <v>54</v>
      </c>
      <c r="G1957">
        <v>108</v>
      </c>
      <c r="H1957" s="4">
        <v>54</v>
      </c>
      <c r="I1957" s="4">
        <v>54</v>
      </c>
      <c r="J1957" t="s">
        <v>380</v>
      </c>
      <c r="K1957" t="s">
        <v>64</v>
      </c>
      <c r="L1957" s="4">
        <v>11.416048240262977</v>
      </c>
      <c r="M1957" s="1" t="s">
        <v>34</v>
      </c>
      <c r="N1957" s="11">
        <f t="shared" si="30"/>
        <v>1</v>
      </c>
    </row>
    <row r="1958" spans="1:14" ht="16" x14ac:dyDescent="0.2">
      <c r="A1958" s="3">
        <v>44166.675103767782</v>
      </c>
      <c r="B1958" s="1" t="s">
        <v>614</v>
      </c>
      <c r="C1958" t="s">
        <v>538</v>
      </c>
      <c r="D1958">
        <v>11</v>
      </c>
      <c r="E1958">
        <v>261</v>
      </c>
      <c r="F1958">
        <v>87</v>
      </c>
      <c r="G1958">
        <v>2871</v>
      </c>
      <c r="H1958" s="4">
        <v>957</v>
      </c>
      <c r="I1958" s="4">
        <v>1914</v>
      </c>
      <c r="J1958" t="s">
        <v>277</v>
      </c>
      <c r="K1958" t="s">
        <v>58</v>
      </c>
      <c r="L1958" s="4">
        <v>11.883396013219548</v>
      </c>
      <c r="M1958" s="1" t="s">
        <v>54</v>
      </c>
      <c r="N1958" s="11">
        <f t="shared" si="30"/>
        <v>10</v>
      </c>
    </row>
    <row r="1959" spans="1:14" ht="16" x14ac:dyDescent="0.2">
      <c r="A1959" s="3">
        <v>44388.442497540251</v>
      </c>
      <c r="B1959" s="1" t="s">
        <v>2301</v>
      </c>
      <c r="C1959" t="s">
        <v>261</v>
      </c>
      <c r="D1959">
        <v>14</v>
      </c>
      <c r="E1959">
        <v>92</v>
      </c>
      <c r="F1959">
        <v>46</v>
      </c>
      <c r="G1959">
        <v>1288</v>
      </c>
      <c r="H1959" s="4">
        <v>644</v>
      </c>
      <c r="I1959" s="4">
        <v>644</v>
      </c>
      <c r="J1959" t="s">
        <v>580</v>
      </c>
      <c r="K1959" t="s">
        <v>58</v>
      </c>
      <c r="L1959" s="4">
        <v>14.66147716237918</v>
      </c>
      <c r="M1959" s="1" t="s">
        <v>38</v>
      </c>
      <c r="N1959" s="11">
        <f t="shared" si="30"/>
        <v>5</v>
      </c>
    </row>
    <row r="1960" spans="1:14" ht="16" x14ac:dyDescent="0.2">
      <c r="A1960" s="3">
        <v>43647.927330434439</v>
      </c>
      <c r="B1960" s="1" t="s">
        <v>2302</v>
      </c>
      <c r="C1960" t="s">
        <v>175</v>
      </c>
      <c r="D1960">
        <v>5</v>
      </c>
      <c r="E1960">
        <v>38</v>
      </c>
      <c r="F1960">
        <v>19</v>
      </c>
      <c r="G1960">
        <v>190</v>
      </c>
      <c r="H1960" s="4">
        <v>95</v>
      </c>
      <c r="I1960" s="4">
        <v>95</v>
      </c>
      <c r="J1960" t="s">
        <v>292</v>
      </c>
      <c r="K1960" t="s">
        <v>49</v>
      </c>
      <c r="L1960" s="4">
        <v>11.710935611749917</v>
      </c>
      <c r="M1960" s="1" t="s">
        <v>38</v>
      </c>
      <c r="N1960" s="11">
        <f t="shared" si="30"/>
        <v>5</v>
      </c>
    </row>
    <row r="1961" spans="1:14" ht="16" x14ac:dyDescent="0.2">
      <c r="A1961" s="3">
        <v>43360.57155946744</v>
      </c>
      <c r="B1961" s="1" t="s">
        <v>2303</v>
      </c>
      <c r="C1961" t="s">
        <v>370</v>
      </c>
      <c r="D1961">
        <v>13</v>
      </c>
      <c r="E1961">
        <v>144</v>
      </c>
      <c r="F1961">
        <v>36</v>
      </c>
      <c r="G1961">
        <v>1872</v>
      </c>
      <c r="H1961" s="4">
        <v>468</v>
      </c>
      <c r="I1961" s="4">
        <v>1404</v>
      </c>
      <c r="J1961" t="s">
        <v>938</v>
      </c>
      <c r="K1961" t="s">
        <v>33</v>
      </c>
      <c r="L1961" s="4">
        <v>13.397308081757757</v>
      </c>
      <c r="M1961" s="1" t="s">
        <v>38</v>
      </c>
      <c r="N1961" s="11">
        <f t="shared" si="30"/>
        <v>5</v>
      </c>
    </row>
    <row r="1962" spans="1:14" ht="16" x14ac:dyDescent="0.2">
      <c r="A1962" s="3">
        <v>44363.976532014392</v>
      </c>
      <c r="B1962" s="1" t="s">
        <v>2304</v>
      </c>
      <c r="C1962" t="s">
        <v>487</v>
      </c>
      <c r="D1962">
        <v>10</v>
      </c>
      <c r="E1962">
        <v>264</v>
      </c>
      <c r="F1962">
        <v>88</v>
      </c>
      <c r="G1962">
        <v>2640</v>
      </c>
      <c r="H1962" s="4">
        <v>880</v>
      </c>
      <c r="I1962" s="4">
        <v>1760</v>
      </c>
      <c r="J1962" t="s">
        <v>137</v>
      </c>
      <c r="K1962" t="s">
        <v>42</v>
      </c>
      <c r="L1962" s="4">
        <v>11.410471033945758</v>
      </c>
      <c r="M1962" s="1" t="s">
        <v>38</v>
      </c>
      <c r="N1962" s="11">
        <f t="shared" si="30"/>
        <v>5</v>
      </c>
    </row>
    <row r="1963" spans="1:14" ht="16" x14ac:dyDescent="0.2">
      <c r="A1963" s="3">
        <v>43592.267972054753</v>
      </c>
      <c r="B1963" s="1" t="s">
        <v>2305</v>
      </c>
      <c r="C1963" t="s">
        <v>110</v>
      </c>
      <c r="D1963">
        <v>12</v>
      </c>
      <c r="E1963">
        <v>144</v>
      </c>
      <c r="F1963">
        <v>36</v>
      </c>
      <c r="G1963">
        <v>1728</v>
      </c>
      <c r="H1963" s="4">
        <v>432</v>
      </c>
      <c r="I1963" s="4">
        <v>1296</v>
      </c>
      <c r="J1963" t="s">
        <v>1129</v>
      </c>
      <c r="K1963" t="s">
        <v>33</v>
      </c>
      <c r="L1963" s="4">
        <v>10.585251392347548</v>
      </c>
      <c r="M1963" s="1" t="s">
        <v>34</v>
      </c>
      <c r="N1963" s="11">
        <f t="shared" si="30"/>
        <v>1</v>
      </c>
    </row>
    <row r="1964" spans="1:14" ht="16" x14ac:dyDescent="0.2">
      <c r="A1964" s="3">
        <v>43007.041689333309</v>
      </c>
      <c r="B1964" s="1" t="s">
        <v>2306</v>
      </c>
      <c r="C1964" t="s">
        <v>212</v>
      </c>
      <c r="D1964">
        <v>3</v>
      </c>
      <c r="E1964">
        <v>300</v>
      </c>
      <c r="F1964">
        <v>75</v>
      </c>
      <c r="G1964">
        <v>900</v>
      </c>
      <c r="H1964" s="4">
        <v>225</v>
      </c>
      <c r="I1964" s="4">
        <v>675</v>
      </c>
      <c r="J1964" t="s">
        <v>933</v>
      </c>
      <c r="K1964" t="s">
        <v>58</v>
      </c>
      <c r="L1964" s="4">
        <v>11.130819205617987</v>
      </c>
      <c r="M1964" s="1" t="s">
        <v>34</v>
      </c>
      <c r="N1964" s="11">
        <f t="shared" si="30"/>
        <v>1</v>
      </c>
    </row>
    <row r="1965" spans="1:14" ht="16" x14ac:dyDescent="0.2">
      <c r="A1965" s="3">
        <v>43956.654466046093</v>
      </c>
      <c r="B1965" s="1" t="s">
        <v>1118</v>
      </c>
      <c r="C1965" t="s">
        <v>386</v>
      </c>
      <c r="D1965">
        <v>1</v>
      </c>
      <c r="E1965">
        <v>110</v>
      </c>
      <c r="F1965">
        <v>55</v>
      </c>
      <c r="G1965">
        <v>110</v>
      </c>
      <c r="H1965" s="4">
        <v>55</v>
      </c>
      <c r="I1965" s="4">
        <v>55</v>
      </c>
      <c r="J1965" t="s">
        <v>1126</v>
      </c>
      <c r="K1965" t="s">
        <v>64</v>
      </c>
      <c r="L1965" s="4">
        <v>11.593991859287692</v>
      </c>
      <c r="M1965" s="1" t="s">
        <v>38</v>
      </c>
      <c r="N1965" s="11">
        <f t="shared" si="30"/>
        <v>5</v>
      </c>
    </row>
    <row r="1966" spans="1:14" ht="16" x14ac:dyDescent="0.2">
      <c r="A1966" s="3">
        <v>44324.223870087437</v>
      </c>
      <c r="B1966" s="1" t="s">
        <v>2307</v>
      </c>
      <c r="C1966" t="s">
        <v>209</v>
      </c>
      <c r="D1966">
        <v>11</v>
      </c>
      <c r="E1966">
        <v>150</v>
      </c>
      <c r="F1966">
        <v>75</v>
      </c>
      <c r="G1966">
        <v>1650</v>
      </c>
      <c r="H1966" s="4">
        <v>825</v>
      </c>
      <c r="I1966" s="4">
        <v>825</v>
      </c>
      <c r="J1966" t="s">
        <v>70</v>
      </c>
      <c r="K1966" t="s">
        <v>49</v>
      </c>
      <c r="L1966" s="4">
        <v>12.957303170959879</v>
      </c>
      <c r="M1966" s="1" t="s">
        <v>54</v>
      </c>
      <c r="N1966" s="11">
        <f t="shared" si="30"/>
        <v>10</v>
      </c>
    </row>
    <row r="1967" spans="1:14" ht="16" x14ac:dyDescent="0.2">
      <c r="A1967" s="3">
        <v>43895.156511002453</v>
      </c>
      <c r="B1967" s="1" t="s">
        <v>2308</v>
      </c>
      <c r="C1967" t="s">
        <v>299</v>
      </c>
      <c r="D1967">
        <v>12</v>
      </c>
      <c r="E1967">
        <v>225</v>
      </c>
      <c r="F1967">
        <v>75</v>
      </c>
      <c r="G1967">
        <v>2700</v>
      </c>
      <c r="H1967" s="4">
        <v>900</v>
      </c>
      <c r="I1967" s="4">
        <v>1800</v>
      </c>
      <c r="J1967" t="s">
        <v>638</v>
      </c>
      <c r="K1967" t="s">
        <v>33</v>
      </c>
      <c r="L1967" s="4">
        <v>12.131375018945562</v>
      </c>
      <c r="M1967" s="1" t="s">
        <v>38</v>
      </c>
      <c r="N1967" s="11">
        <f t="shared" si="30"/>
        <v>5</v>
      </c>
    </row>
    <row r="1968" spans="1:14" ht="16" x14ac:dyDescent="0.2">
      <c r="A1968" s="3">
        <v>43930.319219077792</v>
      </c>
      <c r="B1968" s="1" t="s">
        <v>2309</v>
      </c>
      <c r="C1968" t="s">
        <v>259</v>
      </c>
      <c r="D1968">
        <v>5</v>
      </c>
      <c r="E1968">
        <v>270</v>
      </c>
      <c r="F1968">
        <v>90</v>
      </c>
      <c r="G1968">
        <v>1350</v>
      </c>
      <c r="H1968" s="4">
        <v>450</v>
      </c>
      <c r="I1968" s="4">
        <v>900</v>
      </c>
      <c r="J1968" t="s">
        <v>645</v>
      </c>
      <c r="K1968" t="s">
        <v>86</v>
      </c>
      <c r="L1968" s="4">
        <v>9.879282537628514</v>
      </c>
      <c r="M1968" s="1" t="s">
        <v>38</v>
      </c>
      <c r="N1968" s="11">
        <f t="shared" si="30"/>
        <v>5</v>
      </c>
    </row>
    <row r="1969" spans="1:14" ht="16" x14ac:dyDescent="0.2">
      <c r="A1969" s="3">
        <v>44218.226704346707</v>
      </c>
      <c r="B1969" s="1" t="s">
        <v>2310</v>
      </c>
      <c r="C1969" t="s">
        <v>297</v>
      </c>
      <c r="D1969">
        <v>8</v>
      </c>
      <c r="E1969">
        <v>108</v>
      </c>
      <c r="F1969">
        <v>36</v>
      </c>
      <c r="G1969">
        <v>864</v>
      </c>
      <c r="H1969" s="4">
        <v>288</v>
      </c>
      <c r="I1969" s="4">
        <v>576</v>
      </c>
      <c r="J1969" t="s">
        <v>279</v>
      </c>
      <c r="K1969" t="s">
        <v>64</v>
      </c>
      <c r="L1969" s="4">
        <v>11.504886852416154</v>
      </c>
      <c r="M1969" s="1" t="s">
        <v>34</v>
      </c>
      <c r="N1969" s="11">
        <f t="shared" si="30"/>
        <v>1</v>
      </c>
    </row>
    <row r="1970" spans="1:14" ht="16" x14ac:dyDescent="0.2">
      <c r="A1970" s="3">
        <v>43185.702034760739</v>
      </c>
      <c r="B1970" s="1" t="s">
        <v>2311</v>
      </c>
      <c r="C1970" t="s">
        <v>110</v>
      </c>
      <c r="D1970">
        <v>2</v>
      </c>
      <c r="E1970">
        <v>144</v>
      </c>
      <c r="F1970">
        <v>36</v>
      </c>
      <c r="G1970">
        <v>288</v>
      </c>
      <c r="H1970" s="4">
        <v>72</v>
      </c>
      <c r="I1970" s="4">
        <v>216</v>
      </c>
      <c r="J1970" t="s">
        <v>96</v>
      </c>
      <c r="K1970" t="s">
        <v>64</v>
      </c>
      <c r="L1970" s="4">
        <v>12.072414596936037</v>
      </c>
      <c r="M1970" s="1" t="s">
        <v>54</v>
      </c>
      <c r="N1970" s="11">
        <f t="shared" si="30"/>
        <v>10</v>
      </c>
    </row>
    <row r="1971" spans="1:14" ht="16" x14ac:dyDescent="0.2">
      <c r="A1971" s="3">
        <v>43835.39779949592</v>
      </c>
      <c r="B1971" s="1" t="s">
        <v>2312</v>
      </c>
      <c r="C1971" t="s">
        <v>544</v>
      </c>
      <c r="D1971">
        <v>18</v>
      </c>
      <c r="E1971">
        <v>267</v>
      </c>
      <c r="F1971">
        <v>89</v>
      </c>
      <c r="G1971">
        <v>4806</v>
      </c>
      <c r="H1971" s="4">
        <v>1602</v>
      </c>
      <c r="I1971" s="4">
        <v>3204</v>
      </c>
      <c r="J1971" t="s">
        <v>382</v>
      </c>
      <c r="K1971" t="s">
        <v>49</v>
      </c>
      <c r="L1971" s="4">
        <v>12.299779975023837</v>
      </c>
      <c r="M1971" s="1" t="s">
        <v>54</v>
      </c>
      <c r="N1971" s="11">
        <f t="shared" si="30"/>
        <v>10</v>
      </c>
    </row>
    <row r="1972" spans="1:14" ht="16" x14ac:dyDescent="0.2">
      <c r="A1972" s="3">
        <v>43842.153194873499</v>
      </c>
      <c r="B1972" s="1" t="s">
        <v>2313</v>
      </c>
      <c r="C1972" t="s">
        <v>261</v>
      </c>
      <c r="D1972">
        <v>19</v>
      </c>
      <c r="E1972">
        <v>92</v>
      </c>
      <c r="F1972">
        <v>46</v>
      </c>
      <c r="G1972">
        <v>1748</v>
      </c>
      <c r="H1972" s="4">
        <v>874</v>
      </c>
      <c r="I1972" s="4">
        <v>874</v>
      </c>
      <c r="J1972" t="s">
        <v>819</v>
      </c>
      <c r="K1972" t="s">
        <v>86</v>
      </c>
      <c r="L1972" s="4">
        <v>12.155895475340943</v>
      </c>
      <c r="M1972" s="1" t="s">
        <v>34</v>
      </c>
      <c r="N1972" s="11">
        <f t="shared" si="30"/>
        <v>1</v>
      </c>
    </row>
    <row r="1973" spans="1:14" ht="16" x14ac:dyDescent="0.2">
      <c r="A1973" s="3">
        <v>43873.779357688392</v>
      </c>
      <c r="B1973" s="1" t="s">
        <v>2314</v>
      </c>
      <c r="C1973" t="s">
        <v>193</v>
      </c>
      <c r="D1973">
        <v>8</v>
      </c>
      <c r="E1973">
        <v>348</v>
      </c>
      <c r="F1973">
        <v>87</v>
      </c>
      <c r="G1973">
        <v>2784</v>
      </c>
      <c r="H1973" s="4">
        <v>696</v>
      </c>
      <c r="I1973" s="4">
        <v>2088</v>
      </c>
      <c r="J1973" t="s">
        <v>189</v>
      </c>
      <c r="K1973" t="s">
        <v>58</v>
      </c>
      <c r="L1973" s="4">
        <v>12.551203838971933</v>
      </c>
      <c r="M1973" s="1" t="s">
        <v>34</v>
      </c>
      <c r="N1973" s="11">
        <f t="shared" si="30"/>
        <v>1</v>
      </c>
    </row>
    <row r="1974" spans="1:14" ht="16" x14ac:dyDescent="0.2">
      <c r="A1974" s="3">
        <v>44786.558902011828</v>
      </c>
      <c r="B1974" s="1" t="s">
        <v>2315</v>
      </c>
      <c r="C1974" t="s">
        <v>561</v>
      </c>
      <c r="D1974">
        <v>2</v>
      </c>
      <c r="E1974">
        <v>384</v>
      </c>
      <c r="F1974">
        <v>96</v>
      </c>
      <c r="G1974">
        <v>768</v>
      </c>
      <c r="H1974" s="4">
        <v>192</v>
      </c>
      <c r="I1974" s="4">
        <v>576</v>
      </c>
      <c r="J1974" t="s">
        <v>819</v>
      </c>
      <c r="K1974" t="s">
        <v>86</v>
      </c>
      <c r="L1974" s="4">
        <v>12.155895475340943</v>
      </c>
      <c r="M1974" s="1" t="s">
        <v>38</v>
      </c>
      <c r="N1974" s="11">
        <f t="shared" si="30"/>
        <v>5</v>
      </c>
    </row>
    <row r="1975" spans="1:14" ht="16" x14ac:dyDescent="0.2">
      <c r="A1975" s="3">
        <v>43623.545093424633</v>
      </c>
      <c r="B1975" s="1" t="s">
        <v>2316</v>
      </c>
      <c r="C1975" t="s">
        <v>62</v>
      </c>
      <c r="D1975">
        <v>20</v>
      </c>
      <c r="E1975">
        <v>80</v>
      </c>
      <c r="F1975">
        <v>20</v>
      </c>
      <c r="G1975">
        <v>1600</v>
      </c>
      <c r="H1975" s="4">
        <v>400</v>
      </c>
      <c r="I1975" s="4">
        <v>1200</v>
      </c>
      <c r="J1975" t="s">
        <v>164</v>
      </c>
      <c r="K1975" t="s">
        <v>86</v>
      </c>
      <c r="L1975" s="4">
        <v>12.452986387489583</v>
      </c>
      <c r="M1975" s="1" t="s">
        <v>54</v>
      </c>
      <c r="N1975" s="11">
        <f t="shared" si="30"/>
        <v>10</v>
      </c>
    </row>
    <row r="1976" spans="1:14" ht="16" x14ac:dyDescent="0.2">
      <c r="A1976" s="3">
        <v>43331.7378603385</v>
      </c>
      <c r="B1976" s="1" t="s">
        <v>2317</v>
      </c>
      <c r="C1976" t="s">
        <v>72</v>
      </c>
      <c r="D1976">
        <v>8</v>
      </c>
      <c r="E1976">
        <v>352</v>
      </c>
      <c r="F1976">
        <v>88</v>
      </c>
      <c r="G1976">
        <v>2816</v>
      </c>
      <c r="H1976" s="4">
        <v>704</v>
      </c>
      <c r="I1976" s="4">
        <v>2112</v>
      </c>
      <c r="J1976" t="s">
        <v>471</v>
      </c>
      <c r="K1976" t="s">
        <v>58</v>
      </c>
      <c r="L1976" s="4">
        <v>10.764293826791503</v>
      </c>
      <c r="M1976" s="1" t="s">
        <v>54</v>
      </c>
      <c r="N1976" s="11">
        <f t="shared" si="30"/>
        <v>10</v>
      </c>
    </row>
    <row r="1977" spans="1:14" ht="16" x14ac:dyDescent="0.2">
      <c r="A1977" s="3">
        <v>44126.038823097064</v>
      </c>
      <c r="B1977" s="1" t="s">
        <v>2318</v>
      </c>
      <c r="C1977" t="s">
        <v>130</v>
      </c>
      <c r="D1977">
        <v>8</v>
      </c>
      <c r="E1977">
        <v>144</v>
      </c>
      <c r="F1977">
        <v>48</v>
      </c>
      <c r="G1977">
        <v>1152</v>
      </c>
      <c r="H1977" s="4">
        <v>384</v>
      </c>
      <c r="I1977" s="4">
        <v>768</v>
      </c>
      <c r="J1977" t="s">
        <v>720</v>
      </c>
      <c r="K1977" t="s">
        <v>53</v>
      </c>
      <c r="L1977" s="4">
        <v>13.106678263594747</v>
      </c>
      <c r="M1977" s="1" t="s">
        <v>34</v>
      </c>
      <c r="N1977" s="11">
        <f t="shared" si="30"/>
        <v>1</v>
      </c>
    </row>
    <row r="1978" spans="1:14" ht="16" x14ac:dyDescent="0.2">
      <c r="A1978" s="3">
        <v>44302.711572284919</v>
      </c>
      <c r="B1978" s="1" t="s">
        <v>2218</v>
      </c>
      <c r="C1978" t="s">
        <v>178</v>
      </c>
      <c r="D1978">
        <v>20</v>
      </c>
      <c r="E1978">
        <v>189</v>
      </c>
      <c r="F1978">
        <v>63</v>
      </c>
      <c r="G1978">
        <v>3780</v>
      </c>
      <c r="H1978" s="4">
        <v>1260</v>
      </c>
      <c r="I1978" s="4">
        <v>2520</v>
      </c>
      <c r="J1978" t="s">
        <v>875</v>
      </c>
      <c r="K1978" t="s">
        <v>58</v>
      </c>
      <c r="L1978" s="4">
        <v>11.485823039755857</v>
      </c>
      <c r="M1978" s="1" t="s">
        <v>34</v>
      </c>
      <c r="N1978" s="11">
        <f t="shared" si="30"/>
        <v>1</v>
      </c>
    </row>
    <row r="1979" spans="1:14" ht="16" x14ac:dyDescent="0.2">
      <c r="A1979" s="3">
        <v>44109.904700539155</v>
      </c>
      <c r="B1979" s="1" t="s">
        <v>2319</v>
      </c>
      <c r="C1979" t="s">
        <v>110</v>
      </c>
      <c r="D1979">
        <v>4</v>
      </c>
      <c r="E1979">
        <v>144</v>
      </c>
      <c r="F1979">
        <v>36</v>
      </c>
      <c r="G1979">
        <v>576</v>
      </c>
      <c r="H1979" s="4">
        <v>144</v>
      </c>
      <c r="I1979" s="4">
        <v>432</v>
      </c>
      <c r="J1979" t="s">
        <v>123</v>
      </c>
      <c r="K1979" t="s">
        <v>53</v>
      </c>
      <c r="L1979" s="4">
        <v>10.42743035829395</v>
      </c>
      <c r="M1979" s="1" t="s">
        <v>38</v>
      </c>
      <c r="N1979" s="11">
        <f t="shared" si="30"/>
        <v>5</v>
      </c>
    </row>
    <row r="1980" spans="1:14" ht="16" x14ac:dyDescent="0.2">
      <c r="A1980" s="3">
        <v>43297.693697671304</v>
      </c>
      <c r="B1980" s="1" t="s">
        <v>2320</v>
      </c>
      <c r="C1980" t="s">
        <v>133</v>
      </c>
      <c r="D1980">
        <v>9</v>
      </c>
      <c r="E1980">
        <v>189</v>
      </c>
      <c r="F1980">
        <v>63</v>
      </c>
      <c r="G1980">
        <v>1701</v>
      </c>
      <c r="H1980" s="4">
        <v>567</v>
      </c>
      <c r="I1980" s="4">
        <v>1134</v>
      </c>
      <c r="J1980" t="s">
        <v>1065</v>
      </c>
      <c r="K1980" t="s">
        <v>53</v>
      </c>
      <c r="L1980" s="4">
        <v>13.00553764131261</v>
      </c>
      <c r="M1980" s="1" t="s">
        <v>54</v>
      </c>
      <c r="N1980" s="11">
        <f t="shared" si="30"/>
        <v>10</v>
      </c>
    </row>
    <row r="1981" spans="1:14" ht="16" x14ac:dyDescent="0.2">
      <c r="A1981" s="3">
        <v>43773.836508791108</v>
      </c>
      <c r="B1981" s="1" t="s">
        <v>2321</v>
      </c>
      <c r="C1981" t="s">
        <v>56</v>
      </c>
      <c r="D1981">
        <v>15</v>
      </c>
      <c r="E1981">
        <v>38</v>
      </c>
      <c r="F1981">
        <v>19</v>
      </c>
      <c r="G1981">
        <v>570</v>
      </c>
      <c r="H1981" s="4">
        <v>285</v>
      </c>
      <c r="I1981" s="4">
        <v>285</v>
      </c>
      <c r="J1981" t="s">
        <v>418</v>
      </c>
      <c r="K1981" t="s">
        <v>42</v>
      </c>
      <c r="L1981" s="4">
        <v>11.644564584314265</v>
      </c>
      <c r="M1981" s="1" t="s">
        <v>38</v>
      </c>
      <c r="N1981" s="11">
        <f t="shared" si="30"/>
        <v>5</v>
      </c>
    </row>
    <row r="1982" spans="1:14" ht="16" x14ac:dyDescent="0.2">
      <c r="A1982" s="3">
        <v>43932.51881195639</v>
      </c>
      <c r="B1982" s="1" t="s">
        <v>2322</v>
      </c>
      <c r="C1982" t="s">
        <v>196</v>
      </c>
      <c r="D1982">
        <v>14</v>
      </c>
      <c r="E1982">
        <v>192</v>
      </c>
      <c r="F1982">
        <v>96</v>
      </c>
      <c r="G1982">
        <v>2688</v>
      </c>
      <c r="H1982" s="4">
        <v>1344</v>
      </c>
      <c r="I1982" s="4">
        <v>1344</v>
      </c>
      <c r="J1982" t="s">
        <v>603</v>
      </c>
      <c r="K1982" t="s">
        <v>64</v>
      </c>
      <c r="L1982" s="4">
        <v>11.072271050116964</v>
      </c>
      <c r="M1982" s="1" t="s">
        <v>34</v>
      </c>
      <c r="N1982" s="11">
        <f t="shared" si="30"/>
        <v>1</v>
      </c>
    </row>
    <row r="1983" spans="1:14" ht="16" x14ac:dyDescent="0.2">
      <c r="A1983" s="3">
        <v>44404.976076813742</v>
      </c>
      <c r="B1983" s="1" t="s">
        <v>2323</v>
      </c>
      <c r="C1983" t="s">
        <v>178</v>
      </c>
      <c r="D1983">
        <v>14</v>
      </c>
      <c r="E1983">
        <v>189</v>
      </c>
      <c r="F1983">
        <v>63</v>
      </c>
      <c r="G1983">
        <v>2646</v>
      </c>
      <c r="H1983" s="4">
        <v>882</v>
      </c>
      <c r="I1983" s="4">
        <v>1764</v>
      </c>
      <c r="J1983" t="s">
        <v>249</v>
      </c>
      <c r="K1983" t="s">
        <v>49</v>
      </c>
      <c r="L1983" s="4">
        <v>12.699346182652626</v>
      </c>
      <c r="M1983" s="1" t="s">
        <v>38</v>
      </c>
      <c r="N1983" s="11">
        <f t="shared" si="30"/>
        <v>5</v>
      </c>
    </row>
    <row r="1984" spans="1:14" ht="16" x14ac:dyDescent="0.2">
      <c r="A1984" s="3">
        <v>44576.035617068883</v>
      </c>
      <c r="B1984" s="1" t="s">
        <v>2324</v>
      </c>
      <c r="C1984" t="s">
        <v>337</v>
      </c>
      <c r="D1984">
        <v>9</v>
      </c>
      <c r="E1984">
        <v>135</v>
      </c>
      <c r="F1984">
        <v>45</v>
      </c>
      <c r="G1984">
        <v>1215</v>
      </c>
      <c r="H1984" s="4">
        <v>405</v>
      </c>
      <c r="I1984" s="4">
        <v>810</v>
      </c>
      <c r="J1984" t="s">
        <v>186</v>
      </c>
      <c r="K1984" t="s">
        <v>58</v>
      </c>
      <c r="L1984" s="4">
        <v>11.31221475547909</v>
      </c>
      <c r="M1984" s="1" t="s">
        <v>38</v>
      </c>
      <c r="N1984" s="11">
        <f t="shared" si="30"/>
        <v>5</v>
      </c>
    </row>
    <row r="1985" spans="1:14" ht="16" x14ac:dyDescent="0.2">
      <c r="A1985" s="3">
        <v>44454.404595006228</v>
      </c>
      <c r="B1985" s="1" t="s">
        <v>2325</v>
      </c>
      <c r="C1985" t="s">
        <v>113</v>
      </c>
      <c r="D1985">
        <v>18</v>
      </c>
      <c r="E1985">
        <v>66</v>
      </c>
      <c r="F1985">
        <v>33</v>
      </c>
      <c r="G1985">
        <v>1188</v>
      </c>
      <c r="H1985" s="4">
        <v>594</v>
      </c>
      <c r="I1985" s="4">
        <v>594</v>
      </c>
      <c r="J1985" t="s">
        <v>191</v>
      </c>
      <c r="K1985" t="s">
        <v>42</v>
      </c>
      <c r="L1985" s="4">
        <v>10.523527521613014</v>
      </c>
      <c r="M1985" s="1" t="s">
        <v>54</v>
      </c>
      <c r="N1985" s="11">
        <f t="shared" si="30"/>
        <v>10</v>
      </c>
    </row>
    <row r="1986" spans="1:14" ht="16" x14ac:dyDescent="0.2">
      <c r="A1986" s="3">
        <v>44474.174581309031</v>
      </c>
      <c r="B1986" s="1" t="s">
        <v>2326</v>
      </c>
      <c r="C1986" t="s">
        <v>142</v>
      </c>
      <c r="D1986">
        <v>13</v>
      </c>
      <c r="E1986">
        <v>210</v>
      </c>
      <c r="F1986">
        <v>70</v>
      </c>
      <c r="G1986">
        <v>2730</v>
      </c>
      <c r="H1986" s="4">
        <v>910</v>
      </c>
      <c r="I1986" s="4">
        <v>1820</v>
      </c>
      <c r="J1986" t="s">
        <v>345</v>
      </c>
      <c r="K1986" t="s">
        <v>49</v>
      </c>
      <c r="L1986" s="4">
        <v>14.687857652112591</v>
      </c>
      <c r="M1986" s="1" t="s">
        <v>38</v>
      </c>
      <c r="N1986" s="11">
        <f t="shared" si="30"/>
        <v>5</v>
      </c>
    </row>
    <row r="1987" spans="1:14" ht="16" x14ac:dyDescent="0.2">
      <c r="A1987" s="3">
        <v>44704.43827781966</v>
      </c>
      <c r="B1987" s="1" t="s">
        <v>2327</v>
      </c>
      <c r="C1987" t="s">
        <v>243</v>
      </c>
      <c r="D1987">
        <v>12</v>
      </c>
      <c r="E1987">
        <v>90</v>
      </c>
      <c r="F1987">
        <v>45</v>
      </c>
      <c r="G1987">
        <v>1080</v>
      </c>
      <c r="H1987" s="4">
        <v>540</v>
      </c>
      <c r="I1987" s="4">
        <v>540</v>
      </c>
      <c r="J1987" t="s">
        <v>1022</v>
      </c>
      <c r="K1987" t="s">
        <v>49</v>
      </c>
      <c r="L1987" s="4">
        <v>15.268550004010105</v>
      </c>
      <c r="M1987" s="1" t="s">
        <v>34</v>
      </c>
      <c r="N1987" s="11">
        <f t="shared" ref="N1987:N2050" si="31">+IF(M1987="Dissatisfied",1,IF(M1987="Satisfied",10,5))</f>
        <v>1</v>
      </c>
    </row>
    <row r="1988" spans="1:14" ht="16" x14ac:dyDescent="0.2">
      <c r="A1988" s="3">
        <v>43768.566818676736</v>
      </c>
      <c r="B1988" s="1" t="s">
        <v>2328</v>
      </c>
      <c r="C1988" t="s">
        <v>299</v>
      </c>
      <c r="D1988">
        <v>14</v>
      </c>
      <c r="E1988">
        <v>225</v>
      </c>
      <c r="F1988">
        <v>75</v>
      </c>
      <c r="G1988">
        <v>3150</v>
      </c>
      <c r="H1988" s="4">
        <v>1050</v>
      </c>
      <c r="I1988" s="4">
        <v>2100</v>
      </c>
      <c r="J1988" t="s">
        <v>477</v>
      </c>
      <c r="K1988" t="s">
        <v>53</v>
      </c>
      <c r="L1988" s="4">
        <v>14.845213075061906</v>
      </c>
      <c r="M1988" s="1" t="s">
        <v>38</v>
      </c>
      <c r="N1988" s="11">
        <f t="shared" si="31"/>
        <v>5</v>
      </c>
    </row>
    <row r="1989" spans="1:14" ht="16" x14ac:dyDescent="0.2">
      <c r="A1989" s="3">
        <v>43540.922597192672</v>
      </c>
      <c r="B1989" s="1" t="s">
        <v>2329</v>
      </c>
      <c r="C1989" t="s">
        <v>317</v>
      </c>
      <c r="D1989">
        <v>12</v>
      </c>
      <c r="E1989">
        <v>352</v>
      </c>
      <c r="F1989">
        <v>88</v>
      </c>
      <c r="G1989">
        <v>4224</v>
      </c>
      <c r="H1989" s="4">
        <v>1056</v>
      </c>
      <c r="I1989" s="4">
        <v>3168</v>
      </c>
      <c r="J1989" t="s">
        <v>413</v>
      </c>
      <c r="K1989" t="s">
        <v>64</v>
      </c>
      <c r="L1989" s="4">
        <v>12.682358648534777</v>
      </c>
      <c r="M1989" s="1" t="s">
        <v>54</v>
      </c>
      <c r="N1989" s="11">
        <f t="shared" si="31"/>
        <v>10</v>
      </c>
    </row>
    <row r="1990" spans="1:14" ht="16" x14ac:dyDescent="0.2">
      <c r="A1990" s="3">
        <v>44738.85971542645</v>
      </c>
      <c r="B1990" s="1" t="s">
        <v>2330</v>
      </c>
      <c r="C1990" t="s">
        <v>66</v>
      </c>
      <c r="D1990">
        <v>14</v>
      </c>
      <c r="E1990">
        <v>144</v>
      </c>
      <c r="F1990">
        <v>48</v>
      </c>
      <c r="G1990">
        <v>2016</v>
      </c>
      <c r="H1990" s="4">
        <v>672</v>
      </c>
      <c r="I1990" s="4">
        <v>1344</v>
      </c>
      <c r="J1990" t="s">
        <v>466</v>
      </c>
      <c r="K1990" t="s">
        <v>49</v>
      </c>
      <c r="L1990" s="4">
        <v>16.368863536738775</v>
      </c>
      <c r="M1990" s="1" t="s">
        <v>54</v>
      </c>
      <c r="N1990" s="11">
        <f t="shared" si="31"/>
        <v>10</v>
      </c>
    </row>
    <row r="1991" spans="1:14" ht="16" x14ac:dyDescent="0.2">
      <c r="A1991" s="3">
        <v>43756.884534034791</v>
      </c>
      <c r="B1991" s="1" t="s">
        <v>1413</v>
      </c>
      <c r="C1991" t="s">
        <v>370</v>
      </c>
      <c r="D1991">
        <v>15</v>
      </c>
      <c r="E1991">
        <v>144</v>
      </c>
      <c r="F1991">
        <v>36</v>
      </c>
      <c r="G1991">
        <v>2160</v>
      </c>
      <c r="H1991" s="4">
        <v>540</v>
      </c>
      <c r="I1991" s="4">
        <v>1620</v>
      </c>
      <c r="J1991" t="s">
        <v>613</v>
      </c>
      <c r="K1991" t="s">
        <v>86</v>
      </c>
      <c r="L1991" s="4">
        <v>8.8169309002713945</v>
      </c>
      <c r="M1991" s="1" t="s">
        <v>38</v>
      </c>
      <c r="N1991" s="11">
        <f t="shared" si="31"/>
        <v>5</v>
      </c>
    </row>
    <row r="1992" spans="1:14" ht="16" x14ac:dyDescent="0.2">
      <c r="A1992" s="3">
        <v>43358.916465715316</v>
      </c>
      <c r="B1992" s="1" t="s">
        <v>2331</v>
      </c>
      <c r="C1992" t="s">
        <v>193</v>
      </c>
      <c r="D1992">
        <v>10</v>
      </c>
      <c r="E1992">
        <v>348</v>
      </c>
      <c r="F1992">
        <v>87</v>
      </c>
      <c r="G1992">
        <v>3480</v>
      </c>
      <c r="H1992" s="4">
        <v>870</v>
      </c>
      <c r="I1992" s="4">
        <v>2610</v>
      </c>
      <c r="J1992" t="s">
        <v>143</v>
      </c>
      <c r="K1992" t="s">
        <v>64</v>
      </c>
      <c r="L1992" s="4">
        <v>11.406233913305266</v>
      </c>
      <c r="M1992" s="1" t="s">
        <v>34</v>
      </c>
      <c r="N1992" s="11">
        <f t="shared" si="31"/>
        <v>1</v>
      </c>
    </row>
    <row r="1993" spans="1:14" ht="16" x14ac:dyDescent="0.2">
      <c r="A1993" s="3">
        <v>43959.306093373569</v>
      </c>
      <c r="B1993" s="1" t="s">
        <v>2318</v>
      </c>
      <c r="C1993" t="s">
        <v>175</v>
      </c>
      <c r="D1993">
        <v>12</v>
      </c>
      <c r="E1993">
        <v>38</v>
      </c>
      <c r="F1993">
        <v>19</v>
      </c>
      <c r="G1993">
        <v>456</v>
      </c>
      <c r="H1993" s="4">
        <v>228</v>
      </c>
      <c r="I1993" s="4">
        <v>228</v>
      </c>
      <c r="J1993" t="s">
        <v>448</v>
      </c>
      <c r="K1993" t="s">
        <v>58</v>
      </c>
      <c r="L1993" s="4">
        <v>15.770846827234339</v>
      </c>
      <c r="M1993" s="1" t="s">
        <v>34</v>
      </c>
      <c r="N1993" s="11">
        <f t="shared" si="31"/>
        <v>1</v>
      </c>
    </row>
    <row r="1994" spans="1:14" ht="16" x14ac:dyDescent="0.2">
      <c r="A1994" s="3">
        <v>43652.429387751581</v>
      </c>
      <c r="B1994" s="1" t="s">
        <v>2332</v>
      </c>
      <c r="C1994" t="s">
        <v>163</v>
      </c>
      <c r="D1994">
        <v>19</v>
      </c>
      <c r="E1994">
        <v>108</v>
      </c>
      <c r="F1994">
        <v>36</v>
      </c>
      <c r="G1994">
        <v>2052</v>
      </c>
      <c r="H1994" s="4">
        <v>684</v>
      </c>
      <c r="I1994" s="4">
        <v>1368</v>
      </c>
      <c r="J1994" t="s">
        <v>345</v>
      </c>
      <c r="K1994" t="s">
        <v>49</v>
      </c>
      <c r="L1994" s="4">
        <v>14.687857652112591</v>
      </c>
      <c r="M1994" s="1" t="s">
        <v>54</v>
      </c>
      <c r="N1994" s="11">
        <f t="shared" si="31"/>
        <v>10</v>
      </c>
    </row>
    <row r="1995" spans="1:14" ht="16" x14ac:dyDescent="0.2">
      <c r="A1995" s="3">
        <v>43345.612246766999</v>
      </c>
      <c r="B1995" s="1" t="s">
        <v>2333</v>
      </c>
      <c r="C1995" t="s">
        <v>105</v>
      </c>
      <c r="D1995">
        <v>9</v>
      </c>
      <c r="E1995">
        <v>201</v>
      </c>
      <c r="F1995">
        <v>67</v>
      </c>
      <c r="G1995">
        <v>1809</v>
      </c>
      <c r="H1995" s="4">
        <v>603</v>
      </c>
      <c r="I1995" s="4">
        <v>1206</v>
      </c>
      <c r="J1995" t="s">
        <v>1091</v>
      </c>
      <c r="K1995" t="s">
        <v>33</v>
      </c>
      <c r="L1995" s="4">
        <v>12.55774399806273</v>
      </c>
      <c r="M1995" s="1" t="s">
        <v>54</v>
      </c>
      <c r="N1995" s="11">
        <f t="shared" si="31"/>
        <v>10</v>
      </c>
    </row>
    <row r="1996" spans="1:14" ht="16" x14ac:dyDescent="0.2">
      <c r="A1996" s="3">
        <v>44193.42957745117</v>
      </c>
      <c r="B1996" s="1" t="s">
        <v>2334</v>
      </c>
      <c r="C1996" t="s">
        <v>51</v>
      </c>
      <c r="D1996">
        <v>18</v>
      </c>
      <c r="E1996">
        <v>160</v>
      </c>
      <c r="F1996">
        <v>80</v>
      </c>
      <c r="G1996">
        <v>2880</v>
      </c>
      <c r="H1996" s="4">
        <v>1440</v>
      </c>
      <c r="I1996" s="4">
        <v>1440</v>
      </c>
      <c r="J1996" t="s">
        <v>131</v>
      </c>
      <c r="K1996" t="s">
        <v>33</v>
      </c>
      <c r="L1996" s="4">
        <v>12.844063202784817</v>
      </c>
      <c r="M1996" s="1" t="s">
        <v>38</v>
      </c>
      <c r="N1996" s="11">
        <f t="shared" si="31"/>
        <v>5</v>
      </c>
    </row>
    <row r="1997" spans="1:14" ht="16" x14ac:dyDescent="0.2">
      <c r="A1997" s="3">
        <v>44072.701632585879</v>
      </c>
      <c r="B1997" s="1" t="s">
        <v>2335</v>
      </c>
      <c r="C1997" t="s">
        <v>51</v>
      </c>
      <c r="D1997">
        <v>8</v>
      </c>
      <c r="E1997">
        <v>160</v>
      </c>
      <c r="F1997">
        <v>80</v>
      </c>
      <c r="G1997">
        <v>1280</v>
      </c>
      <c r="H1997" s="4">
        <v>640</v>
      </c>
      <c r="I1997" s="4">
        <v>640</v>
      </c>
      <c r="J1997" t="s">
        <v>281</v>
      </c>
      <c r="K1997" t="s">
        <v>33</v>
      </c>
      <c r="L1997" s="4">
        <v>11.428575823958646</v>
      </c>
      <c r="M1997" s="1" t="s">
        <v>34</v>
      </c>
      <c r="N1997" s="11">
        <f t="shared" si="31"/>
        <v>1</v>
      </c>
    </row>
    <row r="1998" spans="1:14" ht="16" x14ac:dyDescent="0.2">
      <c r="A1998" s="3">
        <v>44575.066844790534</v>
      </c>
      <c r="B1998" s="1" t="s">
        <v>2336</v>
      </c>
      <c r="C1998" t="s">
        <v>163</v>
      </c>
      <c r="D1998">
        <v>7</v>
      </c>
      <c r="E1998">
        <v>108</v>
      </c>
      <c r="F1998">
        <v>36</v>
      </c>
      <c r="G1998">
        <v>756</v>
      </c>
      <c r="H1998" s="4">
        <v>252</v>
      </c>
      <c r="I1998" s="4">
        <v>504</v>
      </c>
      <c r="J1998" t="s">
        <v>754</v>
      </c>
      <c r="K1998" t="s">
        <v>42</v>
      </c>
      <c r="L1998" s="4">
        <v>14.376986923104601</v>
      </c>
      <c r="M1998" s="1" t="s">
        <v>38</v>
      </c>
      <c r="N1998" s="11">
        <f t="shared" si="31"/>
        <v>5</v>
      </c>
    </row>
    <row r="1999" spans="1:14" ht="16" x14ac:dyDescent="0.2">
      <c r="A1999" s="3">
        <v>45204.215025502184</v>
      </c>
      <c r="B1999" s="1" t="s">
        <v>2337</v>
      </c>
      <c r="C1999" t="s">
        <v>51</v>
      </c>
      <c r="D1999">
        <v>9</v>
      </c>
      <c r="E1999">
        <v>160</v>
      </c>
      <c r="F1999">
        <v>80</v>
      </c>
      <c r="G1999">
        <v>1440</v>
      </c>
      <c r="H1999" s="4">
        <v>720</v>
      </c>
      <c r="I1999" s="4">
        <v>720</v>
      </c>
      <c r="J1999" t="s">
        <v>626</v>
      </c>
      <c r="K1999" t="s">
        <v>58</v>
      </c>
      <c r="L1999" s="4">
        <v>13.259563298324382</v>
      </c>
      <c r="M1999" s="1" t="s">
        <v>38</v>
      </c>
      <c r="N1999" s="11">
        <f t="shared" si="31"/>
        <v>5</v>
      </c>
    </row>
    <row r="2000" spans="1:14" ht="16" x14ac:dyDescent="0.2">
      <c r="A2000" s="3">
        <v>44083.758599459587</v>
      </c>
      <c r="B2000" s="1" t="s">
        <v>2338</v>
      </c>
      <c r="C2000" t="s">
        <v>259</v>
      </c>
      <c r="D2000">
        <v>13</v>
      </c>
      <c r="E2000">
        <v>270</v>
      </c>
      <c r="F2000">
        <v>90</v>
      </c>
      <c r="G2000">
        <v>3510</v>
      </c>
      <c r="H2000" s="4">
        <v>1170</v>
      </c>
      <c r="I2000" s="4">
        <v>2340</v>
      </c>
      <c r="J2000" t="s">
        <v>96</v>
      </c>
      <c r="K2000" t="s">
        <v>64</v>
      </c>
      <c r="L2000" s="4">
        <v>12.072414596936037</v>
      </c>
      <c r="M2000" s="1" t="s">
        <v>54</v>
      </c>
      <c r="N2000" s="11">
        <f t="shared" si="31"/>
        <v>10</v>
      </c>
    </row>
    <row r="2001" spans="1:14" ht="16" x14ac:dyDescent="0.2">
      <c r="A2001" s="3">
        <v>44328.657828686111</v>
      </c>
      <c r="B2001" s="1" t="s">
        <v>2339</v>
      </c>
      <c r="C2001" t="s">
        <v>286</v>
      </c>
      <c r="D2001">
        <v>8</v>
      </c>
      <c r="E2001">
        <v>34</v>
      </c>
      <c r="F2001">
        <v>17</v>
      </c>
      <c r="G2001">
        <v>272</v>
      </c>
      <c r="H2001" s="4">
        <v>136</v>
      </c>
      <c r="I2001" s="4">
        <v>136</v>
      </c>
      <c r="J2001" t="s">
        <v>689</v>
      </c>
      <c r="K2001" t="s">
        <v>58</v>
      </c>
      <c r="L2001" s="4">
        <v>13.486912834801583</v>
      </c>
      <c r="M2001" s="1" t="s">
        <v>38</v>
      </c>
      <c r="N2001" s="11">
        <f t="shared" si="31"/>
        <v>5</v>
      </c>
    </row>
    <row r="2002" spans="1:14" ht="16" x14ac:dyDescent="0.2">
      <c r="A2002" s="3">
        <v>43970.700052430926</v>
      </c>
      <c r="B2002" s="1" t="s">
        <v>2340</v>
      </c>
      <c r="C2002" t="s">
        <v>365</v>
      </c>
      <c r="D2002">
        <v>11</v>
      </c>
      <c r="E2002">
        <v>255</v>
      </c>
      <c r="F2002">
        <v>85</v>
      </c>
      <c r="G2002">
        <v>2805</v>
      </c>
      <c r="H2002" s="4">
        <v>935</v>
      </c>
      <c r="I2002" s="4">
        <v>1870</v>
      </c>
      <c r="J2002" t="s">
        <v>338</v>
      </c>
      <c r="K2002" t="s">
        <v>64</v>
      </c>
      <c r="L2002" s="4">
        <v>10.132922049221957</v>
      </c>
      <c r="M2002" s="1" t="s">
        <v>34</v>
      </c>
      <c r="N2002" s="11">
        <f t="shared" si="31"/>
        <v>1</v>
      </c>
    </row>
    <row r="2003" spans="1:14" ht="16" x14ac:dyDescent="0.2">
      <c r="A2003" s="3">
        <v>44248.188886553355</v>
      </c>
      <c r="B2003" s="1" t="s">
        <v>2341</v>
      </c>
      <c r="C2003" t="s">
        <v>72</v>
      </c>
      <c r="D2003">
        <v>3</v>
      </c>
      <c r="E2003">
        <v>352</v>
      </c>
      <c r="F2003">
        <v>88</v>
      </c>
      <c r="G2003">
        <v>1056</v>
      </c>
      <c r="H2003" s="4">
        <v>264</v>
      </c>
      <c r="I2003" s="4">
        <v>792</v>
      </c>
      <c r="J2003" t="s">
        <v>912</v>
      </c>
      <c r="K2003" t="s">
        <v>64</v>
      </c>
      <c r="L2003" s="4">
        <v>11.816651848338852</v>
      </c>
      <c r="M2003" s="1" t="s">
        <v>38</v>
      </c>
      <c r="N2003" s="11">
        <f t="shared" si="31"/>
        <v>5</v>
      </c>
    </row>
    <row r="2004" spans="1:14" ht="16" x14ac:dyDescent="0.2">
      <c r="A2004" s="3">
        <v>43641.620404781534</v>
      </c>
      <c r="B2004" s="1" t="s">
        <v>2342</v>
      </c>
      <c r="C2004" t="s">
        <v>288</v>
      </c>
      <c r="D2004">
        <v>4</v>
      </c>
      <c r="E2004">
        <v>48</v>
      </c>
      <c r="F2004">
        <v>24</v>
      </c>
      <c r="G2004">
        <v>192</v>
      </c>
      <c r="H2004" s="4">
        <v>96</v>
      </c>
      <c r="I2004" s="4">
        <v>96</v>
      </c>
      <c r="J2004" t="s">
        <v>825</v>
      </c>
      <c r="K2004" t="s">
        <v>42</v>
      </c>
      <c r="L2004" s="4">
        <v>14.060995290679429</v>
      </c>
      <c r="M2004" s="1" t="s">
        <v>54</v>
      </c>
      <c r="N2004" s="11">
        <f t="shared" si="31"/>
        <v>10</v>
      </c>
    </row>
    <row r="2005" spans="1:14" ht="16" x14ac:dyDescent="0.2">
      <c r="A2005" s="3">
        <v>43985.257953491513</v>
      </c>
      <c r="B2005" s="1" t="s">
        <v>2343</v>
      </c>
      <c r="C2005" t="s">
        <v>312</v>
      </c>
      <c r="D2005">
        <v>15</v>
      </c>
      <c r="E2005">
        <v>240</v>
      </c>
      <c r="F2005">
        <v>80</v>
      </c>
      <c r="G2005">
        <v>3600</v>
      </c>
      <c r="H2005" s="4">
        <v>1200</v>
      </c>
      <c r="I2005" s="4">
        <v>2400</v>
      </c>
      <c r="J2005" t="s">
        <v>181</v>
      </c>
      <c r="K2005" t="s">
        <v>53</v>
      </c>
      <c r="L2005" s="4">
        <v>11.727497850343074</v>
      </c>
      <c r="M2005" s="1" t="s">
        <v>54</v>
      </c>
      <c r="N2005" s="11">
        <f t="shared" si="31"/>
        <v>10</v>
      </c>
    </row>
    <row r="2006" spans="1:14" ht="16" x14ac:dyDescent="0.2">
      <c r="A2006" s="3">
        <v>44629.20682977885</v>
      </c>
      <c r="B2006" s="1" t="s">
        <v>2344</v>
      </c>
      <c r="C2006" t="s">
        <v>320</v>
      </c>
      <c r="D2006">
        <v>5</v>
      </c>
      <c r="E2006">
        <v>280</v>
      </c>
      <c r="F2006">
        <v>70</v>
      </c>
      <c r="G2006">
        <v>1400</v>
      </c>
      <c r="H2006" s="4">
        <v>350</v>
      </c>
      <c r="I2006" s="4">
        <v>1050</v>
      </c>
      <c r="J2006" t="s">
        <v>477</v>
      </c>
      <c r="K2006" t="s">
        <v>53</v>
      </c>
      <c r="L2006" s="4">
        <v>14.845213075061906</v>
      </c>
      <c r="M2006" s="1" t="s">
        <v>38</v>
      </c>
      <c r="N2006" s="11">
        <f t="shared" si="31"/>
        <v>5</v>
      </c>
    </row>
    <row r="2007" spans="1:14" ht="16" x14ac:dyDescent="0.2">
      <c r="A2007" s="3">
        <v>44742.158215633215</v>
      </c>
      <c r="B2007" s="1" t="s">
        <v>2345</v>
      </c>
      <c r="C2007" t="s">
        <v>157</v>
      </c>
      <c r="D2007">
        <v>10</v>
      </c>
      <c r="E2007">
        <v>50</v>
      </c>
      <c r="F2007">
        <v>25</v>
      </c>
      <c r="G2007">
        <v>500</v>
      </c>
      <c r="H2007" s="4">
        <v>250</v>
      </c>
      <c r="I2007" s="4">
        <v>250</v>
      </c>
      <c r="J2007" t="s">
        <v>580</v>
      </c>
      <c r="K2007" t="s">
        <v>58</v>
      </c>
      <c r="L2007" s="4">
        <v>14.66147716237918</v>
      </c>
      <c r="M2007" s="1" t="s">
        <v>38</v>
      </c>
      <c r="N2007" s="11">
        <f t="shared" si="31"/>
        <v>5</v>
      </c>
    </row>
    <row r="2008" spans="1:14" ht="16" x14ac:dyDescent="0.2">
      <c r="A2008" s="3">
        <v>43590.558358754781</v>
      </c>
      <c r="B2008" s="1" t="s">
        <v>2346</v>
      </c>
      <c r="C2008" t="s">
        <v>259</v>
      </c>
      <c r="D2008">
        <v>5</v>
      </c>
      <c r="E2008">
        <v>270</v>
      </c>
      <c r="F2008">
        <v>90</v>
      </c>
      <c r="G2008">
        <v>1350</v>
      </c>
      <c r="H2008" s="4">
        <v>450</v>
      </c>
      <c r="I2008" s="4">
        <v>900</v>
      </c>
      <c r="J2008" t="s">
        <v>343</v>
      </c>
      <c r="K2008" t="s">
        <v>42</v>
      </c>
      <c r="L2008" s="4">
        <v>9.8928038181361391</v>
      </c>
      <c r="M2008" s="1" t="s">
        <v>38</v>
      </c>
      <c r="N2008" s="11">
        <f t="shared" si="31"/>
        <v>5</v>
      </c>
    </row>
    <row r="2009" spans="1:14" ht="16" x14ac:dyDescent="0.2">
      <c r="A2009" s="3">
        <v>43504.859702398397</v>
      </c>
      <c r="B2009" s="1" t="s">
        <v>2347</v>
      </c>
      <c r="C2009" t="s">
        <v>583</v>
      </c>
      <c r="D2009">
        <v>6</v>
      </c>
      <c r="E2009">
        <v>57</v>
      </c>
      <c r="F2009">
        <v>19</v>
      </c>
      <c r="G2009">
        <v>342</v>
      </c>
      <c r="H2009" s="4">
        <v>114</v>
      </c>
      <c r="I2009" s="4">
        <v>228</v>
      </c>
      <c r="J2009" t="s">
        <v>429</v>
      </c>
      <c r="K2009" t="s">
        <v>33</v>
      </c>
      <c r="L2009" s="4">
        <v>11.701919153133453</v>
      </c>
      <c r="M2009" s="1" t="s">
        <v>38</v>
      </c>
      <c r="N2009" s="11">
        <f t="shared" si="31"/>
        <v>5</v>
      </c>
    </row>
    <row r="2010" spans="1:14" ht="16" x14ac:dyDescent="0.2">
      <c r="A2010" s="3">
        <v>43559.288741593926</v>
      </c>
      <c r="B2010" s="1" t="s">
        <v>2348</v>
      </c>
      <c r="C2010" t="s">
        <v>592</v>
      </c>
      <c r="D2010">
        <v>15</v>
      </c>
      <c r="E2010">
        <v>312</v>
      </c>
      <c r="F2010">
        <v>78</v>
      </c>
      <c r="G2010">
        <v>4680</v>
      </c>
      <c r="H2010" s="4">
        <v>1170</v>
      </c>
      <c r="I2010" s="4">
        <v>3510</v>
      </c>
      <c r="J2010" t="s">
        <v>118</v>
      </c>
      <c r="K2010" t="s">
        <v>64</v>
      </c>
      <c r="L2010" s="4">
        <v>11.128721898968678</v>
      </c>
      <c r="M2010" s="1" t="s">
        <v>34</v>
      </c>
      <c r="N2010" s="11">
        <f t="shared" si="31"/>
        <v>1</v>
      </c>
    </row>
    <row r="2011" spans="1:14" ht="16" x14ac:dyDescent="0.2">
      <c r="A2011" s="3">
        <v>43554.373269665346</v>
      </c>
      <c r="B2011" s="1" t="s">
        <v>2349</v>
      </c>
      <c r="C2011" t="s">
        <v>175</v>
      </c>
      <c r="D2011">
        <v>8</v>
      </c>
      <c r="E2011">
        <v>38</v>
      </c>
      <c r="F2011">
        <v>19</v>
      </c>
      <c r="G2011">
        <v>304</v>
      </c>
      <c r="H2011" s="4">
        <v>152</v>
      </c>
      <c r="I2011" s="4">
        <v>152</v>
      </c>
      <c r="J2011" t="s">
        <v>1195</v>
      </c>
      <c r="K2011" t="s">
        <v>33</v>
      </c>
      <c r="L2011" s="4">
        <v>11.971065679104063</v>
      </c>
      <c r="M2011" s="1" t="s">
        <v>54</v>
      </c>
      <c r="N2011" s="11">
        <f t="shared" si="31"/>
        <v>10</v>
      </c>
    </row>
    <row r="2012" spans="1:14" ht="16" x14ac:dyDescent="0.2">
      <c r="A2012" s="3">
        <v>43566.869164242824</v>
      </c>
      <c r="B2012" s="1" t="s">
        <v>2350</v>
      </c>
      <c r="C2012" t="s">
        <v>261</v>
      </c>
      <c r="D2012">
        <v>18</v>
      </c>
      <c r="E2012">
        <v>92</v>
      </c>
      <c r="F2012">
        <v>46</v>
      </c>
      <c r="G2012">
        <v>1656</v>
      </c>
      <c r="H2012" s="4">
        <v>828</v>
      </c>
      <c r="I2012" s="4">
        <v>828</v>
      </c>
      <c r="J2012" t="s">
        <v>903</v>
      </c>
      <c r="K2012" t="s">
        <v>58</v>
      </c>
      <c r="L2012" s="4">
        <v>11.952554704438674</v>
      </c>
      <c r="M2012" s="1" t="s">
        <v>38</v>
      </c>
      <c r="N2012" s="11">
        <f t="shared" si="31"/>
        <v>5</v>
      </c>
    </row>
    <row r="2013" spans="1:14" ht="16" x14ac:dyDescent="0.2">
      <c r="A2013" s="3">
        <v>44675.95472449017</v>
      </c>
      <c r="B2013" s="1" t="s">
        <v>2351</v>
      </c>
      <c r="C2013" t="s">
        <v>36</v>
      </c>
      <c r="D2013">
        <v>10</v>
      </c>
      <c r="E2013">
        <v>102</v>
      </c>
      <c r="F2013">
        <v>51</v>
      </c>
      <c r="G2013">
        <v>1020</v>
      </c>
      <c r="H2013" s="4">
        <v>510</v>
      </c>
      <c r="I2013" s="4">
        <v>510</v>
      </c>
      <c r="J2013" t="s">
        <v>359</v>
      </c>
      <c r="K2013" t="s">
        <v>64</v>
      </c>
      <c r="L2013" s="4">
        <v>11.970975110943924</v>
      </c>
      <c r="M2013" s="1" t="s">
        <v>54</v>
      </c>
      <c r="N2013" s="11">
        <f t="shared" si="31"/>
        <v>10</v>
      </c>
    </row>
    <row r="2014" spans="1:14" ht="16" x14ac:dyDescent="0.2">
      <c r="A2014" s="3">
        <v>43437.269557671658</v>
      </c>
      <c r="B2014" s="1" t="s">
        <v>2352</v>
      </c>
      <c r="C2014" t="s">
        <v>248</v>
      </c>
      <c r="D2014">
        <v>11</v>
      </c>
      <c r="E2014">
        <v>132</v>
      </c>
      <c r="F2014">
        <v>44</v>
      </c>
      <c r="G2014">
        <v>1452</v>
      </c>
      <c r="H2014" s="4">
        <v>484</v>
      </c>
      <c r="I2014" s="4">
        <v>968</v>
      </c>
      <c r="J2014" t="s">
        <v>923</v>
      </c>
      <c r="K2014" t="s">
        <v>42</v>
      </c>
      <c r="L2014" s="4">
        <v>12.502346728827876</v>
      </c>
      <c r="M2014" s="1" t="s">
        <v>38</v>
      </c>
      <c r="N2014" s="11">
        <f t="shared" si="31"/>
        <v>5</v>
      </c>
    </row>
    <row r="2015" spans="1:14" ht="16" x14ac:dyDescent="0.2">
      <c r="A2015" s="3">
        <v>44278.0436452957</v>
      </c>
      <c r="B2015" s="1" t="s">
        <v>2353</v>
      </c>
      <c r="C2015" t="s">
        <v>78</v>
      </c>
      <c r="D2015">
        <v>14</v>
      </c>
      <c r="E2015">
        <v>94</v>
      </c>
      <c r="F2015">
        <v>47</v>
      </c>
      <c r="G2015">
        <v>1316</v>
      </c>
      <c r="H2015" s="4">
        <v>658</v>
      </c>
      <c r="I2015" s="4">
        <v>658</v>
      </c>
      <c r="J2015" t="s">
        <v>555</v>
      </c>
      <c r="K2015" t="s">
        <v>53</v>
      </c>
      <c r="L2015" s="4">
        <v>14.341195386574373</v>
      </c>
      <c r="M2015" s="1" t="s">
        <v>54</v>
      </c>
      <c r="N2015" s="11">
        <f t="shared" si="31"/>
        <v>10</v>
      </c>
    </row>
    <row r="2016" spans="1:14" ht="16" x14ac:dyDescent="0.2">
      <c r="A2016" s="3">
        <v>44186.495129630508</v>
      </c>
      <c r="B2016" s="1" t="s">
        <v>2354</v>
      </c>
      <c r="C2016" t="s">
        <v>320</v>
      </c>
      <c r="D2016">
        <v>15</v>
      </c>
      <c r="E2016">
        <v>280</v>
      </c>
      <c r="F2016">
        <v>70</v>
      </c>
      <c r="G2016">
        <v>4200</v>
      </c>
      <c r="H2016" s="4">
        <v>1050</v>
      </c>
      <c r="I2016" s="4">
        <v>3150</v>
      </c>
      <c r="J2016" t="s">
        <v>290</v>
      </c>
      <c r="K2016" t="s">
        <v>86</v>
      </c>
      <c r="L2016" s="4">
        <v>12.758430621858414</v>
      </c>
      <c r="M2016" s="1" t="s">
        <v>34</v>
      </c>
      <c r="N2016" s="11">
        <f t="shared" si="31"/>
        <v>1</v>
      </c>
    </row>
    <row r="2017" spans="1:14" ht="16" x14ac:dyDescent="0.2">
      <c r="A2017" s="3">
        <v>43722.246043315245</v>
      </c>
      <c r="B2017" s="1" t="s">
        <v>2355</v>
      </c>
      <c r="C2017" t="s">
        <v>209</v>
      </c>
      <c r="D2017">
        <v>2</v>
      </c>
      <c r="E2017">
        <v>150</v>
      </c>
      <c r="F2017">
        <v>75</v>
      </c>
      <c r="G2017">
        <v>300</v>
      </c>
      <c r="H2017" s="4">
        <v>150</v>
      </c>
      <c r="I2017" s="4">
        <v>150</v>
      </c>
      <c r="J2017" t="s">
        <v>716</v>
      </c>
      <c r="K2017" t="s">
        <v>33</v>
      </c>
      <c r="L2017" s="4">
        <v>10.411813357023924</v>
      </c>
      <c r="M2017" s="1" t="s">
        <v>54</v>
      </c>
      <c r="N2017" s="11">
        <f t="shared" si="31"/>
        <v>10</v>
      </c>
    </row>
    <row r="2018" spans="1:14" ht="16" x14ac:dyDescent="0.2">
      <c r="A2018" s="3">
        <v>43027.923870202532</v>
      </c>
      <c r="B2018" s="1" t="s">
        <v>2356</v>
      </c>
      <c r="C2018" t="s">
        <v>266</v>
      </c>
      <c r="D2018">
        <v>19</v>
      </c>
      <c r="E2018">
        <v>50</v>
      </c>
      <c r="F2018">
        <v>25</v>
      </c>
      <c r="G2018">
        <v>950</v>
      </c>
      <c r="H2018" s="4">
        <v>475</v>
      </c>
      <c r="I2018" s="4">
        <v>475</v>
      </c>
      <c r="J2018" t="s">
        <v>980</v>
      </c>
      <c r="K2018" t="s">
        <v>33</v>
      </c>
      <c r="L2018" s="4">
        <v>8.1743378387804331</v>
      </c>
      <c r="M2018" s="1" t="s">
        <v>38</v>
      </c>
      <c r="N2018" s="11">
        <f t="shared" si="31"/>
        <v>5</v>
      </c>
    </row>
    <row r="2019" spans="1:14" ht="16" x14ac:dyDescent="0.2">
      <c r="A2019" s="3">
        <v>43707.663180319018</v>
      </c>
      <c r="B2019" s="1" t="s">
        <v>2357</v>
      </c>
      <c r="C2019" t="s">
        <v>425</v>
      </c>
      <c r="D2019">
        <v>19</v>
      </c>
      <c r="E2019">
        <v>352</v>
      </c>
      <c r="F2019">
        <v>88</v>
      </c>
      <c r="G2019">
        <v>6688</v>
      </c>
      <c r="H2019" s="4">
        <v>1672</v>
      </c>
      <c r="I2019" s="4">
        <v>5016</v>
      </c>
      <c r="J2019" t="s">
        <v>741</v>
      </c>
      <c r="K2019" t="s">
        <v>42</v>
      </c>
      <c r="L2019" s="4">
        <v>14.817898176328208</v>
      </c>
      <c r="M2019" s="1" t="s">
        <v>54</v>
      </c>
      <c r="N2019" s="11">
        <f t="shared" si="31"/>
        <v>10</v>
      </c>
    </row>
    <row r="2020" spans="1:14" ht="16" x14ac:dyDescent="0.2">
      <c r="A2020" s="3">
        <v>43857.726301208495</v>
      </c>
      <c r="B2020" s="1" t="s">
        <v>2358</v>
      </c>
      <c r="C2020" t="s">
        <v>561</v>
      </c>
      <c r="D2020">
        <v>11</v>
      </c>
      <c r="E2020">
        <v>384</v>
      </c>
      <c r="F2020">
        <v>96</v>
      </c>
      <c r="G2020">
        <v>4224</v>
      </c>
      <c r="H2020" s="4">
        <v>1056</v>
      </c>
      <c r="I2020" s="4">
        <v>3168</v>
      </c>
      <c r="J2020" t="s">
        <v>815</v>
      </c>
      <c r="K2020" t="s">
        <v>33</v>
      </c>
      <c r="L2020" s="4">
        <v>16.254955391951082</v>
      </c>
      <c r="M2020" s="1" t="s">
        <v>34</v>
      </c>
      <c r="N2020" s="11">
        <f t="shared" si="31"/>
        <v>1</v>
      </c>
    </row>
    <row r="2021" spans="1:14" ht="16" x14ac:dyDescent="0.2">
      <c r="A2021" s="3">
        <v>44752.672131640429</v>
      </c>
      <c r="B2021" s="1" t="s">
        <v>1777</v>
      </c>
      <c r="C2021" t="s">
        <v>175</v>
      </c>
      <c r="D2021">
        <v>18</v>
      </c>
      <c r="E2021">
        <v>38</v>
      </c>
      <c r="F2021">
        <v>19</v>
      </c>
      <c r="G2021">
        <v>684</v>
      </c>
      <c r="H2021" s="4">
        <v>342</v>
      </c>
      <c r="I2021" s="4">
        <v>342</v>
      </c>
      <c r="J2021" t="s">
        <v>272</v>
      </c>
      <c r="K2021" t="s">
        <v>49</v>
      </c>
      <c r="L2021" s="4">
        <v>12.503632939408062</v>
      </c>
      <c r="M2021" s="1" t="s">
        <v>38</v>
      </c>
      <c r="N2021" s="11">
        <f t="shared" si="31"/>
        <v>5</v>
      </c>
    </row>
    <row r="2022" spans="1:14" ht="16" x14ac:dyDescent="0.2">
      <c r="A2022" s="3">
        <v>44118.586095093233</v>
      </c>
      <c r="B2022" s="1" t="s">
        <v>1236</v>
      </c>
      <c r="C2022" t="s">
        <v>304</v>
      </c>
      <c r="D2022">
        <v>19</v>
      </c>
      <c r="E2022">
        <v>116</v>
      </c>
      <c r="F2022">
        <v>29</v>
      </c>
      <c r="G2022">
        <v>2204</v>
      </c>
      <c r="H2022" s="4">
        <v>551</v>
      </c>
      <c r="I2022" s="4">
        <v>1653</v>
      </c>
      <c r="J2022" t="s">
        <v>786</v>
      </c>
      <c r="K2022" t="s">
        <v>86</v>
      </c>
      <c r="L2022" s="4">
        <v>13.095446915421235</v>
      </c>
      <c r="M2022" s="1" t="s">
        <v>38</v>
      </c>
      <c r="N2022" s="11">
        <f t="shared" si="31"/>
        <v>5</v>
      </c>
    </row>
    <row r="2023" spans="1:14" ht="16" x14ac:dyDescent="0.2">
      <c r="A2023" s="3">
        <v>43368.696570997337</v>
      </c>
      <c r="B2023" s="1" t="s">
        <v>2359</v>
      </c>
      <c r="C2023" t="s">
        <v>299</v>
      </c>
      <c r="D2023">
        <v>7</v>
      </c>
      <c r="E2023">
        <v>225</v>
      </c>
      <c r="F2023">
        <v>75</v>
      </c>
      <c r="G2023">
        <v>1575</v>
      </c>
      <c r="H2023" s="4">
        <v>525</v>
      </c>
      <c r="I2023" s="4">
        <v>1050</v>
      </c>
      <c r="J2023" t="s">
        <v>45</v>
      </c>
      <c r="K2023" t="s">
        <v>42</v>
      </c>
      <c r="L2023" s="4">
        <v>10.06992029407844</v>
      </c>
      <c r="M2023" s="1" t="s">
        <v>38</v>
      </c>
      <c r="N2023" s="11">
        <f t="shared" si="31"/>
        <v>5</v>
      </c>
    </row>
    <row r="2024" spans="1:14" ht="16" x14ac:dyDescent="0.2">
      <c r="A2024" s="3">
        <v>43871.881713297145</v>
      </c>
      <c r="B2024" s="1" t="s">
        <v>2360</v>
      </c>
      <c r="C2024" t="s">
        <v>503</v>
      </c>
      <c r="D2024">
        <v>19</v>
      </c>
      <c r="E2024">
        <v>50</v>
      </c>
      <c r="F2024">
        <v>25</v>
      </c>
      <c r="G2024">
        <v>950</v>
      </c>
      <c r="H2024" s="4">
        <v>475</v>
      </c>
      <c r="I2024" s="4">
        <v>475</v>
      </c>
      <c r="J2024" t="s">
        <v>815</v>
      </c>
      <c r="K2024" t="s">
        <v>33</v>
      </c>
      <c r="L2024" s="4">
        <v>16.254955391951082</v>
      </c>
      <c r="M2024" s="1" t="s">
        <v>54</v>
      </c>
      <c r="N2024" s="11">
        <f t="shared" si="31"/>
        <v>10</v>
      </c>
    </row>
    <row r="2025" spans="1:14" ht="16" x14ac:dyDescent="0.2">
      <c r="A2025" s="3">
        <v>44213.132132346582</v>
      </c>
      <c r="B2025" s="1" t="s">
        <v>2361</v>
      </c>
      <c r="C2025" t="s">
        <v>523</v>
      </c>
      <c r="D2025">
        <v>15</v>
      </c>
      <c r="E2025">
        <v>92</v>
      </c>
      <c r="F2025">
        <v>46</v>
      </c>
      <c r="G2025">
        <v>1380</v>
      </c>
      <c r="H2025" s="4">
        <v>690</v>
      </c>
      <c r="I2025" s="4">
        <v>690</v>
      </c>
      <c r="J2025" t="s">
        <v>411</v>
      </c>
      <c r="K2025" t="s">
        <v>64</v>
      </c>
      <c r="L2025" s="4">
        <v>13.115597690631557</v>
      </c>
      <c r="M2025" s="1" t="s">
        <v>54</v>
      </c>
      <c r="N2025" s="11">
        <f t="shared" si="31"/>
        <v>10</v>
      </c>
    </row>
    <row r="2026" spans="1:14" ht="16" x14ac:dyDescent="0.2">
      <c r="A2026" s="3">
        <v>43428.730128097086</v>
      </c>
      <c r="B2026" s="1" t="s">
        <v>2362</v>
      </c>
      <c r="C2026" t="s">
        <v>154</v>
      </c>
      <c r="D2026">
        <v>12</v>
      </c>
      <c r="E2026">
        <v>308</v>
      </c>
      <c r="F2026">
        <v>77</v>
      </c>
      <c r="G2026">
        <v>3696</v>
      </c>
      <c r="H2026" s="4">
        <v>924</v>
      </c>
      <c r="I2026" s="4">
        <v>2772</v>
      </c>
      <c r="J2026" t="s">
        <v>79</v>
      </c>
      <c r="K2026" t="s">
        <v>64</v>
      </c>
      <c r="L2026" s="4">
        <v>12.163730387337393</v>
      </c>
      <c r="M2026" s="1" t="s">
        <v>38</v>
      </c>
      <c r="N2026" s="11">
        <f t="shared" si="31"/>
        <v>5</v>
      </c>
    </row>
    <row r="2027" spans="1:14" ht="16" x14ac:dyDescent="0.2">
      <c r="A2027" s="3">
        <v>44091.370634799576</v>
      </c>
      <c r="B2027" s="1" t="s">
        <v>2363</v>
      </c>
      <c r="C2027" t="s">
        <v>255</v>
      </c>
      <c r="D2027">
        <v>12</v>
      </c>
      <c r="E2027">
        <v>140</v>
      </c>
      <c r="F2027">
        <v>70</v>
      </c>
      <c r="G2027">
        <v>1680</v>
      </c>
      <c r="H2027" s="4">
        <v>840</v>
      </c>
      <c r="I2027" s="4">
        <v>840</v>
      </c>
      <c r="J2027" t="s">
        <v>819</v>
      </c>
      <c r="K2027" t="s">
        <v>86</v>
      </c>
      <c r="L2027" s="4">
        <v>12.155895475340943</v>
      </c>
      <c r="M2027" s="1" t="s">
        <v>54</v>
      </c>
      <c r="N2027" s="11">
        <f t="shared" si="31"/>
        <v>10</v>
      </c>
    </row>
    <row r="2028" spans="1:14" ht="16" x14ac:dyDescent="0.2">
      <c r="A2028" s="3">
        <v>44500.263593528995</v>
      </c>
      <c r="B2028" s="1" t="s">
        <v>2364</v>
      </c>
      <c r="C2028" t="s">
        <v>266</v>
      </c>
      <c r="D2028">
        <v>4</v>
      </c>
      <c r="E2028">
        <v>50</v>
      </c>
      <c r="F2028">
        <v>25</v>
      </c>
      <c r="G2028">
        <v>200</v>
      </c>
      <c r="H2028" s="4">
        <v>100</v>
      </c>
      <c r="I2028" s="4">
        <v>100</v>
      </c>
      <c r="J2028" t="s">
        <v>643</v>
      </c>
      <c r="K2028" t="s">
        <v>33</v>
      </c>
      <c r="L2028" s="4">
        <v>12.275875773922367</v>
      </c>
      <c r="M2028" s="1" t="s">
        <v>38</v>
      </c>
      <c r="N2028" s="11">
        <f t="shared" si="31"/>
        <v>5</v>
      </c>
    </row>
    <row r="2029" spans="1:14" ht="16" x14ac:dyDescent="0.2">
      <c r="A2029" s="3">
        <v>43544.544587923301</v>
      </c>
      <c r="B2029" s="1" t="s">
        <v>2365</v>
      </c>
      <c r="C2029" t="s">
        <v>788</v>
      </c>
      <c r="D2029">
        <v>3</v>
      </c>
      <c r="E2029">
        <v>100</v>
      </c>
      <c r="F2029">
        <v>25</v>
      </c>
      <c r="G2029">
        <v>300</v>
      </c>
      <c r="H2029" s="4">
        <v>75</v>
      </c>
      <c r="I2029" s="4">
        <v>225</v>
      </c>
      <c r="J2029" t="s">
        <v>76</v>
      </c>
      <c r="K2029" t="s">
        <v>58</v>
      </c>
      <c r="L2029" s="4">
        <v>9.8384363471888783</v>
      </c>
      <c r="M2029" s="1" t="s">
        <v>38</v>
      </c>
      <c r="N2029" s="11">
        <f t="shared" si="31"/>
        <v>5</v>
      </c>
    </row>
    <row r="2030" spans="1:14" ht="16" x14ac:dyDescent="0.2">
      <c r="A2030" s="3">
        <v>44091.754936598343</v>
      </c>
      <c r="B2030" s="1" t="s">
        <v>2366</v>
      </c>
      <c r="C2030" t="s">
        <v>163</v>
      </c>
      <c r="D2030">
        <v>14</v>
      </c>
      <c r="E2030">
        <v>108</v>
      </c>
      <c r="F2030">
        <v>36</v>
      </c>
      <c r="G2030">
        <v>1512</v>
      </c>
      <c r="H2030" s="4">
        <v>504</v>
      </c>
      <c r="I2030" s="4">
        <v>1008</v>
      </c>
      <c r="J2030" t="s">
        <v>733</v>
      </c>
      <c r="K2030" t="s">
        <v>53</v>
      </c>
      <c r="L2030" s="4">
        <v>16.148992525516267</v>
      </c>
      <c r="M2030" s="1" t="s">
        <v>54</v>
      </c>
      <c r="N2030" s="11">
        <f t="shared" si="31"/>
        <v>10</v>
      </c>
    </row>
    <row r="2031" spans="1:14" ht="16" x14ac:dyDescent="0.2">
      <c r="A2031" s="3">
        <v>43954.465469245362</v>
      </c>
      <c r="B2031" s="1" t="s">
        <v>2074</v>
      </c>
      <c r="C2031" t="s">
        <v>88</v>
      </c>
      <c r="D2031">
        <v>13</v>
      </c>
      <c r="E2031">
        <v>210</v>
      </c>
      <c r="F2031">
        <v>70</v>
      </c>
      <c r="G2031">
        <v>2730</v>
      </c>
      <c r="H2031" s="4">
        <v>910</v>
      </c>
      <c r="I2031" s="4">
        <v>1820</v>
      </c>
      <c r="J2031" t="s">
        <v>716</v>
      </c>
      <c r="K2031" t="s">
        <v>33</v>
      </c>
      <c r="L2031" s="4">
        <v>10.411813357023924</v>
      </c>
      <c r="M2031" s="1" t="s">
        <v>38</v>
      </c>
      <c r="N2031" s="11">
        <f t="shared" si="31"/>
        <v>5</v>
      </c>
    </row>
    <row r="2032" spans="1:14" ht="16" x14ac:dyDescent="0.2">
      <c r="A2032" s="3">
        <v>44735.101330376558</v>
      </c>
      <c r="B2032" s="1" t="s">
        <v>2367</v>
      </c>
      <c r="C2032" t="s">
        <v>91</v>
      </c>
      <c r="D2032">
        <v>19</v>
      </c>
      <c r="E2032">
        <v>300</v>
      </c>
      <c r="F2032">
        <v>75</v>
      </c>
      <c r="G2032">
        <v>5700</v>
      </c>
      <c r="H2032" s="4">
        <v>1425</v>
      </c>
      <c r="I2032" s="4">
        <v>4275</v>
      </c>
      <c r="J2032" t="s">
        <v>363</v>
      </c>
      <c r="K2032" t="s">
        <v>64</v>
      </c>
      <c r="L2032" s="4">
        <v>14.690198582365463</v>
      </c>
      <c r="M2032" s="1" t="s">
        <v>38</v>
      </c>
      <c r="N2032" s="11">
        <f t="shared" si="31"/>
        <v>5</v>
      </c>
    </row>
    <row r="2033" spans="1:14" ht="16" x14ac:dyDescent="0.2">
      <c r="A2033" s="3">
        <v>44609.656679873653</v>
      </c>
      <c r="B2033" s="1" t="s">
        <v>2368</v>
      </c>
      <c r="C2033" t="s">
        <v>259</v>
      </c>
      <c r="D2033">
        <v>14</v>
      </c>
      <c r="E2033">
        <v>270</v>
      </c>
      <c r="F2033">
        <v>90</v>
      </c>
      <c r="G2033">
        <v>3780</v>
      </c>
      <c r="H2033" s="4">
        <v>1260</v>
      </c>
      <c r="I2033" s="4">
        <v>2520</v>
      </c>
      <c r="J2033" t="s">
        <v>440</v>
      </c>
      <c r="K2033" t="s">
        <v>33</v>
      </c>
      <c r="L2033" s="4">
        <v>10.408704992688252</v>
      </c>
      <c r="M2033" s="1" t="s">
        <v>38</v>
      </c>
      <c r="N2033" s="11">
        <f t="shared" si="31"/>
        <v>5</v>
      </c>
    </row>
    <row r="2034" spans="1:14" ht="16" x14ac:dyDescent="0.2">
      <c r="A2034" s="3">
        <v>44194.606392020134</v>
      </c>
      <c r="B2034" s="1" t="s">
        <v>2369</v>
      </c>
      <c r="C2034" t="s">
        <v>101</v>
      </c>
      <c r="D2034">
        <v>14</v>
      </c>
      <c r="E2034">
        <v>50</v>
      </c>
      <c r="F2034">
        <v>25</v>
      </c>
      <c r="G2034">
        <v>700</v>
      </c>
      <c r="H2034" s="4">
        <v>350</v>
      </c>
      <c r="I2034" s="4">
        <v>350</v>
      </c>
      <c r="J2034" t="s">
        <v>1202</v>
      </c>
      <c r="K2034" t="s">
        <v>58</v>
      </c>
      <c r="L2034" s="4">
        <v>10.524491192521829</v>
      </c>
      <c r="M2034" s="1" t="s">
        <v>38</v>
      </c>
      <c r="N2034" s="11">
        <f t="shared" si="31"/>
        <v>5</v>
      </c>
    </row>
    <row r="2035" spans="1:14" ht="16" x14ac:dyDescent="0.2">
      <c r="A2035" s="3">
        <v>43886.683146849864</v>
      </c>
      <c r="B2035" s="1" t="s">
        <v>2370</v>
      </c>
      <c r="C2035" t="s">
        <v>72</v>
      </c>
      <c r="D2035">
        <v>8</v>
      </c>
      <c r="E2035">
        <v>352</v>
      </c>
      <c r="F2035">
        <v>88</v>
      </c>
      <c r="G2035">
        <v>2816</v>
      </c>
      <c r="H2035" s="4">
        <v>704</v>
      </c>
      <c r="I2035" s="4">
        <v>2112</v>
      </c>
      <c r="J2035" t="s">
        <v>191</v>
      </c>
      <c r="K2035" t="s">
        <v>42</v>
      </c>
      <c r="L2035" s="4">
        <v>10.523527521613014</v>
      </c>
      <c r="M2035" s="1" t="s">
        <v>38</v>
      </c>
      <c r="N2035" s="11">
        <f t="shared" si="31"/>
        <v>5</v>
      </c>
    </row>
    <row r="2036" spans="1:14" ht="16" x14ac:dyDescent="0.2">
      <c r="A2036" s="3">
        <v>45097.646187802777</v>
      </c>
      <c r="B2036" s="1" t="s">
        <v>2371</v>
      </c>
      <c r="C2036" t="s">
        <v>356</v>
      </c>
      <c r="D2036">
        <v>1</v>
      </c>
      <c r="E2036">
        <v>356</v>
      </c>
      <c r="F2036">
        <v>89</v>
      </c>
      <c r="G2036">
        <v>356</v>
      </c>
      <c r="H2036" s="4">
        <v>89</v>
      </c>
      <c r="I2036" s="4">
        <v>267</v>
      </c>
      <c r="J2036" t="s">
        <v>997</v>
      </c>
      <c r="K2036" t="s">
        <v>58</v>
      </c>
      <c r="L2036" s="4">
        <v>12.173451788225162</v>
      </c>
      <c r="M2036" s="1" t="s">
        <v>38</v>
      </c>
      <c r="N2036" s="11">
        <f t="shared" si="31"/>
        <v>5</v>
      </c>
    </row>
    <row r="2037" spans="1:14" ht="16" x14ac:dyDescent="0.2">
      <c r="A2037" s="3">
        <v>44025.961696567821</v>
      </c>
      <c r="B2037" s="1" t="s">
        <v>2372</v>
      </c>
      <c r="C2037" t="s">
        <v>154</v>
      </c>
      <c r="D2037">
        <v>7</v>
      </c>
      <c r="E2037">
        <v>308</v>
      </c>
      <c r="F2037">
        <v>77</v>
      </c>
      <c r="G2037">
        <v>2156</v>
      </c>
      <c r="H2037" s="4">
        <v>539</v>
      </c>
      <c r="I2037" s="4">
        <v>1617</v>
      </c>
      <c r="J2037" t="s">
        <v>1343</v>
      </c>
      <c r="K2037" t="s">
        <v>49</v>
      </c>
      <c r="L2037" s="4">
        <v>9.1264071155960682</v>
      </c>
      <c r="M2037" s="1" t="s">
        <v>34</v>
      </c>
      <c r="N2037" s="11">
        <f t="shared" si="31"/>
        <v>1</v>
      </c>
    </row>
    <row r="2038" spans="1:14" ht="16" x14ac:dyDescent="0.2">
      <c r="A2038" s="3">
        <v>44571.689953485744</v>
      </c>
      <c r="B2038" s="1" t="s">
        <v>2373</v>
      </c>
      <c r="C2038" t="s">
        <v>115</v>
      </c>
      <c r="D2038">
        <v>16</v>
      </c>
      <c r="E2038">
        <v>81</v>
      </c>
      <c r="F2038">
        <v>27</v>
      </c>
      <c r="G2038">
        <v>1296</v>
      </c>
      <c r="H2038" s="4">
        <v>432</v>
      </c>
      <c r="I2038" s="4">
        <v>864</v>
      </c>
      <c r="J2038" t="s">
        <v>713</v>
      </c>
      <c r="K2038" t="s">
        <v>42</v>
      </c>
      <c r="L2038" s="4">
        <v>10.956589836772277</v>
      </c>
      <c r="M2038" s="1" t="s">
        <v>38</v>
      </c>
      <c r="N2038" s="11">
        <f t="shared" si="31"/>
        <v>5</v>
      </c>
    </row>
    <row r="2039" spans="1:14" ht="16" x14ac:dyDescent="0.2">
      <c r="A2039" s="3">
        <v>43817.661311923475</v>
      </c>
      <c r="B2039" s="1" t="s">
        <v>2374</v>
      </c>
      <c r="C2039" t="s">
        <v>47</v>
      </c>
      <c r="D2039">
        <v>4</v>
      </c>
      <c r="E2039">
        <v>231</v>
      </c>
      <c r="F2039">
        <v>77</v>
      </c>
      <c r="G2039">
        <v>924</v>
      </c>
      <c r="H2039" s="4">
        <v>308</v>
      </c>
      <c r="I2039" s="4">
        <v>616</v>
      </c>
      <c r="J2039" t="s">
        <v>713</v>
      </c>
      <c r="K2039" t="s">
        <v>42</v>
      </c>
      <c r="L2039" s="4">
        <v>10.956589836772277</v>
      </c>
      <c r="M2039" s="1" t="s">
        <v>38</v>
      </c>
      <c r="N2039" s="11">
        <f t="shared" si="31"/>
        <v>5</v>
      </c>
    </row>
    <row r="2040" spans="1:14" ht="16" x14ac:dyDescent="0.2">
      <c r="A2040" s="3">
        <v>44816.097693180389</v>
      </c>
      <c r="B2040" s="1" t="s">
        <v>2375</v>
      </c>
      <c r="C2040" t="s">
        <v>81</v>
      </c>
      <c r="D2040">
        <v>16</v>
      </c>
      <c r="E2040">
        <v>166</v>
      </c>
      <c r="F2040">
        <v>83</v>
      </c>
      <c r="G2040">
        <v>2656</v>
      </c>
      <c r="H2040" s="4">
        <v>1328</v>
      </c>
      <c r="I2040" s="4">
        <v>1328</v>
      </c>
      <c r="J2040" t="s">
        <v>492</v>
      </c>
      <c r="K2040" t="s">
        <v>33</v>
      </c>
      <c r="L2040" s="4">
        <v>11.799431383856128</v>
      </c>
      <c r="M2040" s="1" t="s">
        <v>54</v>
      </c>
      <c r="N2040" s="11">
        <f t="shared" si="31"/>
        <v>10</v>
      </c>
    </row>
    <row r="2041" spans="1:14" ht="16" x14ac:dyDescent="0.2">
      <c r="A2041" s="3">
        <v>44416.91821867699</v>
      </c>
      <c r="B2041" s="1" t="s">
        <v>2376</v>
      </c>
      <c r="C2041" t="s">
        <v>391</v>
      </c>
      <c r="D2041">
        <v>4</v>
      </c>
      <c r="E2041">
        <v>72</v>
      </c>
      <c r="F2041">
        <v>36</v>
      </c>
      <c r="G2041">
        <v>288</v>
      </c>
      <c r="H2041" s="4">
        <v>144</v>
      </c>
      <c r="I2041" s="4">
        <v>144</v>
      </c>
      <c r="J2041" t="s">
        <v>626</v>
      </c>
      <c r="K2041" t="s">
        <v>58</v>
      </c>
      <c r="L2041" s="4">
        <v>13.259563298324382</v>
      </c>
      <c r="M2041" s="1" t="s">
        <v>38</v>
      </c>
      <c r="N2041" s="11">
        <f t="shared" si="31"/>
        <v>5</v>
      </c>
    </row>
    <row r="2042" spans="1:14" ht="16" x14ac:dyDescent="0.2">
      <c r="A2042" s="3">
        <v>44348.315960395528</v>
      </c>
      <c r="B2042" s="1" t="s">
        <v>1642</v>
      </c>
      <c r="C2042" t="s">
        <v>178</v>
      </c>
      <c r="D2042">
        <v>8</v>
      </c>
      <c r="E2042">
        <v>189</v>
      </c>
      <c r="F2042">
        <v>63</v>
      </c>
      <c r="G2042">
        <v>1512</v>
      </c>
      <c r="H2042" s="4">
        <v>504</v>
      </c>
      <c r="I2042" s="4">
        <v>1008</v>
      </c>
      <c r="J2042" t="s">
        <v>466</v>
      </c>
      <c r="K2042" t="s">
        <v>49</v>
      </c>
      <c r="L2042" s="4">
        <v>16.368863536738775</v>
      </c>
      <c r="M2042" s="1" t="s">
        <v>34</v>
      </c>
      <c r="N2042" s="11">
        <f t="shared" si="31"/>
        <v>1</v>
      </c>
    </row>
    <row r="2043" spans="1:14" ht="16" x14ac:dyDescent="0.2">
      <c r="A2043" s="3">
        <v>43968.372806406209</v>
      </c>
      <c r="B2043" s="1" t="s">
        <v>2377</v>
      </c>
      <c r="C2043" t="s">
        <v>178</v>
      </c>
      <c r="D2043">
        <v>16</v>
      </c>
      <c r="E2043">
        <v>189</v>
      </c>
      <c r="F2043">
        <v>63</v>
      </c>
      <c r="G2043">
        <v>3024</v>
      </c>
      <c r="H2043" s="4">
        <v>1008</v>
      </c>
      <c r="I2043" s="4">
        <v>2016</v>
      </c>
      <c r="J2043" t="s">
        <v>363</v>
      </c>
      <c r="K2043" t="s">
        <v>64</v>
      </c>
      <c r="L2043" s="4">
        <v>14.690198582365463</v>
      </c>
      <c r="M2043" s="1" t="s">
        <v>54</v>
      </c>
      <c r="N2043" s="11">
        <f t="shared" si="31"/>
        <v>10</v>
      </c>
    </row>
    <row r="2044" spans="1:14" ht="16" x14ac:dyDescent="0.2">
      <c r="A2044" s="3">
        <v>43649.530498226814</v>
      </c>
      <c r="B2044" s="1" t="s">
        <v>2378</v>
      </c>
      <c r="C2044" t="s">
        <v>69</v>
      </c>
      <c r="D2044">
        <v>12</v>
      </c>
      <c r="E2044">
        <v>184</v>
      </c>
      <c r="F2044">
        <v>92</v>
      </c>
      <c r="G2044">
        <v>2208</v>
      </c>
      <c r="H2044" s="4">
        <v>1104</v>
      </c>
      <c r="I2044" s="4">
        <v>1104</v>
      </c>
      <c r="J2044" t="s">
        <v>1091</v>
      </c>
      <c r="K2044" t="s">
        <v>33</v>
      </c>
      <c r="L2044" s="4">
        <v>12.55774399806273</v>
      </c>
      <c r="M2044" s="1" t="s">
        <v>38</v>
      </c>
      <c r="N2044" s="11">
        <f t="shared" si="31"/>
        <v>5</v>
      </c>
    </row>
    <row r="2045" spans="1:14" ht="16" x14ac:dyDescent="0.2">
      <c r="A2045" s="3">
        <v>44846.876252795053</v>
      </c>
      <c r="B2045" s="1" t="s">
        <v>2379</v>
      </c>
      <c r="C2045" t="s">
        <v>297</v>
      </c>
      <c r="D2045">
        <v>14</v>
      </c>
      <c r="E2045">
        <v>108</v>
      </c>
      <c r="F2045">
        <v>36</v>
      </c>
      <c r="G2045">
        <v>1512</v>
      </c>
      <c r="H2045" s="4">
        <v>504</v>
      </c>
      <c r="I2045" s="4">
        <v>1008</v>
      </c>
      <c r="J2045" t="s">
        <v>331</v>
      </c>
      <c r="K2045" t="s">
        <v>58</v>
      </c>
      <c r="L2045" s="4">
        <v>15.18789248529443</v>
      </c>
      <c r="M2045" s="1" t="s">
        <v>38</v>
      </c>
      <c r="N2045" s="11">
        <f t="shared" si="31"/>
        <v>5</v>
      </c>
    </row>
    <row r="2046" spans="1:14" ht="16" x14ac:dyDescent="0.2">
      <c r="A2046" s="3">
        <v>43749.931444401569</v>
      </c>
      <c r="B2046" s="1" t="s">
        <v>2380</v>
      </c>
      <c r="C2046" t="s">
        <v>88</v>
      </c>
      <c r="D2046">
        <v>16</v>
      </c>
      <c r="E2046">
        <v>210</v>
      </c>
      <c r="F2046">
        <v>70</v>
      </c>
      <c r="G2046">
        <v>3360</v>
      </c>
      <c r="H2046" s="4">
        <v>1120</v>
      </c>
      <c r="I2046" s="4">
        <v>2240</v>
      </c>
      <c r="J2046" t="s">
        <v>1008</v>
      </c>
      <c r="K2046" t="s">
        <v>58</v>
      </c>
      <c r="L2046" s="4">
        <v>9.9471686551317795</v>
      </c>
      <c r="M2046" s="1" t="s">
        <v>38</v>
      </c>
      <c r="N2046" s="11">
        <f t="shared" si="31"/>
        <v>5</v>
      </c>
    </row>
    <row r="2047" spans="1:14" ht="16" x14ac:dyDescent="0.2">
      <c r="A2047" s="3">
        <v>43528.429386625648</v>
      </c>
      <c r="B2047" s="1" t="s">
        <v>2381</v>
      </c>
      <c r="C2047" t="s">
        <v>185</v>
      </c>
      <c r="D2047">
        <v>17</v>
      </c>
      <c r="E2047">
        <v>146</v>
      </c>
      <c r="F2047">
        <v>73</v>
      </c>
      <c r="G2047">
        <v>2482</v>
      </c>
      <c r="H2047" s="4">
        <v>1241</v>
      </c>
      <c r="I2047" s="4">
        <v>1241</v>
      </c>
      <c r="J2047" t="s">
        <v>1414</v>
      </c>
      <c r="K2047" t="s">
        <v>42</v>
      </c>
      <c r="L2047" s="4">
        <v>8.6625575824723242</v>
      </c>
      <c r="M2047" s="1" t="s">
        <v>38</v>
      </c>
      <c r="N2047" s="11">
        <f t="shared" si="31"/>
        <v>5</v>
      </c>
    </row>
    <row r="2048" spans="1:14" ht="16" x14ac:dyDescent="0.2">
      <c r="A2048" s="3">
        <v>43566.615264832741</v>
      </c>
      <c r="B2048" s="1" t="s">
        <v>702</v>
      </c>
      <c r="C2048" t="s">
        <v>31</v>
      </c>
      <c r="D2048">
        <v>3</v>
      </c>
      <c r="E2048">
        <v>280</v>
      </c>
      <c r="F2048">
        <v>70</v>
      </c>
      <c r="G2048">
        <v>840</v>
      </c>
      <c r="H2048" s="4">
        <v>210</v>
      </c>
      <c r="I2048" s="4">
        <v>630</v>
      </c>
      <c r="J2048" t="s">
        <v>1414</v>
      </c>
      <c r="K2048" t="s">
        <v>42</v>
      </c>
      <c r="L2048" s="4">
        <v>8.6625575824723242</v>
      </c>
      <c r="M2048" s="1" t="s">
        <v>38</v>
      </c>
      <c r="N2048" s="11">
        <f t="shared" si="31"/>
        <v>5</v>
      </c>
    </row>
    <row r="2049" spans="1:14" ht="16" x14ac:dyDescent="0.2">
      <c r="A2049" s="3">
        <v>43793.856183630836</v>
      </c>
      <c r="B2049" s="1" t="s">
        <v>2382</v>
      </c>
      <c r="C2049" t="s">
        <v>257</v>
      </c>
      <c r="D2049">
        <v>7</v>
      </c>
      <c r="E2049">
        <v>160</v>
      </c>
      <c r="F2049">
        <v>80</v>
      </c>
      <c r="G2049">
        <v>1120</v>
      </c>
      <c r="H2049" s="4">
        <v>560</v>
      </c>
      <c r="I2049" s="4">
        <v>560</v>
      </c>
      <c r="J2049" t="s">
        <v>176</v>
      </c>
      <c r="K2049" t="s">
        <v>64</v>
      </c>
      <c r="L2049" s="4">
        <v>12.1334991293512</v>
      </c>
      <c r="M2049" s="1" t="s">
        <v>38</v>
      </c>
      <c r="N2049" s="11">
        <f t="shared" si="31"/>
        <v>5</v>
      </c>
    </row>
    <row r="2050" spans="1:14" ht="16" x14ac:dyDescent="0.2">
      <c r="A2050" s="3">
        <v>44472.474982004787</v>
      </c>
      <c r="B2050" s="1" t="s">
        <v>2383</v>
      </c>
      <c r="C2050" t="s">
        <v>185</v>
      </c>
      <c r="D2050">
        <v>12</v>
      </c>
      <c r="E2050">
        <v>146</v>
      </c>
      <c r="F2050">
        <v>73</v>
      </c>
      <c r="G2050">
        <v>1752</v>
      </c>
      <c r="H2050" s="4">
        <v>876</v>
      </c>
      <c r="I2050" s="4">
        <v>876</v>
      </c>
      <c r="J2050" t="s">
        <v>678</v>
      </c>
      <c r="K2050" t="s">
        <v>86</v>
      </c>
      <c r="L2050" s="4">
        <v>12.460490918487697</v>
      </c>
      <c r="M2050" s="1" t="s">
        <v>38</v>
      </c>
      <c r="N2050" s="11">
        <f t="shared" si="31"/>
        <v>5</v>
      </c>
    </row>
    <row r="2051" spans="1:14" ht="16" x14ac:dyDescent="0.2">
      <c r="A2051" s="3">
        <v>43501.490505749738</v>
      </c>
      <c r="B2051" s="1" t="s">
        <v>2384</v>
      </c>
      <c r="C2051" t="s">
        <v>188</v>
      </c>
      <c r="D2051">
        <v>3</v>
      </c>
      <c r="E2051">
        <v>368</v>
      </c>
      <c r="F2051">
        <v>92</v>
      </c>
      <c r="G2051">
        <v>1104</v>
      </c>
      <c r="H2051" s="4">
        <v>276</v>
      </c>
      <c r="I2051" s="4">
        <v>828</v>
      </c>
      <c r="J2051" t="s">
        <v>264</v>
      </c>
      <c r="K2051" t="s">
        <v>42</v>
      </c>
      <c r="L2051" s="4">
        <v>12.514998090845811</v>
      </c>
      <c r="M2051" s="1" t="s">
        <v>38</v>
      </c>
      <c r="N2051" s="11">
        <f t="shared" ref="N2051:N2114" si="32">+IF(M2051="Dissatisfied",1,IF(M2051="Satisfied",10,5))</f>
        <v>5</v>
      </c>
    </row>
    <row r="2052" spans="1:14" ht="16" x14ac:dyDescent="0.2">
      <c r="A2052" s="3">
        <v>44961.66652303945</v>
      </c>
      <c r="B2052" s="1" t="s">
        <v>2385</v>
      </c>
      <c r="C2052" t="s">
        <v>473</v>
      </c>
      <c r="D2052">
        <v>2</v>
      </c>
      <c r="E2052">
        <v>72</v>
      </c>
      <c r="F2052">
        <v>36</v>
      </c>
      <c r="G2052">
        <v>144</v>
      </c>
      <c r="H2052" s="4">
        <v>72</v>
      </c>
      <c r="I2052" s="4">
        <v>72</v>
      </c>
      <c r="J2052" t="s">
        <v>167</v>
      </c>
      <c r="K2052" t="s">
        <v>86</v>
      </c>
      <c r="L2052" s="4">
        <v>10.216282609482219</v>
      </c>
      <c r="M2052" s="1" t="s">
        <v>54</v>
      </c>
      <c r="N2052" s="11">
        <f t="shared" si="32"/>
        <v>10</v>
      </c>
    </row>
    <row r="2053" spans="1:14" ht="16" x14ac:dyDescent="0.2">
      <c r="A2053" s="3">
        <v>44948.226940201872</v>
      </c>
      <c r="B2053" s="1" t="s">
        <v>2386</v>
      </c>
      <c r="C2053" t="s">
        <v>523</v>
      </c>
      <c r="D2053">
        <v>4</v>
      </c>
      <c r="E2053">
        <v>92</v>
      </c>
      <c r="F2053">
        <v>46</v>
      </c>
      <c r="G2053">
        <v>368</v>
      </c>
      <c r="H2053" s="4">
        <v>184</v>
      </c>
      <c r="I2053" s="4">
        <v>184</v>
      </c>
      <c r="J2053" t="s">
        <v>1068</v>
      </c>
      <c r="K2053" t="s">
        <v>42</v>
      </c>
      <c r="L2053" s="4">
        <v>8.1352386075080023</v>
      </c>
      <c r="M2053" s="1" t="s">
        <v>34</v>
      </c>
      <c r="N2053" s="11">
        <f t="shared" si="32"/>
        <v>1</v>
      </c>
    </row>
    <row r="2054" spans="1:14" ht="16" x14ac:dyDescent="0.2">
      <c r="A2054" s="3">
        <v>44256.201769138832</v>
      </c>
      <c r="B2054" s="1" t="s">
        <v>2387</v>
      </c>
      <c r="C2054" t="s">
        <v>286</v>
      </c>
      <c r="D2054">
        <v>19</v>
      </c>
      <c r="E2054">
        <v>34</v>
      </c>
      <c r="F2054">
        <v>17</v>
      </c>
      <c r="G2054">
        <v>646</v>
      </c>
      <c r="H2054" s="4">
        <v>323</v>
      </c>
      <c r="I2054" s="4">
        <v>323</v>
      </c>
      <c r="J2054" t="s">
        <v>882</v>
      </c>
      <c r="K2054" t="s">
        <v>64</v>
      </c>
      <c r="L2054" s="4">
        <v>12.701325659159139</v>
      </c>
      <c r="M2054" s="1" t="s">
        <v>54</v>
      </c>
      <c r="N2054" s="11">
        <f t="shared" si="32"/>
        <v>10</v>
      </c>
    </row>
    <row r="2055" spans="1:14" ht="16" x14ac:dyDescent="0.2">
      <c r="A2055" s="3">
        <v>43752.029083279915</v>
      </c>
      <c r="B2055" s="1" t="s">
        <v>2388</v>
      </c>
      <c r="C2055" t="s">
        <v>592</v>
      </c>
      <c r="D2055">
        <v>15</v>
      </c>
      <c r="E2055">
        <v>312</v>
      </c>
      <c r="F2055">
        <v>78</v>
      </c>
      <c r="G2055">
        <v>4680</v>
      </c>
      <c r="H2055" s="4">
        <v>1170</v>
      </c>
      <c r="I2055" s="4">
        <v>3510</v>
      </c>
      <c r="J2055" t="s">
        <v>933</v>
      </c>
      <c r="K2055" t="s">
        <v>58</v>
      </c>
      <c r="L2055" s="4">
        <v>11.130819205617987</v>
      </c>
      <c r="M2055" s="1" t="s">
        <v>38</v>
      </c>
      <c r="N2055" s="11">
        <f t="shared" si="32"/>
        <v>5</v>
      </c>
    </row>
    <row r="2056" spans="1:14" ht="16" x14ac:dyDescent="0.2">
      <c r="A2056" s="3">
        <v>43782.50454930737</v>
      </c>
      <c r="B2056" s="1" t="s">
        <v>2389</v>
      </c>
      <c r="C2056" t="s">
        <v>175</v>
      </c>
      <c r="D2056">
        <v>2</v>
      </c>
      <c r="E2056">
        <v>38</v>
      </c>
      <c r="F2056">
        <v>19</v>
      </c>
      <c r="G2056">
        <v>76</v>
      </c>
      <c r="H2056" s="4">
        <v>38</v>
      </c>
      <c r="I2056" s="4">
        <v>38</v>
      </c>
      <c r="J2056" t="s">
        <v>574</v>
      </c>
      <c r="K2056" t="s">
        <v>58</v>
      </c>
      <c r="L2056" s="4">
        <v>13.150536103258979</v>
      </c>
      <c r="M2056" s="1" t="s">
        <v>54</v>
      </c>
      <c r="N2056" s="11">
        <f t="shared" si="32"/>
        <v>10</v>
      </c>
    </row>
    <row r="2057" spans="1:14" ht="16" x14ac:dyDescent="0.2">
      <c r="A2057" s="3">
        <v>44101.763831165714</v>
      </c>
      <c r="B2057" s="1" t="s">
        <v>2013</v>
      </c>
      <c r="C2057" t="s">
        <v>255</v>
      </c>
      <c r="D2057">
        <v>4</v>
      </c>
      <c r="E2057">
        <v>140</v>
      </c>
      <c r="F2057">
        <v>70</v>
      </c>
      <c r="G2057">
        <v>560</v>
      </c>
      <c r="H2057" s="4">
        <v>280</v>
      </c>
      <c r="I2057" s="4">
        <v>280</v>
      </c>
      <c r="J2057" t="s">
        <v>640</v>
      </c>
      <c r="K2057" t="s">
        <v>53</v>
      </c>
      <c r="L2057" s="4">
        <v>8.7741864171993527</v>
      </c>
      <c r="M2057" s="1" t="s">
        <v>54</v>
      </c>
      <c r="N2057" s="11">
        <f t="shared" si="32"/>
        <v>10</v>
      </c>
    </row>
    <row r="2058" spans="1:14" ht="16" x14ac:dyDescent="0.2">
      <c r="A2058" s="3">
        <v>44099.759701424438</v>
      </c>
      <c r="B2058" s="1" t="s">
        <v>766</v>
      </c>
      <c r="C2058" t="s">
        <v>36</v>
      </c>
      <c r="D2058">
        <v>11</v>
      </c>
      <c r="E2058">
        <v>102</v>
      </c>
      <c r="F2058">
        <v>51</v>
      </c>
      <c r="G2058">
        <v>1122</v>
      </c>
      <c r="H2058" s="4">
        <v>561</v>
      </c>
      <c r="I2058" s="4">
        <v>561</v>
      </c>
      <c r="J2058" t="s">
        <v>645</v>
      </c>
      <c r="K2058" t="s">
        <v>86</v>
      </c>
      <c r="L2058" s="4">
        <v>9.879282537628514</v>
      </c>
      <c r="M2058" s="1" t="s">
        <v>38</v>
      </c>
      <c r="N2058" s="11">
        <f t="shared" si="32"/>
        <v>5</v>
      </c>
    </row>
    <row r="2059" spans="1:14" ht="16" x14ac:dyDescent="0.2">
      <c r="A2059" s="3">
        <v>44278.136943509206</v>
      </c>
      <c r="B2059" s="1" t="s">
        <v>2390</v>
      </c>
      <c r="C2059" t="s">
        <v>243</v>
      </c>
      <c r="D2059">
        <v>8</v>
      </c>
      <c r="E2059">
        <v>90</v>
      </c>
      <c r="F2059">
        <v>45</v>
      </c>
      <c r="G2059">
        <v>720</v>
      </c>
      <c r="H2059" s="4">
        <v>360</v>
      </c>
      <c r="I2059" s="4">
        <v>360</v>
      </c>
      <c r="J2059" t="s">
        <v>79</v>
      </c>
      <c r="K2059" t="s">
        <v>64</v>
      </c>
      <c r="L2059" s="4">
        <v>12.163730387337393</v>
      </c>
      <c r="M2059" s="1" t="s">
        <v>38</v>
      </c>
      <c r="N2059" s="11">
        <f t="shared" si="32"/>
        <v>5</v>
      </c>
    </row>
    <row r="2060" spans="1:14" ht="16" x14ac:dyDescent="0.2">
      <c r="A2060" s="3">
        <v>44047.521670939161</v>
      </c>
      <c r="B2060" s="1" t="s">
        <v>2391</v>
      </c>
      <c r="C2060" t="s">
        <v>304</v>
      </c>
      <c r="D2060">
        <v>16</v>
      </c>
      <c r="E2060">
        <v>116</v>
      </c>
      <c r="F2060">
        <v>29</v>
      </c>
      <c r="G2060">
        <v>1856</v>
      </c>
      <c r="H2060" s="4">
        <v>464</v>
      </c>
      <c r="I2060" s="4">
        <v>1392</v>
      </c>
      <c r="J2060" t="s">
        <v>448</v>
      </c>
      <c r="K2060" t="s">
        <v>58</v>
      </c>
      <c r="L2060" s="4">
        <v>15.770846827234339</v>
      </c>
      <c r="M2060" s="1" t="s">
        <v>34</v>
      </c>
      <c r="N2060" s="11">
        <f t="shared" si="32"/>
        <v>1</v>
      </c>
    </row>
    <row r="2061" spans="1:14" ht="16" x14ac:dyDescent="0.2">
      <c r="A2061" s="3">
        <v>43694.784337934419</v>
      </c>
      <c r="B2061" s="1" t="s">
        <v>2392</v>
      </c>
      <c r="C2061" t="s">
        <v>252</v>
      </c>
      <c r="D2061">
        <v>9</v>
      </c>
      <c r="E2061">
        <v>252</v>
      </c>
      <c r="F2061">
        <v>63</v>
      </c>
      <c r="G2061">
        <v>2268</v>
      </c>
      <c r="H2061" s="4">
        <v>567</v>
      </c>
      <c r="I2061" s="4">
        <v>1701</v>
      </c>
      <c r="J2061" t="s">
        <v>202</v>
      </c>
      <c r="K2061" t="s">
        <v>58</v>
      </c>
      <c r="L2061" s="4">
        <v>13.765798454641494</v>
      </c>
      <c r="M2061" s="1" t="s">
        <v>38</v>
      </c>
      <c r="N2061" s="11">
        <f t="shared" si="32"/>
        <v>5</v>
      </c>
    </row>
    <row r="2062" spans="1:14" ht="16" x14ac:dyDescent="0.2">
      <c r="A2062" s="3">
        <v>44258.175422537322</v>
      </c>
      <c r="B2062" s="1" t="s">
        <v>2393</v>
      </c>
      <c r="C2062" t="s">
        <v>75</v>
      </c>
      <c r="D2062">
        <v>1</v>
      </c>
      <c r="E2062">
        <v>76</v>
      </c>
      <c r="F2062">
        <v>19</v>
      </c>
      <c r="G2062">
        <v>76</v>
      </c>
      <c r="H2062" s="4">
        <v>19</v>
      </c>
      <c r="I2062" s="4">
        <v>57</v>
      </c>
      <c r="J2062" t="s">
        <v>1259</v>
      </c>
      <c r="K2062" t="s">
        <v>64</v>
      </c>
      <c r="L2062" s="4">
        <v>10.01033276255276</v>
      </c>
      <c r="M2062" s="1" t="s">
        <v>38</v>
      </c>
      <c r="N2062" s="11">
        <f t="shared" si="32"/>
        <v>5</v>
      </c>
    </row>
    <row r="2063" spans="1:14" ht="16" x14ac:dyDescent="0.2">
      <c r="A2063" s="3">
        <v>45222.589918671314</v>
      </c>
      <c r="B2063" s="1" t="s">
        <v>2394</v>
      </c>
      <c r="C2063" t="s">
        <v>252</v>
      </c>
      <c r="D2063">
        <v>11</v>
      </c>
      <c r="E2063">
        <v>252</v>
      </c>
      <c r="F2063">
        <v>63</v>
      </c>
      <c r="G2063">
        <v>2772</v>
      </c>
      <c r="H2063" s="4">
        <v>693</v>
      </c>
      <c r="I2063" s="4">
        <v>2079</v>
      </c>
      <c r="J2063" t="s">
        <v>321</v>
      </c>
      <c r="K2063" t="s">
        <v>42</v>
      </c>
      <c r="L2063" s="4">
        <v>7.7337149713827413</v>
      </c>
      <c r="M2063" s="1" t="s">
        <v>38</v>
      </c>
      <c r="N2063" s="11">
        <f t="shared" si="32"/>
        <v>5</v>
      </c>
    </row>
    <row r="2064" spans="1:14" ht="16" x14ac:dyDescent="0.2">
      <c r="A2064" s="3">
        <v>44277.99683707182</v>
      </c>
      <c r="B2064" s="1" t="s">
        <v>2395</v>
      </c>
      <c r="C2064" t="s">
        <v>297</v>
      </c>
      <c r="D2064">
        <v>15</v>
      </c>
      <c r="E2064">
        <v>108</v>
      </c>
      <c r="F2064">
        <v>36</v>
      </c>
      <c r="G2064">
        <v>1620</v>
      </c>
      <c r="H2064" s="4">
        <v>540</v>
      </c>
      <c r="I2064" s="4">
        <v>1080</v>
      </c>
      <c r="J2064" t="s">
        <v>281</v>
      </c>
      <c r="K2064" t="s">
        <v>33</v>
      </c>
      <c r="L2064" s="4">
        <v>11.428575823958646</v>
      </c>
      <c r="M2064" s="1" t="s">
        <v>34</v>
      </c>
      <c r="N2064" s="11">
        <f t="shared" si="32"/>
        <v>1</v>
      </c>
    </row>
    <row r="2065" spans="1:14" ht="16" x14ac:dyDescent="0.2">
      <c r="A2065" s="3">
        <v>44836.483391263195</v>
      </c>
      <c r="B2065" s="1" t="s">
        <v>2396</v>
      </c>
      <c r="C2065" t="s">
        <v>255</v>
      </c>
      <c r="D2065">
        <v>9</v>
      </c>
      <c r="E2065">
        <v>140</v>
      </c>
      <c r="F2065">
        <v>70</v>
      </c>
      <c r="G2065">
        <v>1260</v>
      </c>
      <c r="H2065" s="4">
        <v>630</v>
      </c>
      <c r="I2065" s="4">
        <v>630</v>
      </c>
      <c r="J2065" t="s">
        <v>968</v>
      </c>
      <c r="K2065" t="s">
        <v>42</v>
      </c>
      <c r="L2065" s="4">
        <v>11.961761925704458</v>
      </c>
      <c r="M2065" s="1" t="s">
        <v>38</v>
      </c>
      <c r="N2065" s="11">
        <f t="shared" si="32"/>
        <v>5</v>
      </c>
    </row>
    <row r="2066" spans="1:14" ht="16" x14ac:dyDescent="0.2">
      <c r="A2066" s="3">
        <v>44342.186251045423</v>
      </c>
      <c r="B2066" s="1" t="s">
        <v>2397</v>
      </c>
      <c r="C2066" t="s">
        <v>133</v>
      </c>
      <c r="D2066">
        <v>2</v>
      </c>
      <c r="E2066">
        <v>189</v>
      </c>
      <c r="F2066">
        <v>63</v>
      </c>
      <c r="G2066">
        <v>378</v>
      </c>
      <c r="H2066" s="4">
        <v>126</v>
      </c>
      <c r="I2066" s="4">
        <v>252</v>
      </c>
      <c r="J2066" t="s">
        <v>197</v>
      </c>
      <c r="K2066" t="s">
        <v>49</v>
      </c>
      <c r="L2066" s="4">
        <v>13.288482149665386</v>
      </c>
      <c r="M2066" s="1" t="s">
        <v>38</v>
      </c>
      <c r="N2066" s="11">
        <f t="shared" si="32"/>
        <v>5</v>
      </c>
    </row>
    <row r="2067" spans="1:14" ht="16" x14ac:dyDescent="0.2">
      <c r="A2067" s="3">
        <v>43411.216603129877</v>
      </c>
      <c r="B2067" s="1" t="s">
        <v>2398</v>
      </c>
      <c r="C2067" t="s">
        <v>259</v>
      </c>
      <c r="D2067">
        <v>10</v>
      </c>
      <c r="E2067">
        <v>270</v>
      </c>
      <c r="F2067">
        <v>90</v>
      </c>
      <c r="G2067">
        <v>2700</v>
      </c>
      <c r="H2067" s="4">
        <v>900</v>
      </c>
      <c r="I2067" s="4">
        <v>1800</v>
      </c>
      <c r="J2067" t="s">
        <v>729</v>
      </c>
      <c r="K2067" t="s">
        <v>64</v>
      </c>
      <c r="L2067" s="4">
        <v>11.443503623244197</v>
      </c>
      <c r="M2067" s="1" t="s">
        <v>54</v>
      </c>
      <c r="N2067" s="11">
        <f t="shared" si="32"/>
        <v>10</v>
      </c>
    </row>
    <row r="2068" spans="1:14" ht="16" x14ac:dyDescent="0.2">
      <c r="A2068" s="3">
        <v>43926.294383737026</v>
      </c>
      <c r="B2068" s="1" t="s">
        <v>2399</v>
      </c>
      <c r="C2068" t="s">
        <v>255</v>
      </c>
      <c r="D2068">
        <v>16</v>
      </c>
      <c r="E2068">
        <v>140</v>
      </c>
      <c r="F2068">
        <v>70</v>
      </c>
      <c r="G2068">
        <v>2240</v>
      </c>
      <c r="H2068" s="4">
        <v>1120</v>
      </c>
      <c r="I2068" s="4">
        <v>1120</v>
      </c>
      <c r="J2068" t="s">
        <v>938</v>
      </c>
      <c r="K2068" t="s">
        <v>33</v>
      </c>
      <c r="L2068" s="4">
        <v>13.397308081757757</v>
      </c>
      <c r="M2068" s="1" t="s">
        <v>38</v>
      </c>
      <c r="N2068" s="11">
        <f t="shared" si="32"/>
        <v>5</v>
      </c>
    </row>
    <row r="2069" spans="1:14" ht="16" x14ac:dyDescent="0.2">
      <c r="A2069" s="3">
        <v>43448.773111348768</v>
      </c>
      <c r="B2069" s="1" t="s">
        <v>2400</v>
      </c>
      <c r="C2069" t="s">
        <v>607</v>
      </c>
      <c r="D2069">
        <v>15</v>
      </c>
      <c r="E2069">
        <v>225</v>
      </c>
      <c r="F2069">
        <v>75</v>
      </c>
      <c r="G2069">
        <v>3375</v>
      </c>
      <c r="H2069" s="4">
        <v>1125</v>
      </c>
      <c r="I2069" s="4">
        <v>2250</v>
      </c>
      <c r="J2069" t="s">
        <v>421</v>
      </c>
      <c r="K2069" t="s">
        <v>53</v>
      </c>
      <c r="L2069" s="4">
        <v>10.96230865592911</v>
      </c>
      <c r="M2069" s="1" t="s">
        <v>38</v>
      </c>
      <c r="N2069" s="11">
        <f t="shared" si="32"/>
        <v>5</v>
      </c>
    </row>
    <row r="2070" spans="1:14" ht="16" x14ac:dyDescent="0.2">
      <c r="A2070" s="3">
        <v>43687.163701125035</v>
      </c>
      <c r="B2070" s="1" t="s">
        <v>2401</v>
      </c>
      <c r="C2070" t="s">
        <v>72</v>
      </c>
      <c r="D2070">
        <v>1</v>
      </c>
      <c r="E2070">
        <v>352</v>
      </c>
      <c r="F2070">
        <v>88</v>
      </c>
      <c r="G2070">
        <v>352</v>
      </c>
      <c r="H2070" s="4">
        <v>88</v>
      </c>
      <c r="I2070" s="4">
        <v>264</v>
      </c>
      <c r="J2070" t="s">
        <v>392</v>
      </c>
      <c r="K2070" t="s">
        <v>49</v>
      </c>
      <c r="L2070" s="4">
        <v>12.456740895640767</v>
      </c>
      <c r="M2070" s="1" t="s">
        <v>54</v>
      </c>
      <c r="N2070" s="11">
        <f t="shared" si="32"/>
        <v>10</v>
      </c>
    </row>
    <row r="2071" spans="1:14" ht="16" x14ac:dyDescent="0.2">
      <c r="A2071" s="3">
        <v>44470.090352575637</v>
      </c>
      <c r="B2071" s="1" t="s">
        <v>2050</v>
      </c>
      <c r="C2071" t="s">
        <v>84</v>
      </c>
      <c r="D2071">
        <v>1</v>
      </c>
      <c r="E2071">
        <v>126</v>
      </c>
      <c r="F2071">
        <v>42</v>
      </c>
      <c r="G2071">
        <v>126</v>
      </c>
      <c r="H2071" s="4">
        <v>42</v>
      </c>
      <c r="I2071" s="4">
        <v>84</v>
      </c>
      <c r="J2071" t="s">
        <v>406</v>
      </c>
      <c r="K2071" t="s">
        <v>58</v>
      </c>
      <c r="L2071" s="4">
        <v>11.082295381980092</v>
      </c>
      <c r="M2071" s="1" t="s">
        <v>38</v>
      </c>
      <c r="N2071" s="11">
        <f t="shared" si="32"/>
        <v>5</v>
      </c>
    </row>
    <row r="2072" spans="1:14" ht="16" x14ac:dyDescent="0.2">
      <c r="A2072" s="3">
        <v>44341.459392721044</v>
      </c>
      <c r="B2072" s="1" t="s">
        <v>2402</v>
      </c>
      <c r="C2072" t="s">
        <v>36</v>
      </c>
      <c r="D2072">
        <v>4</v>
      </c>
      <c r="E2072">
        <v>102</v>
      </c>
      <c r="F2072">
        <v>51</v>
      </c>
      <c r="G2072">
        <v>408</v>
      </c>
      <c r="H2072" s="4">
        <v>204</v>
      </c>
      <c r="I2072" s="4">
        <v>204</v>
      </c>
      <c r="J2072" t="s">
        <v>179</v>
      </c>
      <c r="K2072" t="s">
        <v>53</v>
      </c>
      <c r="L2072" s="4">
        <v>11.36085047138285</v>
      </c>
      <c r="M2072" s="1" t="s">
        <v>54</v>
      </c>
      <c r="N2072" s="11">
        <f t="shared" si="32"/>
        <v>10</v>
      </c>
    </row>
    <row r="2073" spans="1:14" ht="16" x14ac:dyDescent="0.2">
      <c r="A2073" s="3">
        <v>43346.674664569306</v>
      </c>
      <c r="B2073" s="1" t="s">
        <v>2403</v>
      </c>
      <c r="C2073" t="s">
        <v>607</v>
      </c>
      <c r="D2073">
        <v>10</v>
      </c>
      <c r="E2073">
        <v>225</v>
      </c>
      <c r="F2073">
        <v>75</v>
      </c>
      <c r="G2073">
        <v>2250</v>
      </c>
      <c r="H2073" s="4">
        <v>750</v>
      </c>
      <c r="I2073" s="4">
        <v>1500</v>
      </c>
      <c r="J2073" t="s">
        <v>567</v>
      </c>
      <c r="K2073" t="s">
        <v>49</v>
      </c>
      <c r="L2073" s="4">
        <v>12.147202500273634</v>
      </c>
      <c r="M2073" s="1" t="s">
        <v>38</v>
      </c>
      <c r="N2073" s="11">
        <f t="shared" si="32"/>
        <v>5</v>
      </c>
    </row>
    <row r="2074" spans="1:14" ht="16" x14ac:dyDescent="0.2">
      <c r="A2074" s="3">
        <v>43327.860974129042</v>
      </c>
      <c r="B2074" s="1" t="s">
        <v>2404</v>
      </c>
      <c r="C2074" t="s">
        <v>523</v>
      </c>
      <c r="D2074">
        <v>13</v>
      </c>
      <c r="E2074">
        <v>92</v>
      </c>
      <c r="F2074">
        <v>46</v>
      </c>
      <c r="G2074">
        <v>1196</v>
      </c>
      <c r="H2074" s="4">
        <v>598</v>
      </c>
      <c r="I2074" s="4">
        <v>598</v>
      </c>
      <c r="J2074" t="s">
        <v>633</v>
      </c>
      <c r="K2074" t="s">
        <v>86</v>
      </c>
      <c r="L2074" s="4">
        <v>12.954911944548844</v>
      </c>
      <c r="M2074" s="1" t="s">
        <v>38</v>
      </c>
      <c r="N2074" s="11">
        <f t="shared" si="32"/>
        <v>5</v>
      </c>
    </row>
    <row r="2075" spans="1:14" ht="16" x14ac:dyDescent="0.2">
      <c r="A2075" s="3">
        <v>44736.421108932853</v>
      </c>
      <c r="B2075" s="1" t="s">
        <v>2405</v>
      </c>
      <c r="C2075" t="s">
        <v>110</v>
      </c>
      <c r="D2075">
        <v>15</v>
      </c>
      <c r="E2075">
        <v>144</v>
      </c>
      <c r="F2075">
        <v>36</v>
      </c>
      <c r="G2075">
        <v>2160</v>
      </c>
      <c r="H2075" s="4">
        <v>540</v>
      </c>
      <c r="I2075" s="4">
        <v>1620</v>
      </c>
      <c r="J2075" t="s">
        <v>418</v>
      </c>
      <c r="K2075" t="s">
        <v>42</v>
      </c>
      <c r="L2075" s="4">
        <v>11.644564584314265</v>
      </c>
      <c r="M2075" s="1" t="s">
        <v>38</v>
      </c>
      <c r="N2075" s="11">
        <f t="shared" si="32"/>
        <v>5</v>
      </c>
    </row>
    <row r="2076" spans="1:14" ht="16" x14ac:dyDescent="0.2">
      <c r="A2076" s="3">
        <v>44369.871013303011</v>
      </c>
      <c r="B2076" s="1" t="s">
        <v>2406</v>
      </c>
      <c r="C2076" t="s">
        <v>66</v>
      </c>
      <c r="D2076">
        <v>19</v>
      </c>
      <c r="E2076">
        <v>144</v>
      </c>
      <c r="F2076">
        <v>48</v>
      </c>
      <c r="G2076">
        <v>2736</v>
      </c>
      <c r="H2076" s="4">
        <v>912</v>
      </c>
      <c r="I2076" s="4">
        <v>1824</v>
      </c>
      <c r="J2076" t="s">
        <v>745</v>
      </c>
      <c r="K2076" t="s">
        <v>33</v>
      </c>
      <c r="L2076" s="4">
        <v>9.1057685343725456</v>
      </c>
      <c r="M2076" s="1" t="s">
        <v>54</v>
      </c>
      <c r="N2076" s="11">
        <f t="shared" si="32"/>
        <v>10</v>
      </c>
    </row>
    <row r="2077" spans="1:14" ht="16" x14ac:dyDescent="0.2">
      <c r="A2077" s="3">
        <v>43100.174946324354</v>
      </c>
      <c r="B2077" s="1" t="s">
        <v>2407</v>
      </c>
      <c r="C2077" t="s">
        <v>328</v>
      </c>
      <c r="D2077">
        <v>6</v>
      </c>
      <c r="E2077">
        <v>124</v>
      </c>
      <c r="F2077">
        <v>62</v>
      </c>
      <c r="G2077">
        <v>744</v>
      </c>
      <c r="H2077" s="4">
        <v>372</v>
      </c>
      <c r="I2077" s="4">
        <v>372</v>
      </c>
      <c r="J2077" t="s">
        <v>423</v>
      </c>
      <c r="K2077" t="s">
        <v>86</v>
      </c>
      <c r="L2077" s="4">
        <v>10.813269600021069</v>
      </c>
      <c r="M2077" s="1" t="s">
        <v>34</v>
      </c>
      <c r="N2077" s="11">
        <f t="shared" si="32"/>
        <v>1</v>
      </c>
    </row>
    <row r="2078" spans="1:14" ht="16" x14ac:dyDescent="0.2">
      <c r="A2078" s="3">
        <v>44240.996880267223</v>
      </c>
      <c r="B2078" s="1" t="s">
        <v>2408</v>
      </c>
      <c r="C2078" t="s">
        <v>154</v>
      </c>
      <c r="D2078">
        <v>7</v>
      </c>
      <c r="E2078">
        <v>308</v>
      </c>
      <c r="F2078">
        <v>77</v>
      </c>
      <c r="G2078">
        <v>2156</v>
      </c>
      <c r="H2078" s="4">
        <v>539</v>
      </c>
      <c r="I2078" s="4">
        <v>1617</v>
      </c>
      <c r="J2078" t="s">
        <v>343</v>
      </c>
      <c r="K2078" t="s">
        <v>42</v>
      </c>
      <c r="L2078" s="4">
        <v>9.8928038181361391</v>
      </c>
      <c r="M2078" s="1" t="s">
        <v>38</v>
      </c>
      <c r="N2078" s="11">
        <f t="shared" si="32"/>
        <v>5</v>
      </c>
    </row>
    <row r="2079" spans="1:14" ht="16" x14ac:dyDescent="0.2">
      <c r="A2079" s="3">
        <v>44690.268910685903</v>
      </c>
      <c r="B2079" s="1" t="s">
        <v>2409</v>
      </c>
      <c r="C2079" t="s">
        <v>193</v>
      </c>
      <c r="D2079">
        <v>16</v>
      </c>
      <c r="E2079">
        <v>348</v>
      </c>
      <c r="F2079">
        <v>87</v>
      </c>
      <c r="G2079">
        <v>5568</v>
      </c>
      <c r="H2079" s="4">
        <v>1392</v>
      </c>
      <c r="I2079" s="4">
        <v>4176</v>
      </c>
      <c r="J2079" t="s">
        <v>535</v>
      </c>
      <c r="K2079" t="s">
        <v>33</v>
      </c>
      <c r="L2079" s="4">
        <v>14.554851510602212</v>
      </c>
      <c r="M2079" s="1" t="s">
        <v>38</v>
      </c>
      <c r="N2079" s="11">
        <f t="shared" si="32"/>
        <v>5</v>
      </c>
    </row>
    <row r="2080" spans="1:14" ht="16" x14ac:dyDescent="0.2">
      <c r="A2080" s="3">
        <v>44590.686501142576</v>
      </c>
      <c r="B2080" s="1" t="s">
        <v>2410</v>
      </c>
      <c r="C2080" t="s">
        <v>218</v>
      </c>
      <c r="D2080">
        <v>6</v>
      </c>
      <c r="E2080">
        <v>264</v>
      </c>
      <c r="F2080">
        <v>88</v>
      </c>
      <c r="G2080">
        <v>1584</v>
      </c>
      <c r="H2080" s="4">
        <v>528</v>
      </c>
      <c r="I2080" s="4">
        <v>1056</v>
      </c>
      <c r="J2080" t="s">
        <v>213</v>
      </c>
      <c r="K2080" t="s">
        <v>58</v>
      </c>
      <c r="L2080" s="4">
        <v>10.980884286450312</v>
      </c>
      <c r="M2080" s="1" t="s">
        <v>38</v>
      </c>
      <c r="N2080" s="11">
        <f t="shared" si="32"/>
        <v>5</v>
      </c>
    </row>
    <row r="2081" spans="1:14" ht="16" x14ac:dyDescent="0.2">
      <c r="A2081" s="3">
        <v>43885.052284410594</v>
      </c>
      <c r="B2081" s="1" t="s">
        <v>2411</v>
      </c>
      <c r="C2081" t="s">
        <v>125</v>
      </c>
      <c r="D2081">
        <v>14</v>
      </c>
      <c r="E2081">
        <v>176</v>
      </c>
      <c r="F2081">
        <v>88</v>
      </c>
      <c r="G2081">
        <v>2464</v>
      </c>
      <c r="H2081" s="4">
        <v>1232</v>
      </c>
      <c r="I2081" s="4">
        <v>1232</v>
      </c>
      <c r="J2081" t="s">
        <v>70</v>
      </c>
      <c r="K2081" t="s">
        <v>49</v>
      </c>
      <c r="L2081" s="4">
        <v>12.957303170959879</v>
      </c>
      <c r="M2081" s="1" t="s">
        <v>54</v>
      </c>
      <c r="N2081" s="11">
        <f t="shared" si="32"/>
        <v>10</v>
      </c>
    </row>
    <row r="2082" spans="1:14" ht="16" x14ac:dyDescent="0.2">
      <c r="A2082" s="3">
        <v>43891.221053598136</v>
      </c>
      <c r="B2082" s="1" t="s">
        <v>2412</v>
      </c>
      <c r="C2082" t="s">
        <v>110</v>
      </c>
      <c r="D2082">
        <v>19</v>
      </c>
      <c r="E2082">
        <v>144</v>
      </c>
      <c r="F2082">
        <v>36</v>
      </c>
      <c r="G2082">
        <v>2736</v>
      </c>
      <c r="H2082" s="4">
        <v>684</v>
      </c>
      <c r="I2082" s="4">
        <v>2052</v>
      </c>
      <c r="J2082" t="s">
        <v>131</v>
      </c>
      <c r="K2082" t="s">
        <v>33</v>
      </c>
      <c r="L2082" s="4">
        <v>12.844063202784817</v>
      </c>
      <c r="M2082" s="1" t="s">
        <v>34</v>
      </c>
      <c r="N2082" s="11">
        <f t="shared" si="32"/>
        <v>1</v>
      </c>
    </row>
    <row r="2083" spans="1:14" ht="16" x14ac:dyDescent="0.2">
      <c r="A2083" s="3">
        <v>43967.261198723674</v>
      </c>
      <c r="B2083" s="1" t="s">
        <v>2413</v>
      </c>
      <c r="C2083" t="s">
        <v>175</v>
      </c>
      <c r="D2083">
        <v>8</v>
      </c>
      <c r="E2083">
        <v>38</v>
      </c>
      <c r="F2083">
        <v>19</v>
      </c>
      <c r="G2083">
        <v>304</v>
      </c>
      <c r="H2083" s="4">
        <v>152</v>
      </c>
      <c r="I2083" s="4">
        <v>152</v>
      </c>
      <c r="J2083" t="s">
        <v>197</v>
      </c>
      <c r="K2083" t="s">
        <v>49</v>
      </c>
      <c r="L2083" s="4">
        <v>13.288482149665386</v>
      </c>
      <c r="M2083" s="1" t="s">
        <v>38</v>
      </c>
      <c r="N2083" s="11">
        <f t="shared" si="32"/>
        <v>5</v>
      </c>
    </row>
    <row r="2084" spans="1:14" ht="16" x14ac:dyDescent="0.2">
      <c r="A2084" s="3">
        <v>43367.30789372648</v>
      </c>
      <c r="B2084" s="1" t="s">
        <v>2414</v>
      </c>
      <c r="C2084" t="s">
        <v>125</v>
      </c>
      <c r="D2084">
        <v>3</v>
      </c>
      <c r="E2084">
        <v>176</v>
      </c>
      <c r="F2084">
        <v>88</v>
      </c>
      <c r="G2084">
        <v>528</v>
      </c>
      <c r="H2084" s="4">
        <v>264</v>
      </c>
      <c r="I2084" s="4">
        <v>264</v>
      </c>
      <c r="J2084" t="s">
        <v>202</v>
      </c>
      <c r="K2084" t="s">
        <v>58</v>
      </c>
      <c r="L2084" s="4">
        <v>13.765798454641494</v>
      </c>
      <c r="M2084" s="1" t="s">
        <v>38</v>
      </c>
      <c r="N2084" s="11">
        <f t="shared" si="32"/>
        <v>5</v>
      </c>
    </row>
    <row r="2085" spans="1:14" ht="16" x14ac:dyDescent="0.2">
      <c r="A2085" s="3">
        <v>44696.354039458762</v>
      </c>
      <c r="B2085" s="1" t="s">
        <v>2415</v>
      </c>
      <c r="C2085" t="s">
        <v>175</v>
      </c>
      <c r="D2085">
        <v>20</v>
      </c>
      <c r="E2085">
        <v>38</v>
      </c>
      <c r="F2085">
        <v>19</v>
      </c>
      <c r="G2085">
        <v>760</v>
      </c>
      <c r="H2085" s="4">
        <v>380</v>
      </c>
      <c r="I2085" s="4">
        <v>380</v>
      </c>
      <c r="J2085" t="s">
        <v>776</v>
      </c>
      <c r="K2085" t="s">
        <v>86</v>
      </c>
      <c r="L2085" s="4">
        <v>13.611804647345796</v>
      </c>
      <c r="M2085" s="1" t="s">
        <v>54</v>
      </c>
      <c r="N2085" s="11">
        <f t="shared" si="32"/>
        <v>10</v>
      </c>
    </row>
    <row r="2086" spans="1:14" ht="16" x14ac:dyDescent="0.2">
      <c r="A2086" s="3">
        <v>43419.013095993003</v>
      </c>
      <c r="B2086" s="1" t="s">
        <v>2416</v>
      </c>
      <c r="C2086" t="s">
        <v>391</v>
      </c>
      <c r="D2086">
        <v>19</v>
      </c>
      <c r="E2086">
        <v>72</v>
      </c>
      <c r="F2086">
        <v>36</v>
      </c>
      <c r="G2086">
        <v>1368</v>
      </c>
      <c r="H2086" s="4">
        <v>684</v>
      </c>
      <c r="I2086" s="4">
        <v>684</v>
      </c>
      <c r="J2086" t="s">
        <v>877</v>
      </c>
      <c r="K2086" t="s">
        <v>49</v>
      </c>
      <c r="L2086" s="4">
        <v>13.275355576494196</v>
      </c>
      <c r="M2086" s="1" t="s">
        <v>54</v>
      </c>
      <c r="N2086" s="11">
        <f t="shared" si="32"/>
        <v>10</v>
      </c>
    </row>
    <row r="2087" spans="1:14" ht="16" x14ac:dyDescent="0.2">
      <c r="A2087" s="3">
        <v>44172.79633575461</v>
      </c>
      <c r="B2087" s="1" t="s">
        <v>2417</v>
      </c>
      <c r="C2087" t="s">
        <v>340</v>
      </c>
      <c r="D2087">
        <v>5</v>
      </c>
      <c r="E2087">
        <v>180</v>
      </c>
      <c r="F2087">
        <v>45</v>
      </c>
      <c r="G2087">
        <v>900</v>
      </c>
      <c r="H2087" s="4">
        <v>225</v>
      </c>
      <c r="I2087" s="4">
        <v>675</v>
      </c>
      <c r="J2087" t="s">
        <v>635</v>
      </c>
      <c r="K2087" t="s">
        <v>33</v>
      </c>
      <c r="L2087" s="4">
        <v>15.478388039566896</v>
      </c>
      <c r="M2087" s="1" t="s">
        <v>34</v>
      </c>
      <c r="N2087" s="11">
        <f t="shared" si="32"/>
        <v>1</v>
      </c>
    </row>
    <row r="2088" spans="1:14" ht="16" x14ac:dyDescent="0.2">
      <c r="A2088" s="3">
        <v>44582.650246151148</v>
      </c>
      <c r="B2088" s="1" t="s">
        <v>2418</v>
      </c>
      <c r="C2088" t="s">
        <v>356</v>
      </c>
      <c r="D2088">
        <v>6</v>
      </c>
      <c r="E2088">
        <v>356</v>
      </c>
      <c r="F2088">
        <v>89</v>
      </c>
      <c r="G2088">
        <v>2136</v>
      </c>
      <c r="H2088" s="4">
        <v>534</v>
      </c>
      <c r="I2088" s="4">
        <v>1602</v>
      </c>
      <c r="J2088" t="s">
        <v>67</v>
      </c>
      <c r="K2088" t="s">
        <v>64</v>
      </c>
      <c r="L2088" s="4">
        <v>15.602184182549776</v>
      </c>
      <c r="M2088" s="1" t="s">
        <v>38</v>
      </c>
      <c r="N2088" s="11">
        <f t="shared" si="32"/>
        <v>5</v>
      </c>
    </row>
    <row r="2089" spans="1:14" ht="16" x14ac:dyDescent="0.2">
      <c r="A2089" s="3">
        <v>43566.229091293295</v>
      </c>
      <c r="B2089" s="1" t="s">
        <v>2419</v>
      </c>
      <c r="C2089" t="s">
        <v>788</v>
      </c>
      <c r="D2089">
        <v>12</v>
      </c>
      <c r="E2089">
        <v>100</v>
      </c>
      <c r="F2089">
        <v>25</v>
      </c>
      <c r="G2089">
        <v>1200</v>
      </c>
      <c r="H2089" s="4">
        <v>300</v>
      </c>
      <c r="I2089" s="4">
        <v>900</v>
      </c>
      <c r="J2089" t="s">
        <v>137</v>
      </c>
      <c r="K2089" t="s">
        <v>42</v>
      </c>
      <c r="L2089" s="4">
        <v>11.410471033945758</v>
      </c>
      <c r="M2089" s="1" t="s">
        <v>34</v>
      </c>
      <c r="N2089" s="11">
        <f t="shared" si="32"/>
        <v>1</v>
      </c>
    </row>
    <row r="2090" spans="1:14" ht="16" x14ac:dyDescent="0.2">
      <c r="A2090" s="3">
        <v>43813.508169926063</v>
      </c>
      <c r="B2090" s="1" t="s">
        <v>2420</v>
      </c>
      <c r="C2090" t="s">
        <v>72</v>
      </c>
      <c r="D2090">
        <v>5</v>
      </c>
      <c r="E2090">
        <v>352</v>
      </c>
      <c r="F2090">
        <v>88</v>
      </c>
      <c r="G2090">
        <v>1760</v>
      </c>
      <c r="H2090" s="4">
        <v>440</v>
      </c>
      <c r="I2090" s="4">
        <v>1320</v>
      </c>
      <c r="J2090" t="s">
        <v>875</v>
      </c>
      <c r="K2090" t="s">
        <v>58</v>
      </c>
      <c r="L2090" s="4">
        <v>11.485823039755857</v>
      </c>
      <c r="M2090" s="1" t="s">
        <v>54</v>
      </c>
      <c r="N2090" s="11">
        <f t="shared" si="32"/>
        <v>10</v>
      </c>
    </row>
    <row r="2091" spans="1:14" ht="16" x14ac:dyDescent="0.2">
      <c r="A2091" s="3">
        <v>44496.419167358144</v>
      </c>
      <c r="B2091" s="1" t="s">
        <v>2421</v>
      </c>
      <c r="C2091" t="s">
        <v>503</v>
      </c>
      <c r="D2091">
        <v>14</v>
      </c>
      <c r="E2091">
        <v>50</v>
      </c>
      <c r="F2091">
        <v>25</v>
      </c>
      <c r="G2091">
        <v>700</v>
      </c>
      <c r="H2091" s="4">
        <v>350</v>
      </c>
      <c r="I2091" s="4">
        <v>350</v>
      </c>
      <c r="J2091" t="s">
        <v>207</v>
      </c>
      <c r="K2091" t="s">
        <v>42</v>
      </c>
      <c r="L2091" s="4">
        <v>12.177709716438097</v>
      </c>
      <c r="M2091" s="1" t="s">
        <v>38</v>
      </c>
      <c r="N2091" s="11">
        <f t="shared" si="32"/>
        <v>5</v>
      </c>
    </row>
    <row r="2092" spans="1:14" ht="16" x14ac:dyDescent="0.2">
      <c r="A2092" s="3">
        <v>43901.131675148405</v>
      </c>
      <c r="B2092" s="1" t="s">
        <v>2422</v>
      </c>
      <c r="C2092" t="s">
        <v>391</v>
      </c>
      <c r="D2092">
        <v>7</v>
      </c>
      <c r="E2092">
        <v>72</v>
      </c>
      <c r="F2092">
        <v>36</v>
      </c>
      <c r="G2092">
        <v>504</v>
      </c>
      <c r="H2092" s="4">
        <v>252</v>
      </c>
      <c r="I2092" s="4">
        <v>252</v>
      </c>
      <c r="J2092" t="s">
        <v>851</v>
      </c>
      <c r="K2092" t="s">
        <v>49</v>
      </c>
      <c r="L2092" s="4">
        <v>9.5176115401380308</v>
      </c>
      <c r="M2092" s="1" t="s">
        <v>38</v>
      </c>
      <c r="N2092" s="11">
        <f t="shared" si="32"/>
        <v>5</v>
      </c>
    </row>
    <row r="2093" spans="1:14" ht="16" x14ac:dyDescent="0.2">
      <c r="A2093" s="3">
        <v>43760.110188555132</v>
      </c>
      <c r="B2093" s="1" t="s">
        <v>2423</v>
      </c>
      <c r="C2093" t="s">
        <v>130</v>
      </c>
      <c r="D2093">
        <v>9</v>
      </c>
      <c r="E2093">
        <v>144</v>
      </c>
      <c r="F2093">
        <v>48</v>
      </c>
      <c r="G2093">
        <v>1296</v>
      </c>
      <c r="H2093" s="4">
        <v>432</v>
      </c>
      <c r="I2093" s="4">
        <v>864</v>
      </c>
      <c r="J2093" t="s">
        <v>152</v>
      </c>
      <c r="K2093" t="s">
        <v>33</v>
      </c>
      <c r="L2093" s="4">
        <v>11.749038185128619</v>
      </c>
      <c r="M2093" s="1" t="s">
        <v>54</v>
      </c>
      <c r="N2093" s="11">
        <f t="shared" si="32"/>
        <v>10</v>
      </c>
    </row>
    <row r="2094" spans="1:14" ht="16" x14ac:dyDescent="0.2">
      <c r="A2094" s="3">
        <v>44961.096835754041</v>
      </c>
      <c r="B2094" s="1" t="s">
        <v>2424</v>
      </c>
      <c r="C2094" t="s">
        <v>142</v>
      </c>
      <c r="D2094">
        <v>3</v>
      </c>
      <c r="E2094">
        <v>210</v>
      </c>
      <c r="F2094">
        <v>70</v>
      </c>
      <c r="G2094">
        <v>630</v>
      </c>
      <c r="H2094" s="4">
        <v>210</v>
      </c>
      <c r="I2094" s="4">
        <v>420</v>
      </c>
      <c r="J2094" t="s">
        <v>469</v>
      </c>
      <c r="K2094" t="s">
        <v>64</v>
      </c>
      <c r="L2094" s="4">
        <v>7.9963422143733238</v>
      </c>
      <c r="M2094" s="1" t="s">
        <v>54</v>
      </c>
      <c r="N2094" s="11">
        <f t="shared" si="32"/>
        <v>10</v>
      </c>
    </row>
    <row r="2095" spans="1:14" ht="16" x14ac:dyDescent="0.2">
      <c r="A2095" s="3">
        <v>43331.923087339288</v>
      </c>
      <c r="B2095" s="1" t="s">
        <v>2425</v>
      </c>
      <c r="C2095" t="s">
        <v>503</v>
      </c>
      <c r="D2095">
        <v>1</v>
      </c>
      <c r="E2095">
        <v>50</v>
      </c>
      <c r="F2095">
        <v>25</v>
      </c>
      <c r="G2095">
        <v>50</v>
      </c>
      <c r="H2095" s="4">
        <v>25</v>
      </c>
      <c r="I2095" s="4">
        <v>25</v>
      </c>
      <c r="J2095" t="s">
        <v>1101</v>
      </c>
      <c r="K2095" t="s">
        <v>33</v>
      </c>
      <c r="L2095" s="4">
        <v>9.8776671534059073</v>
      </c>
      <c r="M2095" s="1" t="s">
        <v>34</v>
      </c>
      <c r="N2095" s="11">
        <f t="shared" si="32"/>
        <v>1</v>
      </c>
    </row>
    <row r="2096" spans="1:14" ht="16" x14ac:dyDescent="0.2">
      <c r="A2096" s="3">
        <v>43459.875653879033</v>
      </c>
      <c r="B2096" s="1" t="s">
        <v>2426</v>
      </c>
      <c r="C2096" t="s">
        <v>425</v>
      </c>
      <c r="D2096">
        <v>19</v>
      </c>
      <c r="E2096">
        <v>352</v>
      </c>
      <c r="F2096">
        <v>88</v>
      </c>
      <c r="G2096">
        <v>6688</v>
      </c>
      <c r="H2096" s="4">
        <v>1672</v>
      </c>
      <c r="I2096" s="4">
        <v>5016</v>
      </c>
      <c r="J2096" t="s">
        <v>167</v>
      </c>
      <c r="K2096" t="s">
        <v>86</v>
      </c>
      <c r="L2096" s="4">
        <v>10.216282609482219</v>
      </c>
      <c r="M2096" s="1" t="s">
        <v>38</v>
      </c>
      <c r="N2096" s="11">
        <f t="shared" si="32"/>
        <v>5</v>
      </c>
    </row>
    <row r="2097" spans="1:14" ht="16" x14ac:dyDescent="0.2">
      <c r="A2097" s="3">
        <v>43369.753646454847</v>
      </c>
      <c r="B2097" s="1" t="s">
        <v>2427</v>
      </c>
      <c r="C2097" t="s">
        <v>36</v>
      </c>
      <c r="D2097">
        <v>14</v>
      </c>
      <c r="E2097">
        <v>102</v>
      </c>
      <c r="F2097">
        <v>51</v>
      </c>
      <c r="G2097">
        <v>1428</v>
      </c>
      <c r="H2097" s="4">
        <v>714</v>
      </c>
      <c r="I2097" s="4">
        <v>714</v>
      </c>
      <c r="J2097" t="s">
        <v>183</v>
      </c>
      <c r="K2097" t="s">
        <v>58</v>
      </c>
      <c r="L2097" s="4">
        <v>11.939773463335372</v>
      </c>
      <c r="M2097" s="1" t="s">
        <v>38</v>
      </c>
      <c r="N2097" s="11">
        <f t="shared" si="32"/>
        <v>5</v>
      </c>
    </row>
    <row r="2098" spans="1:14" ht="16" x14ac:dyDescent="0.2">
      <c r="A2098" s="3">
        <v>44571.242866542278</v>
      </c>
      <c r="B2098" s="1" t="s">
        <v>2428</v>
      </c>
      <c r="C2098" t="s">
        <v>375</v>
      </c>
      <c r="D2098">
        <v>2</v>
      </c>
      <c r="E2098">
        <v>360</v>
      </c>
      <c r="F2098">
        <v>90</v>
      </c>
      <c r="G2098">
        <v>720</v>
      </c>
      <c r="H2098" s="4">
        <v>180</v>
      </c>
      <c r="I2098" s="4">
        <v>540</v>
      </c>
      <c r="J2098" t="s">
        <v>378</v>
      </c>
      <c r="K2098" t="s">
        <v>53</v>
      </c>
      <c r="L2098" s="4">
        <v>14.423322704129969</v>
      </c>
      <c r="M2098" s="1" t="s">
        <v>34</v>
      </c>
      <c r="N2098" s="11">
        <f t="shared" si="32"/>
        <v>1</v>
      </c>
    </row>
    <row r="2099" spans="1:14" ht="16" x14ac:dyDescent="0.2">
      <c r="A2099" s="3">
        <v>43426.998429344341</v>
      </c>
      <c r="B2099" s="1" t="s">
        <v>2429</v>
      </c>
      <c r="C2099" t="s">
        <v>257</v>
      </c>
      <c r="D2099">
        <v>11</v>
      </c>
      <c r="E2099">
        <v>160</v>
      </c>
      <c r="F2099">
        <v>80</v>
      </c>
      <c r="G2099">
        <v>1760</v>
      </c>
      <c r="H2099" s="4">
        <v>880</v>
      </c>
      <c r="I2099" s="4">
        <v>880</v>
      </c>
      <c r="J2099" t="s">
        <v>70</v>
      </c>
      <c r="K2099" t="s">
        <v>49</v>
      </c>
      <c r="L2099" s="4">
        <v>12.957303170959879</v>
      </c>
      <c r="M2099" s="1" t="s">
        <v>38</v>
      </c>
      <c r="N2099" s="11">
        <f t="shared" si="32"/>
        <v>5</v>
      </c>
    </row>
    <row r="2100" spans="1:14" ht="16" x14ac:dyDescent="0.2">
      <c r="A2100" s="3">
        <v>44073.273899174172</v>
      </c>
      <c r="B2100" s="1" t="s">
        <v>2430</v>
      </c>
      <c r="C2100" t="s">
        <v>120</v>
      </c>
      <c r="D2100">
        <v>3</v>
      </c>
      <c r="E2100">
        <v>252</v>
      </c>
      <c r="F2100">
        <v>63</v>
      </c>
      <c r="G2100">
        <v>756</v>
      </c>
      <c r="H2100" s="4">
        <v>189</v>
      </c>
      <c r="I2100" s="4">
        <v>567</v>
      </c>
      <c r="J2100" t="s">
        <v>633</v>
      </c>
      <c r="K2100" t="s">
        <v>86</v>
      </c>
      <c r="L2100" s="4">
        <v>12.954911944548844</v>
      </c>
      <c r="M2100" s="1" t="s">
        <v>54</v>
      </c>
      <c r="N2100" s="11">
        <f t="shared" si="32"/>
        <v>10</v>
      </c>
    </row>
    <row r="2101" spans="1:14" ht="16" x14ac:dyDescent="0.2">
      <c r="A2101" s="3">
        <v>44562.161680179197</v>
      </c>
      <c r="B2101" s="1" t="s">
        <v>2431</v>
      </c>
      <c r="C2101" t="s">
        <v>69</v>
      </c>
      <c r="D2101">
        <v>7</v>
      </c>
      <c r="E2101">
        <v>184</v>
      </c>
      <c r="F2101">
        <v>92</v>
      </c>
      <c r="G2101">
        <v>1288</v>
      </c>
      <c r="H2101" s="4">
        <v>644</v>
      </c>
      <c r="I2101" s="4">
        <v>644</v>
      </c>
      <c r="J2101" t="s">
        <v>611</v>
      </c>
      <c r="K2101" t="s">
        <v>58</v>
      </c>
      <c r="L2101" s="4">
        <v>7.8974070387684714</v>
      </c>
      <c r="M2101" s="1" t="s">
        <v>54</v>
      </c>
      <c r="N2101" s="11">
        <f t="shared" si="32"/>
        <v>10</v>
      </c>
    </row>
    <row r="2102" spans="1:14" ht="16" x14ac:dyDescent="0.2">
      <c r="A2102" s="3">
        <v>43820.121609636619</v>
      </c>
      <c r="B2102" s="1" t="s">
        <v>2432</v>
      </c>
      <c r="C2102" t="s">
        <v>215</v>
      </c>
      <c r="D2102">
        <v>12</v>
      </c>
      <c r="E2102">
        <v>176</v>
      </c>
      <c r="F2102">
        <v>88</v>
      </c>
      <c r="G2102">
        <v>2112</v>
      </c>
      <c r="H2102" s="4">
        <v>1056</v>
      </c>
      <c r="I2102" s="4">
        <v>1056</v>
      </c>
      <c r="J2102" t="s">
        <v>933</v>
      </c>
      <c r="K2102" t="s">
        <v>58</v>
      </c>
      <c r="L2102" s="4">
        <v>11.130819205617987</v>
      </c>
      <c r="M2102" s="1" t="s">
        <v>38</v>
      </c>
      <c r="N2102" s="11">
        <f t="shared" si="32"/>
        <v>5</v>
      </c>
    </row>
    <row r="2103" spans="1:14" ht="16" x14ac:dyDescent="0.2">
      <c r="A2103" s="3">
        <v>43465.680320578111</v>
      </c>
      <c r="B2103" s="1" t="s">
        <v>144</v>
      </c>
      <c r="C2103" t="s">
        <v>66</v>
      </c>
      <c r="D2103">
        <v>16</v>
      </c>
      <c r="E2103">
        <v>144</v>
      </c>
      <c r="F2103">
        <v>48</v>
      </c>
      <c r="G2103">
        <v>2304</v>
      </c>
      <c r="H2103" s="4">
        <v>768</v>
      </c>
      <c r="I2103" s="4">
        <v>1536</v>
      </c>
      <c r="J2103" t="s">
        <v>32</v>
      </c>
      <c r="K2103" t="s">
        <v>33</v>
      </c>
      <c r="L2103" s="4">
        <v>10.278063859084313</v>
      </c>
      <c r="M2103" s="1" t="s">
        <v>38</v>
      </c>
      <c r="N2103" s="11">
        <f t="shared" si="32"/>
        <v>5</v>
      </c>
    </row>
    <row r="2104" spans="1:14" ht="16" x14ac:dyDescent="0.2">
      <c r="A2104" s="3">
        <v>43980.022255127617</v>
      </c>
      <c r="B2104" s="1" t="s">
        <v>2433</v>
      </c>
      <c r="C2104" t="s">
        <v>261</v>
      </c>
      <c r="D2104">
        <v>14</v>
      </c>
      <c r="E2104">
        <v>92</v>
      </c>
      <c r="F2104">
        <v>46</v>
      </c>
      <c r="G2104">
        <v>1288</v>
      </c>
      <c r="H2104" s="4">
        <v>644</v>
      </c>
      <c r="I2104" s="4">
        <v>644</v>
      </c>
      <c r="J2104" t="s">
        <v>477</v>
      </c>
      <c r="K2104" t="s">
        <v>53</v>
      </c>
      <c r="L2104" s="4">
        <v>14.845213075061906</v>
      </c>
      <c r="M2104" s="1" t="s">
        <v>38</v>
      </c>
      <c r="N2104" s="11">
        <f t="shared" si="32"/>
        <v>5</v>
      </c>
    </row>
    <row r="2105" spans="1:14" ht="16" x14ac:dyDescent="0.2">
      <c r="A2105" s="3">
        <v>43179.66983072515</v>
      </c>
      <c r="B2105" s="1" t="s">
        <v>2434</v>
      </c>
      <c r="C2105" t="s">
        <v>78</v>
      </c>
      <c r="D2105">
        <v>6</v>
      </c>
      <c r="E2105">
        <v>94</v>
      </c>
      <c r="F2105">
        <v>47</v>
      </c>
      <c r="G2105">
        <v>564</v>
      </c>
      <c r="H2105" s="4">
        <v>282</v>
      </c>
      <c r="I2105" s="4">
        <v>282</v>
      </c>
      <c r="J2105" t="s">
        <v>37</v>
      </c>
      <c r="K2105" t="s">
        <v>33</v>
      </c>
      <c r="L2105" s="4">
        <v>13.299525114817991</v>
      </c>
      <c r="M2105" s="1" t="s">
        <v>34</v>
      </c>
      <c r="N2105" s="11">
        <f t="shared" si="32"/>
        <v>1</v>
      </c>
    </row>
    <row r="2106" spans="1:14" ht="16" x14ac:dyDescent="0.2">
      <c r="A2106" s="3">
        <v>43716.117781651526</v>
      </c>
      <c r="B2106" s="1" t="s">
        <v>2435</v>
      </c>
      <c r="C2106" t="s">
        <v>142</v>
      </c>
      <c r="D2106">
        <v>1</v>
      </c>
      <c r="E2106">
        <v>210</v>
      </c>
      <c r="F2106">
        <v>70</v>
      </c>
      <c r="G2106">
        <v>210</v>
      </c>
      <c r="H2106" s="4">
        <v>70</v>
      </c>
      <c r="I2106" s="4">
        <v>140</v>
      </c>
      <c r="J2106" t="s">
        <v>1750</v>
      </c>
      <c r="K2106" t="s">
        <v>58</v>
      </c>
      <c r="L2106" s="4">
        <v>7.9096461399190003</v>
      </c>
      <c r="M2106" s="1" t="s">
        <v>54</v>
      </c>
      <c r="N2106" s="11">
        <f t="shared" si="32"/>
        <v>10</v>
      </c>
    </row>
    <row r="2107" spans="1:14" ht="16" x14ac:dyDescent="0.2">
      <c r="A2107" s="3">
        <v>44835.241223852645</v>
      </c>
      <c r="B2107" s="1" t="s">
        <v>2436</v>
      </c>
      <c r="C2107" t="s">
        <v>84</v>
      </c>
      <c r="D2107">
        <v>4</v>
      </c>
      <c r="E2107">
        <v>126</v>
      </c>
      <c r="F2107">
        <v>42</v>
      </c>
      <c r="G2107">
        <v>504</v>
      </c>
      <c r="H2107" s="4">
        <v>168</v>
      </c>
      <c r="I2107" s="4">
        <v>336</v>
      </c>
      <c r="J2107" t="s">
        <v>613</v>
      </c>
      <c r="K2107" t="s">
        <v>86</v>
      </c>
      <c r="L2107" s="4">
        <v>8.8169309002713945</v>
      </c>
      <c r="M2107" s="1" t="s">
        <v>34</v>
      </c>
      <c r="N2107" s="11">
        <f t="shared" si="32"/>
        <v>1</v>
      </c>
    </row>
    <row r="2108" spans="1:14" ht="16" x14ac:dyDescent="0.2">
      <c r="A2108" s="3">
        <v>44039.909530903511</v>
      </c>
      <c r="B2108" s="1" t="s">
        <v>2437</v>
      </c>
      <c r="C2108" t="s">
        <v>215</v>
      </c>
      <c r="D2108">
        <v>8</v>
      </c>
      <c r="E2108">
        <v>176</v>
      </c>
      <c r="F2108">
        <v>88</v>
      </c>
      <c r="G2108">
        <v>1408</v>
      </c>
      <c r="H2108" s="4">
        <v>704</v>
      </c>
      <c r="I2108" s="4">
        <v>704</v>
      </c>
      <c r="J2108" t="s">
        <v>882</v>
      </c>
      <c r="K2108" t="s">
        <v>64</v>
      </c>
      <c r="L2108" s="4">
        <v>12.701325659159139</v>
      </c>
      <c r="M2108" s="1" t="s">
        <v>34</v>
      </c>
      <c r="N2108" s="11">
        <f t="shared" si="32"/>
        <v>1</v>
      </c>
    </row>
    <row r="2109" spans="1:14" ht="16" x14ac:dyDescent="0.2">
      <c r="A2109" s="3">
        <v>43698.099992701704</v>
      </c>
      <c r="B2109" s="1" t="s">
        <v>2438</v>
      </c>
      <c r="C2109" t="s">
        <v>288</v>
      </c>
      <c r="D2109">
        <v>3</v>
      </c>
      <c r="E2109">
        <v>48</v>
      </c>
      <c r="F2109">
        <v>24</v>
      </c>
      <c r="G2109">
        <v>144</v>
      </c>
      <c r="H2109" s="4">
        <v>72</v>
      </c>
      <c r="I2109" s="4">
        <v>72</v>
      </c>
      <c r="J2109" t="s">
        <v>199</v>
      </c>
      <c r="K2109" t="s">
        <v>86</v>
      </c>
      <c r="L2109" s="4">
        <v>13.890275354050972</v>
      </c>
      <c r="M2109" s="1" t="s">
        <v>38</v>
      </c>
      <c r="N2109" s="11">
        <f t="shared" si="32"/>
        <v>5</v>
      </c>
    </row>
    <row r="2110" spans="1:14" ht="16" x14ac:dyDescent="0.2">
      <c r="A2110" s="3">
        <v>43587.861658828493</v>
      </c>
      <c r="B2110" s="1" t="s">
        <v>2439</v>
      </c>
      <c r="C2110" t="s">
        <v>365</v>
      </c>
      <c r="D2110">
        <v>5</v>
      </c>
      <c r="E2110">
        <v>255</v>
      </c>
      <c r="F2110">
        <v>85</v>
      </c>
      <c r="G2110">
        <v>1275</v>
      </c>
      <c r="H2110" s="4">
        <v>425</v>
      </c>
      <c r="I2110" s="4">
        <v>850</v>
      </c>
      <c r="J2110" t="s">
        <v>1432</v>
      </c>
      <c r="K2110" t="s">
        <v>53</v>
      </c>
      <c r="L2110" s="4">
        <v>13.2671922973198</v>
      </c>
      <c r="M2110" s="1" t="s">
        <v>34</v>
      </c>
      <c r="N2110" s="11">
        <f t="shared" si="32"/>
        <v>1</v>
      </c>
    </row>
    <row r="2111" spans="1:14" ht="16" x14ac:dyDescent="0.2">
      <c r="A2111" s="3">
        <v>42891.278417885223</v>
      </c>
      <c r="B2111" s="1" t="s">
        <v>2440</v>
      </c>
      <c r="C2111" t="s">
        <v>276</v>
      </c>
      <c r="D2111">
        <v>15</v>
      </c>
      <c r="E2111">
        <v>57</v>
      </c>
      <c r="F2111">
        <v>19</v>
      </c>
      <c r="G2111">
        <v>855</v>
      </c>
      <c r="H2111" s="4">
        <v>285</v>
      </c>
      <c r="I2111" s="4">
        <v>570</v>
      </c>
      <c r="J2111" t="s">
        <v>506</v>
      </c>
      <c r="K2111" t="s">
        <v>33</v>
      </c>
      <c r="L2111" s="4">
        <v>13.917704159139552</v>
      </c>
      <c r="M2111" s="1" t="s">
        <v>54</v>
      </c>
      <c r="N2111" s="11">
        <f t="shared" si="32"/>
        <v>10</v>
      </c>
    </row>
    <row r="2112" spans="1:14" ht="16" x14ac:dyDescent="0.2">
      <c r="A2112" s="3">
        <v>43459.265112397617</v>
      </c>
      <c r="B2112" s="1" t="s">
        <v>2441</v>
      </c>
      <c r="C2112" t="s">
        <v>133</v>
      </c>
      <c r="D2112">
        <v>19</v>
      </c>
      <c r="E2112">
        <v>189</v>
      </c>
      <c r="F2112">
        <v>63</v>
      </c>
      <c r="G2112">
        <v>3591</v>
      </c>
      <c r="H2112" s="4">
        <v>1197</v>
      </c>
      <c r="I2112" s="4">
        <v>2394</v>
      </c>
      <c r="J2112" t="s">
        <v>1379</v>
      </c>
      <c r="K2112" t="s">
        <v>86</v>
      </c>
      <c r="L2112" s="4">
        <v>14.157909724393564</v>
      </c>
      <c r="M2112" s="1" t="s">
        <v>38</v>
      </c>
      <c r="N2112" s="11">
        <f t="shared" si="32"/>
        <v>5</v>
      </c>
    </row>
    <row r="2113" spans="1:14" ht="16" x14ac:dyDescent="0.2">
      <c r="A2113" s="3">
        <v>43042.64978384741</v>
      </c>
      <c r="B2113" s="1" t="s">
        <v>2442</v>
      </c>
      <c r="C2113" t="s">
        <v>261</v>
      </c>
      <c r="D2113">
        <v>14</v>
      </c>
      <c r="E2113">
        <v>92</v>
      </c>
      <c r="F2113">
        <v>46</v>
      </c>
      <c r="G2113">
        <v>1288</v>
      </c>
      <c r="H2113" s="4">
        <v>644</v>
      </c>
      <c r="I2113" s="4">
        <v>644</v>
      </c>
      <c r="J2113" t="s">
        <v>691</v>
      </c>
      <c r="K2113" t="s">
        <v>33</v>
      </c>
      <c r="L2113" s="4">
        <v>10.248947386022252</v>
      </c>
      <c r="M2113" s="1" t="s">
        <v>54</v>
      </c>
      <c r="N2113" s="11">
        <f t="shared" si="32"/>
        <v>10</v>
      </c>
    </row>
    <row r="2114" spans="1:14" ht="16" x14ac:dyDescent="0.2">
      <c r="A2114" s="3">
        <v>43525.297157094363</v>
      </c>
      <c r="B2114" s="1" t="s">
        <v>2443</v>
      </c>
      <c r="C2114" t="s">
        <v>201</v>
      </c>
      <c r="D2114">
        <v>6</v>
      </c>
      <c r="E2114">
        <v>30</v>
      </c>
      <c r="F2114">
        <v>15</v>
      </c>
      <c r="G2114">
        <v>180</v>
      </c>
      <c r="H2114" s="4">
        <v>90</v>
      </c>
      <c r="I2114" s="4">
        <v>90</v>
      </c>
      <c r="J2114" t="s">
        <v>450</v>
      </c>
      <c r="K2114" t="s">
        <v>49</v>
      </c>
      <c r="L2114" s="4">
        <v>13.332534707865639</v>
      </c>
      <c r="M2114" s="1" t="s">
        <v>38</v>
      </c>
      <c r="N2114" s="11">
        <f t="shared" si="32"/>
        <v>5</v>
      </c>
    </row>
    <row r="2115" spans="1:14" ht="16" x14ac:dyDescent="0.2">
      <c r="A2115" s="3">
        <v>43383.901694577333</v>
      </c>
      <c r="B2115" s="1" t="s">
        <v>2444</v>
      </c>
      <c r="C2115" t="s">
        <v>110</v>
      </c>
      <c r="D2115">
        <v>1</v>
      </c>
      <c r="E2115">
        <v>144</v>
      </c>
      <c r="F2115">
        <v>36</v>
      </c>
      <c r="G2115">
        <v>144</v>
      </c>
      <c r="H2115" s="4">
        <v>36</v>
      </c>
      <c r="I2115" s="4">
        <v>108</v>
      </c>
      <c r="J2115" t="s">
        <v>338</v>
      </c>
      <c r="K2115" t="s">
        <v>64</v>
      </c>
      <c r="L2115" s="4">
        <v>10.132922049221957</v>
      </c>
      <c r="M2115" s="1" t="s">
        <v>38</v>
      </c>
      <c r="N2115" s="11">
        <f t="shared" ref="N2115:N2178" si="33">+IF(M2115="Dissatisfied",1,IF(M2115="Satisfied",10,5))</f>
        <v>5</v>
      </c>
    </row>
    <row r="2116" spans="1:14" ht="16" x14ac:dyDescent="0.2">
      <c r="A2116" s="3">
        <v>43424.563156712131</v>
      </c>
      <c r="B2116" s="1" t="s">
        <v>2445</v>
      </c>
      <c r="C2116" t="s">
        <v>283</v>
      </c>
      <c r="D2116">
        <v>13</v>
      </c>
      <c r="E2116">
        <v>144</v>
      </c>
      <c r="F2116">
        <v>36</v>
      </c>
      <c r="G2116">
        <v>1872</v>
      </c>
      <c r="H2116" s="4">
        <v>468</v>
      </c>
      <c r="I2116" s="4">
        <v>1404</v>
      </c>
      <c r="J2116" t="s">
        <v>230</v>
      </c>
      <c r="K2116" t="s">
        <v>42</v>
      </c>
      <c r="L2116" s="4">
        <v>12.172922939334034</v>
      </c>
      <c r="M2116" s="1" t="s">
        <v>34</v>
      </c>
      <c r="N2116" s="11">
        <f t="shared" si="33"/>
        <v>1</v>
      </c>
    </row>
    <row r="2117" spans="1:14" ht="16" x14ac:dyDescent="0.2">
      <c r="A2117" s="3">
        <v>44086.356665583313</v>
      </c>
      <c r="B2117" s="1" t="s">
        <v>2446</v>
      </c>
      <c r="C2117" t="s">
        <v>218</v>
      </c>
      <c r="D2117">
        <v>7</v>
      </c>
      <c r="E2117">
        <v>264</v>
      </c>
      <c r="F2117">
        <v>88</v>
      </c>
      <c r="G2117">
        <v>1848</v>
      </c>
      <c r="H2117" s="4">
        <v>616</v>
      </c>
      <c r="I2117" s="4">
        <v>1232</v>
      </c>
      <c r="J2117" t="s">
        <v>67</v>
      </c>
      <c r="K2117" t="s">
        <v>64</v>
      </c>
      <c r="L2117" s="4">
        <v>15.602184182549776</v>
      </c>
      <c r="M2117" s="1" t="s">
        <v>38</v>
      </c>
      <c r="N2117" s="11">
        <f t="shared" si="33"/>
        <v>5</v>
      </c>
    </row>
    <row r="2118" spans="1:14" ht="16" x14ac:dyDescent="0.2">
      <c r="A2118" s="3">
        <v>44171.282534014856</v>
      </c>
      <c r="B2118" s="1" t="s">
        <v>1529</v>
      </c>
      <c r="C2118" t="s">
        <v>115</v>
      </c>
      <c r="D2118">
        <v>11</v>
      </c>
      <c r="E2118">
        <v>81</v>
      </c>
      <c r="F2118">
        <v>27</v>
      </c>
      <c r="G2118">
        <v>891</v>
      </c>
      <c r="H2118" s="4">
        <v>297</v>
      </c>
      <c r="I2118" s="4">
        <v>594</v>
      </c>
      <c r="J2118" t="s">
        <v>1065</v>
      </c>
      <c r="K2118" t="s">
        <v>53</v>
      </c>
      <c r="L2118" s="4">
        <v>13.00553764131261</v>
      </c>
      <c r="M2118" s="1" t="s">
        <v>38</v>
      </c>
      <c r="N2118" s="11">
        <f t="shared" si="33"/>
        <v>5</v>
      </c>
    </row>
    <row r="2119" spans="1:14" ht="16" x14ac:dyDescent="0.2">
      <c r="A2119" s="3">
        <v>43547.662548125278</v>
      </c>
      <c r="B2119" s="1" t="s">
        <v>2447</v>
      </c>
      <c r="C2119" t="s">
        <v>69</v>
      </c>
      <c r="D2119">
        <v>20</v>
      </c>
      <c r="E2119">
        <v>184</v>
      </c>
      <c r="F2119">
        <v>92</v>
      </c>
      <c r="G2119">
        <v>3680</v>
      </c>
      <c r="H2119" s="4">
        <v>1840</v>
      </c>
      <c r="I2119" s="4">
        <v>1840</v>
      </c>
      <c r="J2119" t="s">
        <v>802</v>
      </c>
      <c r="K2119" t="s">
        <v>58</v>
      </c>
      <c r="L2119" s="4">
        <v>11.943192562152261</v>
      </c>
      <c r="M2119" s="1" t="s">
        <v>54</v>
      </c>
      <c r="N2119" s="11">
        <f t="shared" si="33"/>
        <v>10</v>
      </c>
    </row>
    <row r="2120" spans="1:14" ht="16" x14ac:dyDescent="0.2">
      <c r="A2120" s="3">
        <v>44172.417761956771</v>
      </c>
      <c r="B2120" s="1" t="s">
        <v>2448</v>
      </c>
      <c r="C2120" t="s">
        <v>420</v>
      </c>
      <c r="D2120">
        <v>2</v>
      </c>
      <c r="E2120">
        <v>162</v>
      </c>
      <c r="F2120">
        <v>54</v>
      </c>
      <c r="G2120">
        <v>324</v>
      </c>
      <c r="H2120" s="4">
        <v>108</v>
      </c>
      <c r="I2120" s="4">
        <v>216</v>
      </c>
      <c r="J2120" t="s">
        <v>482</v>
      </c>
      <c r="K2120" t="s">
        <v>42</v>
      </c>
      <c r="L2120" s="4">
        <v>11.311040680082275</v>
      </c>
      <c r="M2120" s="1" t="s">
        <v>54</v>
      </c>
      <c r="N2120" s="11">
        <f t="shared" si="33"/>
        <v>10</v>
      </c>
    </row>
    <row r="2121" spans="1:14" ht="16" x14ac:dyDescent="0.2">
      <c r="A2121" s="3">
        <v>44339.376615283414</v>
      </c>
      <c r="B2121" s="1" t="s">
        <v>2449</v>
      </c>
      <c r="C2121" t="s">
        <v>312</v>
      </c>
      <c r="D2121">
        <v>10</v>
      </c>
      <c r="E2121">
        <v>240</v>
      </c>
      <c r="F2121">
        <v>80</v>
      </c>
      <c r="G2121">
        <v>2400</v>
      </c>
      <c r="H2121" s="4">
        <v>800</v>
      </c>
      <c r="I2121" s="4">
        <v>1600</v>
      </c>
      <c r="J2121" t="s">
        <v>241</v>
      </c>
      <c r="K2121" t="s">
        <v>33</v>
      </c>
      <c r="L2121" s="4">
        <v>11.274864741138284</v>
      </c>
      <c r="M2121" s="1" t="s">
        <v>38</v>
      </c>
      <c r="N2121" s="11">
        <f t="shared" si="33"/>
        <v>5</v>
      </c>
    </row>
    <row r="2122" spans="1:14" ht="16" x14ac:dyDescent="0.2">
      <c r="A2122" s="3">
        <v>44219.801782688912</v>
      </c>
      <c r="B2122" s="1" t="s">
        <v>2450</v>
      </c>
      <c r="C2122" t="s">
        <v>399</v>
      </c>
      <c r="D2122">
        <v>10</v>
      </c>
      <c r="E2122">
        <v>160</v>
      </c>
      <c r="F2122">
        <v>80</v>
      </c>
      <c r="G2122">
        <v>1600</v>
      </c>
      <c r="H2122" s="4">
        <v>800</v>
      </c>
      <c r="I2122" s="4">
        <v>800</v>
      </c>
      <c r="J2122" t="s">
        <v>60</v>
      </c>
      <c r="K2122" t="s">
        <v>53</v>
      </c>
      <c r="L2122" s="4">
        <v>11.048444680405545</v>
      </c>
      <c r="M2122" s="1" t="s">
        <v>38</v>
      </c>
      <c r="N2122" s="11">
        <f t="shared" si="33"/>
        <v>5</v>
      </c>
    </row>
    <row r="2123" spans="1:14" ht="16" x14ac:dyDescent="0.2">
      <c r="A2123" s="3">
        <v>44245.977186624441</v>
      </c>
      <c r="B2123" s="1" t="s">
        <v>2451</v>
      </c>
      <c r="C2123" t="s">
        <v>592</v>
      </c>
      <c r="D2123">
        <v>6</v>
      </c>
      <c r="E2123">
        <v>312</v>
      </c>
      <c r="F2123">
        <v>78</v>
      </c>
      <c r="G2123">
        <v>1872</v>
      </c>
      <c r="H2123" s="4">
        <v>468</v>
      </c>
      <c r="I2123" s="4">
        <v>1404</v>
      </c>
      <c r="J2123" t="s">
        <v>474</v>
      </c>
      <c r="K2123" t="s">
        <v>33</v>
      </c>
      <c r="L2123" s="4">
        <v>9.629298039722805</v>
      </c>
      <c r="M2123" s="1" t="s">
        <v>38</v>
      </c>
      <c r="N2123" s="11">
        <f t="shared" si="33"/>
        <v>5</v>
      </c>
    </row>
    <row r="2124" spans="1:14" ht="16" x14ac:dyDescent="0.2">
      <c r="A2124" s="3">
        <v>44339.638516399282</v>
      </c>
      <c r="B2124" s="1" t="s">
        <v>2452</v>
      </c>
      <c r="C2124" t="s">
        <v>538</v>
      </c>
      <c r="D2124">
        <v>20</v>
      </c>
      <c r="E2124">
        <v>261</v>
      </c>
      <c r="F2124">
        <v>87</v>
      </c>
      <c r="G2124">
        <v>5220</v>
      </c>
      <c r="H2124" s="4">
        <v>1740</v>
      </c>
      <c r="I2124" s="4">
        <v>3480</v>
      </c>
      <c r="J2124" t="s">
        <v>1560</v>
      </c>
      <c r="K2124" t="s">
        <v>86</v>
      </c>
      <c r="L2124" s="4">
        <v>14.412865837260112</v>
      </c>
      <c r="M2124" s="1" t="s">
        <v>34</v>
      </c>
      <c r="N2124" s="11">
        <f t="shared" si="33"/>
        <v>1</v>
      </c>
    </row>
    <row r="2125" spans="1:14" ht="16" x14ac:dyDescent="0.2">
      <c r="A2125" s="3">
        <v>43359.657154233108</v>
      </c>
      <c r="B2125" s="1" t="s">
        <v>2453</v>
      </c>
      <c r="C2125" t="s">
        <v>410</v>
      </c>
      <c r="D2125">
        <v>1</v>
      </c>
      <c r="E2125">
        <v>84</v>
      </c>
      <c r="F2125">
        <v>21</v>
      </c>
      <c r="G2125">
        <v>84</v>
      </c>
      <c r="H2125" s="4">
        <v>21</v>
      </c>
      <c r="I2125" s="4">
        <v>63</v>
      </c>
      <c r="J2125" t="s">
        <v>131</v>
      </c>
      <c r="K2125" t="s">
        <v>33</v>
      </c>
      <c r="L2125" s="4">
        <v>12.844063202784817</v>
      </c>
      <c r="M2125" s="1" t="s">
        <v>34</v>
      </c>
      <c r="N2125" s="11">
        <f t="shared" si="33"/>
        <v>1</v>
      </c>
    </row>
    <row r="2126" spans="1:14" ht="16" x14ac:dyDescent="0.2">
      <c r="A2126" s="3">
        <v>44092.590093564366</v>
      </c>
      <c r="B2126" s="1" t="s">
        <v>1183</v>
      </c>
      <c r="C2126" t="s">
        <v>47</v>
      </c>
      <c r="D2126">
        <v>10</v>
      </c>
      <c r="E2126">
        <v>231</v>
      </c>
      <c r="F2126">
        <v>77</v>
      </c>
      <c r="G2126">
        <v>2310</v>
      </c>
      <c r="H2126" s="4">
        <v>770</v>
      </c>
      <c r="I2126" s="4">
        <v>1540</v>
      </c>
      <c r="J2126" t="s">
        <v>448</v>
      </c>
      <c r="K2126" t="s">
        <v>58</v>
      </c>
      <c r="L2126" s="4">
        <v>15.770846827234339</v>
      </c>
      <c r="M2126" s="1" t="s">
        <v>54</v>
      </c>
      <c r="N2126" s="11">
        <f t="shared" si="33"/>
        <v>10</v>
      </c>
    </row>
    <row r="2127" spans="1:14" ht="16" x14ac:dyDescent="0.2">
      <c r="A2127" s="3">
        <v>43817.316740052134</v>
      </c>
      <c r="B2127" s="1" t="s">
        <v>2454</v>
      </c>
      <c r="C2127" t="s">
        <v>592</v>
      </c>
      <c r="D2127">
        <v>8</v>
      </c>
      <c r="E2127">
        <v>312</v>
      </c>
      <c r="F2127">
        <v>78</v>
      </c>
      <c r="G2127">
        <v>2496</v>
      </c>
      <c r="H2127" s="4">
        <v>624</v>
      </c>
      <c r="I2127" s="4">
        <v>1872</v>
      </c>
      <c r="J2127" t="s">
        <v>1379</v>
      </c>
      <c r="K2127" t="s">
        <v>86</v>
      </c>
      <c r="L2127" s="4">
        <v>14.157909724393564</v>
      </c>
      <c r="M2127" s="1" t="s">
        <v>38</v>
      </c>
      <c r="N2127" s="11">
        <f t="shared" si="33"/>
        <v>5</v>
      </c>
    </row>
    <row r="2128" spans="1:14" ht="16" x14ac:dyDescent="0.2">
      <c r="A2128" s="3">
        <v>43658.244849406197</v>
      </c>
      <c r="B2128" s="1" t="s">
        <v>2455</v>
      </c>
      <c r="C2128" t="s">
        <v>157</v>
      </c>
      <c r="D2128">
        <v>4</v>
      </c>
      <c r="E2128">
        <v>50</v>
      </c>
      <c r="F2128">
        <v>25</v>
      </c>
      <c r="G2128">
        <v>200</v>
      </c>
      <c r="H2128" s="4">
        <v>100</v>
      </c>
      <c r="I2128" s="4">
        <v>100</v>
      </c>
      <c r="J2128" t="s">
        <v>354</v>
      </c>
      <c r="K2128" t="s">
        <v>42</v>
      </c>
      <c r="L2128" s="4">
        <v>13.518413464873573</v>
      </c>
      <c r="M2128" s="1" t="s">
        <v>34</v>
      </c>
      <c r="N2128" s="11">
        <f t="shared" si="33"/>
        <v>1</v>
      </c>
    </row>
    <row r="2129" spans="1:14" ht="16" x14ac:dyDescent="0.2">
      <c r="A2129" s="3">
        <v>44339.202254705619</v>
      </c>
      <c r="B2129" s="1" t="s">
        <v>2456</v>
      </c>
      <c r="C2129" t="s">
        <v>547</v>
      </c>
      <c r="D2129">
        <v>13</v>
      </c>
      <c r="E2129">
        <v>300</v>
      </c>
      <c r="F2129">
        <v>75</v>
      </c>
      <c r="G2129">
        <v>3900</v>
      </c>
      <c r="H2129" s="4">
        <v>975</v>
      </c>
      <c r="I2129" s="4">
        <v>2925</v>
      </c>
      <c r="J2129" t="s">
        <v>713</v>
      </c>
      <c r="K2129" t="s">
        <v>42</v>
      </c>
      <c r="L2129" s="4">
        <v>10.956589836772277</v>
      </c>
      <c r="M2129" s="1" t="s">
        <v>38</v>
      </c>
      <c r="N2129" s="11">
        <f t="shared" si="33"/>
        <v>5</v>
      </c>
    </row>
    <row r="2130" spans="1:14" ht="16" x14ac:dyDescent="0.2">
      <c r="A2130" s="3">
        <v>43750.558483749417</v>
      </c>
      <c r="B2130" s="1" t="s">
        <v>2295</v>
      </c>
      <c r="C2130" t="s">
        <v>31</v>
      </c>
      <c r="D2130">
        <v>18</v>
      </c>
      <c r="E2130">
        <v>280</v>
      </c>
      <c r="F2130">
        <v>70</v>
      </c>
      <c r="G2130">
        <v>5040</v>
      </c>
      <c r="H2130" s="4">
        <v>1260</v>
      </c>
      <c r="I2130" s="4">
        <v>3780</v>
      </c>
      <c r="J2130" t="s">
        <v>968</v>
      </c>
      <c r="K2130" t="s">
        <v>42</v>
      </c>
      <c r="L2130" s="4">
        <v>11.961761925704458</v>
      </c>
      <c r="M2130" s="1" t="s">
        <v>34</v>
      </c>
      <c r="N2130" s="11">
        <f t="shared" si="33"/>
        <v>1</v>
      </c>
    </row>
    <row r="2131" spans="1:14" ht="16" x14ac:dyDescent="0.2">
      <c r="A2131" s="3">
        <v>44248.571705256858</v>
      </c>
      <c r="B2131" s="1" t="s">
        <v>2457</v>
      </c>
      <c r="C2131" t="s">
        <v>317</v>
      </c>
      <c r="D2131">
        <v>20</v>
      </c>
      <c r="E2131">
        <v>352</v>
      </c>
      <c r="F2131">
        <v>88</v>
      </c>
      <c r="G2131">
        <v>7040</v>
      </c>
      <c r="H2131" s="4">
        <v>1760</v>
      </c>
      <c r="I2131" s="4">
        <v>5280</v>
      </c>
      <c r="J2131" t="s">
        <v>469</v>
      </c>
      <c r="K2131" t="s">
        <v>64</v>
      </c>
      <c r="L2131" s="4">
        <v>7.9963422143733238</v>
      </c>
      <c r="M2131" s="1" t="s">
        <v>38</v>
      </c>
      <c r="N2131" s="11">
        <f t="shared" si="33"/>
        <v>5</v>
      </c>
    </row>
    <row r="2132" spans="1:14" ht="16" x14ac:dyDescent="0.2">
      <c r="A2132" s="3">
        <v>44090.781269661231</v>
      </c>
      <c r="B2132" s="1" t="s">
        <v>2458</v>
      </c>
      <c r="C2132" t="s">
        <v>47</v>
      </c>
      <c r="D2132">
        <v>10</v>
      </c>
      <c r="E2132">
        <v>231</v>
      </c>
      <c r="F2132">
        <v>77</v>
      </c>
      <c r="G2132">
        <v>2310</v>
      </c>
      <c r="H2132" s="4">
        <v>770</v>
      </c>
      <c r="I2132" s="4">
        <v>1540</v>
      </c>
      <c r="J2132" t="s">
        <v>444</v>
      </c>
      <c r="K2132" t="s">
        <v>42</v>
      </c>
      <c r="L2132" s="4">
        <v>15.861056998489449</v>
      </c>
      <c r="M2132" s="1" t="s">
        <v>38</v>
      </c>
      <c r="N2132" s="11">
        <f t="shared" si="33"/>
        <v>5</v>
      </c>
    </row>
    <row r="2133" spans="1:14" ht="16" x14ac:dyDescent="0.2">
      <c r="A2133" s="3">
        <v>44542.900511140688</v>
      </c>
      <c r="B2133" s="1" t="s">
        <v>2459</v>
      </c>
      <c r="C2133" t="s">
        <v>375</v>
      </c>
      <c r="D2133">
        <v>3</v>
      </c>
      <c r="E2133">
        <v>360</v>
      </c>
      <c r="F2133">
        <v>90</v>
      </c>
      <c r="G2133">
        <v>1080</v>
      </c>
      <c r="H2133" s="4">
        <v>270</v>
      </c>
      <c r="I2133" s="4">
        <v>810</v>
      </c>
      <c r="J2133" t="s">
        <v>108</v>
      </c>
      <c r="K2133" t="s">
        <v>64</v>
      </c>
      <c r="L2133" s="4">
        <v>9.7467096260695598</v>
      </c>
      <c r="M2133" s="1" t="s">
        <v>38</v>
      </c>
      <c r="N2133" s="11">
        <f t="shared" si="33"/>
        <v>5</v>
      </c>
    </row>
    <row r="2134" spans="1:14" ht="16" x14ac:dyDescent="0.2">
      <c r="A2134" s="3">
        <v>44599.485092932817</v>
      </c>
      <c r="B2134" s="1" t="s">
        <v>2460</v>
      </c>
      <c r="C2134" t="s">
        <v>175</v>
      </c>
      <c r="D2134">
        <v>1</v>
      </c>
      <c r="E2134">
        <v>38</v>
      </c>
      <c r="F2134">
        <v>19</v>
      </c>
      <c r="G2134">
        <v>38</v>
      </c>
      <c r="H2134" s="4">
        <v>19</v>
      </c>
      <c r="I2134" s="4">
        <v>19</v>
      </c>
      <c r="J2134" t="s">
        <v>149</v>
      </c>
      <c r="K2134" t="s">
        <v>58</v>
      </c>
      <c r="L2134" s="4">
        <v>8.1085102757869372</v>
      </c>
      <c r="M2134" s="1" t="s">
        <v>38</v>
      </c>
      <c r="N2134" s="11">
        <f t="shared" si="33"/>
        <v>5</v>
      </c>
    </row>
    <row r="2135" spans="1:14" ht="16" x14ac:dyDescent="0.2">
      <c r="A2135" s="3">
        <v>44518.306728932155</v>
      </c>
      <c r="B2135" s="1" t="s">
        <v>2461</v>
      </c>
      <c r="C2135" t="s">
        <v>544</v>
      </c>
      <c r="D2135">
        <v>20</v>
      </c>
      <c r="E2135">
        <v>267</v>
      </c>
      <c r="F2135">
        <v>89</v>
      </c>
      <c r="G2135">
        <v>5340</v>
      </c>
      <c r="H2135" s="4">
        <v>1780</v>
      </c>
      <c r="I2135" s="4">
        <v>3560</v>
      </c>
      <c r="J2135" t="s">
        <v>366</v>
      </c>
      <c r="K2135" t="s">
        <v>64</v>
      </c>
      <c r="L2135" s="4">
        <v>12.342715162719054</v>
      </c>
      <c r="M2135" s="1" t="s">
        <v>38</v>
      </c>
      <c r="N2135" s="11">
        <f t="shared" si="33"/>
        <v>5</v>
      </c>
    </row>
    <row r="2136" spans="1:14" ht="16" x14ac:dyDescent="0.2">
      <c r="A2136" s="3">
        <v>44427.697093275347</v>
      </c>
      <c r="B2136" s="1" t="s">
        <v>2462</v>
      </c>
      <c r="C2136" t="s">
        <v>286</v>
      </c>
      <c r="D2136">
        <v>3</v>
      </c>
      <c r="E2136">
        <v>34</v>
      </c>
      <c r="F2136">
        <v>17</v>
      </c>
      <c r="G2136">
        <v>102</v>
      </c>
      <c r="H2136" s="4">
        <v>51</v>
      </c>
      <c r="I2136" s="4">
        <v>51</v>
      </c>
      <c r="J2136" t="s">
        <v>555</v>
      </c>
      <c r="K2136" t="s">
        <v>53</v>
      </c>
      <c r="L2136" s="4">
        <v>14.341195386574373</v>
      </c>
      <c r="M2136" s="1" t="s">
        <v>34</v>
      </c>
      <c r="N2136" s="11">
        <f t="shared" si="33"/>
        <v>1</v>
      </c>
    </row>
    <row r="2137" spans="1:14" ht="16" x14ac:dyDescent="0.2">
      <c r="A2137" s="3">
        <v>43085.324375002347</v>
      </c>
      <c r="B2137" s="1" t="s">
        <v>2463</v>
      </c>
      <c r="C2137" t="s">
        <v>266</v>
      </c>
      <c r="D2137">
        <v>6</v>
      </c>
      <c r="E2137">
        <v>50</v>
      </c>
      <c r="F2137">
        <v>25</v>
      </c>
      <c r="G2137">
        <v>300</v>
      </c>
      <c r="H2137" s="4">
        <v>150</v>
      </c>
      <c r="I2137" s="4">
        <v>150</v>
      </c>
      <c r="J2137" t="s">
        <v>645</v>
      </c>
      <c r="K2137" t="s">
        <v>86</v>
      </c>
      <c r="L2137" s="4">
        <v>9.879282537628514</v>
      </c>
      <c r="M2137" s="1" t="s">
        <v>38</v>
      </c>
      <c r="N2137" s="11">
        <f t="shared" si="33"/>
        <v>5</v>
      </c>
    </row>
    <row r="2138" spans="1:14" ht="16" x14ac:dyDescent="0.2">
      <c r="A2138" s="3">
        <v>43795.522638870752</v>
      </c>
      <c r="B2138" s="1" t="s">
        <v>2464</v>
      </c>
      <c r="C2138" t="s">
        <v>113</v>
      </c>
      <c r="D2138">
        <v>3</v>
      </c>
      <c r="E2138">
        <v>66</v>
      </c>
      <c r="F2138">
        <v>33</v>
      </c>
      <c r="G2138">
        <v>198</v>
      </c>
      <c r="H2138" s="4">
        <v>99</v>
      </c>
      <c r="I2138" s="4">
        <v>99</v>
      </c>
      <c r="J2138" t="s">
        <v>82</v>
      </c>
      <c r="K2138" t="s">
        <v>58</v>
      </c>
      <c r="L2138" s="4">
        <v>13.45980057156361</v>
      </c>
      <c r="M2138" s="1" t="s">
        <v>38</v>
      </c>
      <c r="N2138" s="11">
        <f t="shared" si="33"/>
        <v>5</v>
      </c>
    </row>
    <row r="2139" spans="1:14" ht="16" x14ac:dyDescent="0.2">
      <c r="A2139" s="3">
        <v>43574.354126914186</v>
      </c>
      <c r="B2139" s="1" t="s">
        <v>2465</v>
      </c>
      <c r="C2139" t="s">
        <v>561</v>
      </c>
      <c r="D2139">
        <v>4</v>
      </c>
      <c r="E2139">
        <v>384</v>
      </c>
      <c r="F2139">
        <v>96</v>
      </c>
      <c r="G2139">
        <v>1536</v>
      </c>
      <c r="H2139" s="4">
        <v>384</v>
      </c>
      <c r="I2139" s="4">
        <v>1152</v>
      </c>
      <c r="J2139" t="s">
        <v>673</v>
      </c>
      <c r="K2139" t="s">
        <v>53</v>
      </c>
      <c r="L2139" s="4">
        <v>14.460020532456038</v>
      </c>
      <c r="M2139" s="1" t="s">
        <v>54</v>
      </c>
      <c r="N2139" s="11">
        <f t="shared" si="33"/>
        <v>10</v>
      </c>
    </row>
    <row r="2140" spans="1:14" ht="16" x14ac:dyDescent="0.2">
      <c r="A2140" s="3">
        <v>44280.480310044593</v>
      </c>
      <c r="B2140" s="1" t="s">
        <v>2466</v>
      </c>
      <c r="C2140" t="s">
        <v>75</v>
      </c>
      <c r="D2140">
        <v>14</v>
      </c>
      <c r="E2140">
        <v>76</v>
      </c>
      <c r="F2140">
        <v>19</v>
      </c>
      <c r="G2140">
        <v>1064</v>
      </c>
      <c r="H2140" s="4">
        <v>266</v>
      </c>
      <c r="I2140" s="4">
        <v>798</v>
      </c>
      <c r="J2140" t="s">
        <v>767</v>
      </c>
      <c r="K2140" t="s">
        <v>42</v>
      </c>
      <c r="L2140" s="4">
        <v>11.289144410898391</v>
      </c>
      <c r="M2140" s="1" t="s">
        <v>34</v>
      </c>
      <c r="N2140" s="11">
        <f t="shared" si="33"/>
        <v>1</v>
      </c>
    </row>
    <row r="2141" spans="1:14" ht="16" x14ac:dyDescent="0.2">
      <c r="A2141" s="3">
        <v>44065.416468109826</v>
      </c>
      <c r="B2141" s="1" t="s">
        <v>2467</v>
      </c>
      <c r="C2141" t="s">
        <v>261</v>
      </c>
      <c r="D2141">
        <v>17</v>
      </c>
      <c r="E2141">
        <v>92</v>
      </c>
      <c r="F2141">
        <v>46</v>
      </c>
      <c r="G2141">
        <v>1564</v>
      </c>
      <c r="H2141" s="4">
        <v>782</v>
      </c>
      <c r="I2141" s="4">
        <v>782</v>
      </c>
      <c r="J2141" t="s">
        <v>307</v>
      </c>
      <c r="K2141" t="s">
        <v>53</v>
      </c>
      <c r="L2141" s="4">
        <v>7.0114620475168028</v>
      </c>
      <c r="M2141" s="1" t="s">
        <v>34</v>
      </c>
      <c r="N2141" s="11">
        <f t="shared" si="33"/>
        <v>1</v>
      </c>
    </row>
    <row r="2142" spans="1:14" ht="16" x14ac:dyDescent="0.2">
      <c r="A2142" s="3">
        <v>44043.001217924291</v>
      </c>
      <c r="B2142" s="1" t="s">
        <v>2468</v>
      </c>
      <c r="C2142" t="s">
        <v>218</v>
      </c>
      <c r="D2142">
        <v>19</v>
      </c>
      <c r="E2142">
        <v>264</v>
      </c>
      <c r="F2142">
        <v>88</v>
      </c>
      <c r="G2142">
        <v>5016</v>
      </c>
      <c r="H2142" s="4">
        <v>1672</v>
      </c>
      <c r="I2142" s="4">
        <v>3344</v>
      </c>
      <c r="J2142" t="s">
        <v>752</v>
      </c>
      <c r="K2142" t="s">
        <v>49</v>
      </c>
      <c r="L2142" s="4">
        <v>11.862005526237752</v>
      </c>
      <c r="M2142" s="1" t="s">
        <v>38</v>
      </c>
      <c r="N2142" s="11">
        <f t="shared" si="33"/>
        <v>5</v>
      </c>
    </row>
    <row r="2143" spans="1:14" ht="16" x14ac:dyDescent="0.2">
      <c r="A2143" s="3">
        <v>44406.688306917196</v>
      </c>
      <c r="B2143" s="1" t="s">
        <v>2036</v>
      </c>
      <c r="C2143" t="s">
        <v>544</v>
      </c>
      <c r="D2143">
        <v>14</v>
      </c>
      <c r="E2143">
        <v>267</v>
      </c>
      <c r="F2143">
        <v>89</v>
      </c>
      <c r="G2143">
        <v>3738</v>
      </c>
      <c r="H2143" s="4">
        <v>1246</v>
      </c>
      <c r="I2143" s="4">
        <v>2492</v>
      </c>
      <c r="J2143" t="s">
        <v>707</v>
      </c>
      <c r="K2143" t="s">
        <v>49</v>
      </c>
      <c r="L2143" s="4">
        <v>11.779256317174871</v>
      </c>
      <c r="M2143" s="1" t="s">
        <v>34</v>
      </c>
      <c r="N2143" s="11">
        <f t="shared" si="33"/>
        <v>1</v>
      </c>
    </row>
    <row r="2144" spans="1:14" ht="16" x14ac:dyDescent="0.2">
      <c r="A2144" s="3">
        <v>44493.39431943735</v>
      </c>
      <c r="B2144" s="1" t="s">
        <v>2469</v>
      </c>
      <c r="C2144" t="s">
        <v>299</v>
      </c>
      <c r="D2144">
        <v>15</v>
      </c>
      <c r="E2144">
        <v>225</v>
      </c>
      <c r="F2144">
        <v>75</v>
      </c>
      <c r="G2144">
        <v>3375</v>
      </c>
      <c r="H2144" s="4">
        <v>1125</v>
      </c>
      <c r="I2144" s="4">
        <v>2250</v>
      </c>
      <c r="J2144" t="s">
        <v>290</v>
      </c>
      <c r="K2144" t="s">
        <v>86</v>
      </c>
      <c r="L2144" s="4">
        <v>12.758430621858414</v>
      </c>
      <c r="M2144" s="1" t="s">
        <v>54</v>
      </c>
      <c r="N2144" s="11">
        <f t="shared" si="33"/>
        <v>10</v>
      </c>
    </row>
    <row r="2145" spans="1:14" ht="16" x14ac:dyDescent="0.2">
      <c r="A2145" s="3">
        <v>43697.321160771855</v>
      </c>
      <c r="B2145" s="1" t="s">
        <v>2470</v>
      </c>
      <c r="C2145" t="s">
        <v>212</v>
      </c>
      <c r="D2145">
        <v>4</v>
      </c>
      <c r="E2145">
        <v>300</v>
      </c>
      <c r="F2145">
        <v>75</v>
      </c>
      <c r="G2145">
        <v>1200</v>
      </c>
      <c r="H2145" s="4">
        <v>300</v>
      </c>
      <c r="I2145" s="4">
        <v>900</v>
      </c>
      <c r="J2145" t="s">
        <v>143</v>
      </c>
      <c r="K2145" t="s">
        <v>64</v>
      </c>
      <c r="L2145" s="4">
        <v>11.406233913305266</v>
      </c>
      <c r="M2145" s="1" t="s">
        <v>54</v>
      </c>
      <c r="N2145" s="11">
        <f t="shared" si="33"/>
        <v>10</v>
      </c>
    </row>
    <row r="2146" spans="1:14" ht="16" x14ac:dyDescent="0.2">
      <c r="A2146" s="3">
        <v>43638.636209504795</v>
      </c>
      <c r="B2146" s="1" t="s">
        <v>2471</v>
      </c>
      <c r="C2146" t="s">
        <v>110</v>
      </c>
      <c r="D2146">
        <v>5</v>
      </c>
      <c r="E2146">
        <v>144</v>
      </c>
      <c r="F2146">
        <v>36</v>
      </c>
      <c r="G2146">
        <v>720</v>
      </c>
      <c r="H2146" s="4">
        <v>180</v>
      </c>
      <c r="I2146" s="4">
        <v>540</v>
      </c>
      <c r="J2146" t="s">
        <v>477</v>
      </c>
      <c r="K2146" t="s">
        <v>53</v>
      </c>
      <c r="L2146" s="4">
        <v>14.845213075061906</v>
      </c>
      <c r="M2146" s="1" t="s">
        <v>34</v>
      </c>
      <c r="N2146" s="11">
        <f t="shared" si="33"/>
        <v>1</v>
      </c>
    </row>
    <row r="2147" spans="1:14" ht="16" x14ac:dyDescent="0.2">
      <c r="A2147" s="3">
        <v>44115.518727967385</v>
      </c>
      <c r="B2147" s="1" t="s">
        <v>2472</v>
      </c>
      <c r="C2147" t="s">
        <v>503</v>
      </c>
      <c r="D2147">
        <v>14</v>
      </c>
      <c r="E2147">
        <v>50</v>
      </c>
      <c r="F2147">
        <v>25</v>
      </c>
      <c r="G2147">
        <v>700</v>
      </c>
      <c r="H2147" s="4">
        <v>350</v>
      </c>
      <c r="I2147" s="4">
        <v>350</v>
      </c>
      <c r="J2147" t="s">
        <v>626</v>
      </c>
      <c r="K2147" t="s">
        <v>58</v>
      </c>
      <c r="L2147" s="4">
        <v>13.259563298324382</v>
      </c>
      <c r="M2147" s="1" t="s">
        <v>38</v>
      </c>
      <c r="N2147" s="11">
        <f t="shared" si="33"/>
        <v>5</v>
      </c>
    </row>
    <row r="2148" spans="1:14" ht="16" x14ac:dyDescent="0.2">
      <c r="A2148" s="3">
        <v>44148.079643013552</v>
      </c>
      <c r="B2148" s="1" t="s">
        <v>2473</v>
      </c>
      <c r="C2148" t="s">
        <v>36</v>
      </c>
      <c r="D2148">
        <v>8</v>
      </c>
      <c r="E2148">
        <v>102</v>
      </c>
      <c r="F2148">
        <v>51</v>
      </c>
      <c r="G2148">
        <v>816</v>
      </c>
      <c r="H2148" s="4">
        <v>408</v>
      </c>
      <c r="I2148" s="4">
        <v>408</v>
      </c>
      <c r="J2148" t="s">
        <v>660</v>
      </c>
      <c r="K2148" t="s">
        <v>86</v>
      </c>
      <c r="L2148" s="4">
        <v>10.163794912095831</v>
      </c>
      <c r="M2148" s="1" t="s">
        <v>38</v>
      </c>
      <c r="N2148" s="11">
        <f t="shared" si="33"/>
        <v>5</v>
      </c>
    </row>
    <row r="2149" spans="1:14" ht="16" x14ac:dyDescent="0.2">
      <c r="A2149" s="3">
        <v>43811.457664934002</v>
      </c>
      <c r="B2149" s="1" t="s">
        <v>2474</v>
      </c>
      <c r="C2149" t="s">
        <v>261</v>
      </c>
      <c r="D2149">
        <v>15</v>
      </c>
      <c r="E2149">
        <v>92</v>
      </c>
      <c r="F2149">
        <v>46</v>
      </c>
      <c r="G2149">
        <v>1380</v>
      </c>
      <c r="H2149" s="4">
        <v>690</v>
      </c>
      <c r="I2149" s="4">
        <v>690</v>
      </c>
      <c r="J2149" t="s">
        <v>504</v>
      </c>
      <c r="K2149" t="s">
        <v>53</v>
      </c>
      <c r="L2149" s="4">
        <v>12.801144805697081</v>
      </c>
      <c r="M2149" s="1" t="s">
        <v>38</v>
      </c>
      <c r="N2149" s="11">
        <f t="shared" si="33"/>
        <v>5</v>
      </c>
    </row>
    <row r="2150" spans="1:14" ht="16" x14ac:dyDescent="0.2">
      <c r="A2150" s="3">
        <v>43727.680179043338</v>
      </c>
      <c r="B2150" s="1" t="s">
        <v>2475</v>
      </c>
      <c r="C2150" t="s">
        <v>120</v>
      </c>
      <c r="D2150">
        <v>15</v>
      </c>
      <c r="E2150">
        <v>252</v>
      </c>
      <c r="F2150">
        <v>63</v>
      </c>
      <c r="G2150">
        <v>3780</v>
      </c>
      <c r="H2150" s="4">
        <v>945</v>
      </c>
      <c r="I2150" s="4">
        <v>2835</v>
      </c>
      <c r="J2150" t="s">
        <v>216</v>
      </c>
      <c r="K2150" t="s">
        <v>58</v>
      </c>
      <c r="L2150" s="4">
        <v>15.556812309269255</v>
      </c>
      <c r="M2150" s="1" t="s">
        <v>38</v>
      </c>
      <c r="N2150" s="11">
        <f t="shared" si="33"/>
        <v>5</v>
      </c>
    </row>
    <row r="2151" spans="1:14" ht="16" x14ac:dyDescent="0.2">
      <c r="A2151" s="3">
        <v>43906.545142729286</v>
      </c>
      <c r="B2151" s="1" t="s">
        <v>2476</v>
      </c>
      <c r="C2151" t="s">
        <v>47</v>
      </c>
      <c r="D2151">
        <v>13</v>
      </c>
      <c r="E2151">
        <v>231</v>
      </c>
      <c r="F2151">
        <v>77</v>
      </c>
      <c r="G2151">
        <v>3003</v>
      </c>
      <c r="H2151" s="4">
        <v>1001</v>
      </c>
      <c r="I2151" s="4">
        <v>2002</v>
      </c>
      <c r="J2151" t="s">
        <v>1573</v>
      </c>
      <c r="K2151" t="s">
        <v>64</v>
      </c>
      <c r="L2151" s="4">
        <v>10.78374703625888</v>
      </c>
      <c r="M2151" s="1" t="s">
        <v>38</v>
      </c>
      <c r="N2151" s="11">
        <f t="shared" si="33"/>
        <v>5</v>
      </c>
    </row>
    <row r="2152" spans="1:14" ht="16" x14ac:dyDescent="0.2">
      <c r="A2152" s="3">
        <v>44635.57455644638</v>
      </c>
      <c r="B2152" s="1" t="s">
        <v>2477</v>
      </c>
      <c r="C2152" t="s">
        <v>154</v>
      </c>
      <c r="D2152">
        <v>18</v>
      </c>
      <c r="E2152">
        <v>308</v>
      </c>
      <c r="F2152">
        <v>77</v>
      </c>
      <c r="G2152">
        <v>5544</v>
      </c>
      <c r="H2152" s="4">
        <v>1386</v>
      </c>
      <c r="I2152" s="4">
        <v>4158</v>
      </c>
      <c r="J2152" t="s">
        <v>851</v>
      </c>
      <c r="K2152" t="s">
        <v>49</v>
      </c>
      <c r="L2152" s="4">
        <v>9.5176115401380308</v>
      </c>
      <c r="M2152" s="1" t="s">
        <v>38</v>
      </c>
      <c r="N2152" s="11">
        <f t="shared" si="33"/>
        <v>5</v>
      </c>
    </row>
    <row r="2153" spans="1:14" ht="16" x14ac:dyDescent="0.2">
      <c r="A2153" s="3">
        <v>43429.962612931595</v>
      </c>
      <c r="B2153" s="1" t="s">
        <v>2478</v>
      </c>
      <c r="C2153" t="s">
        <v>317</v>
      </c>
      <c r="D2153">
        <v>16</v>
      </c>
      <c r="E2153">
        <v>352</v>
      </c>
      <c r="F2153">
        <v>88</v>
      </c>
      <c r="G2153">
        <v>5632</v>
      </c>
      <c r="H2153" s="4">
        <v>1408</v>
      </c>
      <c r="I2153" s="4">
        <v>4224</v>
      </c>
      <c r="J2153" t="s">
        <v>82</v>
      </c>
      <c r="K2153" t="s">
        <v>58</v>
      </c>
      <c r="L2153" s="4">
        <v>13.45980057156361</v>
      </c>
      <c r="M2153" s="1" t="s">
        <v>38</v>
      </c>
      <c r="N2153" s="11">
        <f t="shared" si="33"/>
        <v>5</v>
      </c>
    </row>
    <row r="2154" spans="1:14" ht="16" x14ac:dyDescent="0.2">
      <c r="A2154" s="3">
        <v>43355.187852869902</v>
      </c>
      <c r="B2154" s="1" t="s">
        <v>2479</v>
      </c>
      <c r="C2154" t="s">
        <v>386</v>
      </c>
      <c r="D2154">
        <v>4</v>
      </c>
      <c r="E2154">
        <v>110</v>
      </c>
      <c r="F2154">
        <v>55</v>
      </c>
      <c r="G2154">
        <v>440</v>
      </c>
      <c r="H2154" s="4">
        <v>220</v>
      </c>
      <c r="I2154" s="4">
        <v>220</v>
      </c>
      <c r="J2154" t="s">
        <v>603</v>
      </c>
      <c r="K2154" t="s">
        <v>64</v>
      </c>
      <c r="L2154" s="4">
        <v>11.072271050116964</v>
      </c>
      <c r="M2154" s="1" t="s">
        <v>54</v>
      </c>
      <c r="N2154" s="11">
        <f t="shared" si="33"/>
        <v>10</v>
      </c>
    </row>
    <row r="2155" spans="1:14" ht="16" x14ac:dyDescent="0.2">
      <c r="A2155" s="3">
        <v>44671.574932878975</v>
      </c>
      <c r="B2155" s="1" t="s">
        <v>2480</v>
      </c>
      <c r="C2155" t="s">
        <v>317</v>
      </c>
      <c r="D2155">
        <v>15</v>
      </c>
      <c r="E2155">
        <v>352</v>
      </c>
      <c r="F2155">
        <v>88</v>
      </c>
      <c r="G2155">
        <v>5280</v>
      </c>
      <c r="H2155" s="4">
        <v>1320</v>
      </c>
      <c r="I2155" s="4">
        <v>3960</v>
      </c>
      <c r="J2155" t="s">
        <v>1129</v>
      </c>
      <c r="K2155" t="s">
        <v>33</v>
      </c>
      <c r="L2155" s="4">
        <v>10.585251392347548</v>
      </c>
      <c r="M2155" s="1" t="s">
        <v>54</v>
      </c>
      <c r="N2155" s="11">
        <f t="shared" si="33"/>
        <v>10</v>
      </c>
    </row>
    <row r="2156" spans="1:14" ht="16" x14ac:dyDescent="0.2">
      <c r="A2156" s="3">
        <v>44121.292926367736</v>
      </c>
      <c r="B2156" s="1" t="s">
        <v>2481</v>
      </c>
      <c r="C2156" t="s">
        <v>113</v>
      </c>
      <c r="D2156">
        <v>17</v>
      </c>
      <c r="E2156">
        <v>66</v>
      </c>
      <c r="F2156">
        <v>33</v>
      </c>
      <c r="G2156">
        <v>1122</v>
      </c>
      <c r="H2156" s="4">
        <v>561</v>
      </c>
      <c r="I2156" s="4">
        <v>561</v>
      </c>
      <c r="J2156" t="s">
        <v>234</v>
      </c>
      <c r="K2156" t="s">
        <v>64</v>
      </c>
      <c r="L2156" s="4">
        <v>12.200533931675887</v>
      </c>
      <c r="M2156" s="1" t="s">
        <v>54</v>
      </c>
      <c r="N2156" s="11">
        <f t="shared" si="33"/>
        <v>10</v>
      </c>
    </row>
    <row r="2157" spans="1:14" ht="16" x14ac:dyDescent="0.2">
      <c r="A2157" s="3">
        <v>43933.2821144564</v>
      </c>
      <c r="B2157" s="1" t="s">
        <v>2482</v>
      </c>
      <c r="C2157" t="s">
        <v>98</v>
      </c>
      <c r="D2157">
        <v>13</v>
      </c>
      <c r="E2157">
        <v>156</v>
      </c>
      <c r="F2157">
        <v>78</v>
      </c>
      <c r="G2157">
        <v>2028</v>
      </c>
      <c r="H2157" s="4">
        <v>1014</v>
      </c>
      <c r="I2157" s="4">
        <v>1014</v>
      </c>
      <c r="J2157" t="s">
        <v>70</v>
      </c>
      <c r="K2157" t="s">
        <v>49</v>
      </c>
      <c r="L2157" s="4">
        <v>12.957303170959879</v>
      </c>
      <c r="M2157" s="1" t="s">
        <v>54</v>
      </c>
      <c r="N2157" s="11">
        <f t="shared" si="33"/>
        <v>10</v>
      </c>
    </row>
    <row r="2158" spans="1:14" ht="16" x14ac:dyDescent="0.2">
      <c r="A2158" s="3">
        <v>43742.137401682186</v>
      </c>
      <c r="B2158" s="1" t="s">
        <v>2483</v>
      </c>
      <c r="C2158" t="s">
        <v>81</v>
      </c>
      <c r="D2158">
        <v>5</v>
      </c>
      <c r="E2158">
        <v>166</v>
      </c>
      <c r="F2158">
        <v>83</v>
      </c>
      <c r="G2158">
        <v>830</v>
      </c>
      <c r="H2158" s="4">
        <v>415</v>
      </c>
      <c r="I2158" s="4">
        <v>415</v>
      </c>
      <c r="J2158" t="s">
        <v>1671</v>
      </c>
      <c r="K2158" t="s">
        <v>86</v>
      </c>
      <c r="L2158" s="4">
        <v>15.239568994601312</v>
      </c>
      <c r="M2158" s="1" t="s">
        <v>38</v>
      </c>
      <c r="N2158" s="11">
        <f t="shared" si="33"/>
        <v>5</v>
      </c>
    </row>
    <row r="2159" spans="1:14" ht="16" x14ac:dyDescent="0.2">
      <c r="A2159" s="3">
        <v>44964.995913321189</v>
      </c>
      <c r="B2159" s="1" t="s">
        <v>2484</v>
      </c>
      <c r="C2159" t="s">
        <v>93</v>
      </c>
      <c r="D2159">
        <v>10</v>
      </c>
      <c r="E2159">
        <v>204</v>
      </c>
      <c r="F2159">
        <v>51</v>
      </c>
      <c r="G2159">
        <v>2040</v>
      </c>
      <c r="H2159" s="4">
        <v>510</v>
      </c>
      <c r="I2159" s="4">
        <v>1530</v>
      </c>
      <c r="J2159" t="s">
        <v>485</v>
      </c>
      <c r="K2159" t="s">
        <v>49</v>
      </c>
      <c r="L2159" s="4">
        <v>12.889576147248359</v>
      </c>
      <c r="M2159" s="1" t="s">
        <v>38</v>
      </c>
      <c r="N2159" s="11">
        <f t="shared" si="33"/>
        <v>5</v>
      </c>
    </row>
    <row r="2160" spans="1:14" ht="16" x14ac:dyDescent="0.2">
      <c r="A2160" s="3">
        <v>44632.546701703766</v>
      </c>
      <c r="B2160" s="1" t="s">
        <v>2485</v>
      </c>
      <c r="C2160" t="s">
        <v>78</v>
      </c>
      <c r="D2160">
        <v>18</v>
      </c>
      <c r="E2160">
        <v>94</v>
      </c>
      <c r="F2160">
        <v>47</v>
      </c>
      <c r="G2160">
        <v>1692</v>
      </c>
      <c r="H2160" s="4">
        <v>846</v>
      </c>
      <c r="I2160" s="4">
        <v>846</v>
      </c>
      <c r="J2160" t="s">
        <v>152</v>
      </c>
      <c r="K2160" t="s">
        <v>33</v>
      </c>
      <c r="L2160" s="4">
        <v>11.749038185128619</v>
      </c>
      <c r="M2160" s="1" t="s">
        <v>34</v>
      </c>
      <c r="N2160" s="11">
        <f t="shared" si="33"/>
        <v>1</v>
      </c>
    </row>
    <row r="2161" spans="1:14" ht="16" x14ac:dyDescent="0.2">
      <c r="A2161" s="3">
        <v>44303.324003741545</v>
      </c>
      <c r="B2161" s="1" t="s">
        <v>897</v>
      </c>
      <c r="C2161" t="s">
        <v>98</v>
      </c>
      <c r="D2161">
        <v>12</v>
      </c>
      <c r="E2161">
        <v>156</v>
      </c>
      <c r="F2161">
        <v>78</v>
      </c>
      <c r="G2161">
        <v>1872</v>
      </c>
      <c r="H2161" s="4">
        <v>936</v>
      </c>
      <c r="I2161" s="4">
        <v>936</v>
      </c>
      <c r="J2161" t="s">
        <v>232</v>
      </c>
      <c r="K2161" t="s">
        <v>86</v>
      </c>
      <c r="L2161" s="4">
        <v>11.346510807401776</v>
      </c>
      <c r="M2161" s="1" t="s">
        <v>38</v>
      </c>
      <c r="N2161" s="11">
        <f t="shared" si="33"/>
        <v>5</v>
      </c>
    </row>
    <row r="2162" spans="1:14" ht="16" x14ac:dyDescent="0.2">
      <c r="A2162" s="3">
        <v>43400.327822188963</v>
      </c>
      <c r="B2162" s="1" t="s">
        <v>2486</v>
      </c>
      <c r="C2162" t="s">
        <v>47</v>
      </c>
      <c r="D2162">
        <v>6</v>
      </c>
      <c r="E2162">
        <v>231</v>
      </c>
      <c r="F2162">
        <v>77</v>
      </c>
      <c r="G2162">
        <v>1386</v>
      </c>
      <c r="H2162" s="4">
        <v>462</v>
      </c>
      <c r="I2162" s="4">
        <v>924</v>
      </c>
      <c r="J2162" t="s">
        <v>99</v>
      </c>
      <c r="K2162" t="s">
        <v>86</v>
      </c>
      <c r="L2162" s="4">
        <v>15.140903556171683</v>
      </c>
      <c r="M2162" s="1" t="s">
        <v>54</v>
      </c>
      <c r="N2162" s="11">
        <f t="shared" si="33"/>
        <v>10</v>
      </c>
    </row>
    <row r="2163" spans="1:14" ht="16" x14ac:dyDescent="0.2">
      <c r="A2163" s="3">
        <v>44464.885771583839</v>
      </c>
      <c r="B2163" s="1" t="s">
        <v>2487</v>
      </c>
      <c r="C2163" t="s">
        <v>193</v>
      </c>
      <c r="D2163">
        <v>8</v>
      </c>
      <c r="E2163">
        <v>348</v>
      </c>
      <c r="F2163">
        <v>87</v>
      </c>
      <c r="G2163">
        <v>2784</v>
      </c>
      <c r="H2163" s="4">
        <v>696</v>
      </c>
      <c r="I2163" s="4">
        <v>2088</v>
      </c>
      <c r="J2163" t="s">
        <v>567</v>
      </c>
      <c r="K2163" t="s">
        <v>49</v>
      </c>
      <c r="L2163" s="4">
        <v>12.147202500273634</v>
      </c>
      <c r="M2163" s="1" t="s">
        <v>38</v>
      </c>
      <c r="N2163" s="11">
        <f t="shared" si="33"/>
        <v>5</v>
      </c>
    </row>
    <row r="2164" spans="1:14" ht="16" x14ac:dyDescent="0.2">
      <c r="A2164" s="3">
        <v>44868.056492517746</v>
      </c>
      <c r="B2164" s="1" t="s">
        <v>2488</v>
      </c>
      <c r="C2164" t="s">
        <v>391</v>
      </c>
      <c r="D2164">
        <v>18</v>
      </c>
      <c r="E2164">
        <v>72</v>
      </c>
      <c r="F2164">
        <v>36</v>
      </c>
      <c r="G2164">
        <v>1296</v>
      </c>
      <c r="H2164" s="4">
        <v>648</v>
      </c>
      <c r="I2164" s="4">
        <v>648</v>
      </c>
      <c r="J2164" t="s">
        <v>149</v>
      </c>
      <c r="K2164" t="s">
        <v>58</v>
      </c>
      <c r="L2164" s="4">
        <v>8.1085102757869372</v>
      </c>
      <c r="M2164" s="1" t="s">
        <v>34</v>
      </c>
      <c r="N2164" s="11">
        <f t="shared" si="33"/>
        <v>1</v>
      </c>
    </row>
    <row r="2165" spans="1:14" ht="16" x14ac:dyDescent="0.2">
      <c r="A2165" s="3">
        <v>43721.588084479721</v>
      </c>
      <c r="B2165" s="1" t="s">
        <v>2489</v>
      </c>
      <c r="C2165" t="s">
        <v>304</v>
      </c>
      <c r="D2165">
        <v>9</v>
      </c>
      <c r="E2165">
        <v>116</v>
      </c>
      <c r="F2165">
        <v>29</v>
      </c>
      <c r="G2165">
        <v>1044</v>
      </c>
      <c r="H2165" s="4">
        <v>261</v>
      </c>
      <c r="I2165" s="4">
        <v>783</v>
      </c>
      <c r="J2165" t="s">
        <v>253</v>
      </c>
      <c r="K2165" t="s">
        <v>53</v>
      </c>
      <c r="L2165" s="4">
        <v>13.918153610259502</v>
      </c>
      <c r="M2165" s="1" t="s">
        <v>38</v>
      </c>
      <c r="N2165" s="11">
        <f t="shared" si="33"/>
        <v>5</v>
      </c>
    </row>
    <row r="2166" spans="1:14" ht="16" x14ac:dyDescent="0.2">
      <c r="A2166" s="3">
        <v>44968.662840589051</v>
      </c>
      <c r="B2166" s="1" t="s">
        <v>2490</v>
      </c>
      <c r="C2166" t="s">
        <v>31</v>
      </c>
      <c r="D2166">
        <v>1</v>
      </c>
      <c r="E2166">
        <v>280</v>
      </c>
      <c r="F2166">
        <v>70</v>
      </c>
      <c r="G2166">
        <v>280</v>
      </c>
      <c r="H2166" s="4">
        <v>70</v>
      </c>
      <c r="I2166" s="4">
        <v>210</v>
      </c>
      <c r="J2166" t="s">
        <v>574</v>
      </c>
      <c r="K2166" t="s">
        <v>58</v>
      </c>
      <c r="L2166" s="4">
        <v>13.150536103258979</v>
      </c>
      <c r="M2166" s="1" t="s">
        <v>54</v>
      </c>
      <c r="N2166" s="11">
        <f t="shared" si="33"/>
        <v>10</v>
      </c>
    </row>
    <row r="2167" spans="1:14" ht="16" x14ac:dyDescent="0.2">
      <c r="A2167" s="3">
        <v>43379.645172137607</v>
      </c>
      <c r="B2167" s="1" t="s">
        <v>235</v>
      </c>
      <c r="C2167" t="s">
        <v>410</v>
      </c>
      <c r="D2167">
        <v>6</v>
      </c>
      <c r="E2167">
        <v>84</v>
      </c>
      <c r="F2167">
        <v>21</v>
      </c>
      <c r="G2167">
        <v>504</v>
      </c>
      <c r="H2167" s="4">
        <v>126</v>
      </c>
      <c r="I2167" s="4">
        <v>378</v>
      </c>
      <c r="J2167" t="s">
        <v>958</v>
      </c>
      <c r="K2167" t="s">
        <v>58</v>
      </c>
      <c r="L2167" s="4">
        <v>9.1591412531773226</v>
      </c>
      <c r="M2167" s="1" t="s">
        <v>38</v>
      </c>
      <c r="N2167" s="11">
        <f t="shared" si="33"/>
        <v>5</v>
      </c>
    </row>
    <row r="2168" spans="1:14" ht="16" x14ac:dyDescent="0.2">
      <c r="A2168" s="3">
        <v>44385.48270968323</v>
      </c>
      <c r="B2168" s="1" t="s">
        <v>2491</v>
      </c>
      <c r="C2168" t="s">
        <v>561</v>
      </c>
      <c r="D2168">
        <v>16</v>
      </c>
      <c r="E2168">
        <v>384</v>
      </c>
      <c r="F2168">
        <v>96</v>
      </c>
      <c r="G2168">
        <v>6144</v>
      </c>
      <c r="H2168" s="4">
        <v>1536</v>
      </c>
      <c r="I2168" s="4">
        <v>4608</v>
      </c>
      <c r="J2168" t="s">
        <v>108</v>
      </c>
      <c r="K2168" t="s">
        <v>64</v>
      </c>
      <c r="L2168" s="4">
        <v>9.7467096260695598</v>
      </c>
      <c r="M2168" s="1" t="s">
        <v>38</v>
      </c>
      <c r="N2168" s="11">
        <f t="shared" si="33"/>
        <v>5</v>
      </c>
    </row>
    <row r="2169" spans="1:14" ht="16" x14ac:dyDescent="0.2">
      <c r="A2169" s="3">
        <v>43618.859568862965</v>
      </c>
      <c r="B2169" s="1" t="s">
        <v>2492</v>
      </c>
      <c r="C2169" t="s">
        <v>370</v>
      </c>
      <c r="D2169">
        <v>14</v>
      </c>
      <c r="E2169">
        <v>144</v>
      </c>
      <c r="F2169">
        <v>36</v>
      </c>
      <c r="G2169">
        <v>2016</v>
      </c>
      <c r="H2169" s="4">
        <v>504</v>
      </c>
      <c r="I2169" s="4">
        <v>1512</v>
      </c>
      <c r="J2169" t="s">
        <v>131</v>
      </c>
      <c r="K2169" t="s">
        <v>33</v>
      </c>
      <c r="L2169" s="4">
        <v>12.844063202784817</v>
      </c>
      <c r="M2169" s="1" t="s">
        <v>54</v>
      </c>
      <c r="N2169" s="11">
        <f t="shared" si="33"/>
        <v>10</v>
      </c>
    </row>
    <row r="2170" spans="1:14" ht="16" x14ac:dyDescent="0.2">
      <c r="A2170" s="3">
        <v>43164.560661006428</v>
      </c>
      <c r="B2170" s="1" t="s">
        <v>2493</v>
      </c>
      <c r="C2170" t="s">
        <v>139</v>
      </c>
      <c r="D2170">
        <v>3</v>
      </c>
      <c r="E2170">
        <v>320</v>
      </c>
      <c r="F2170">
        <v>80</v>
      </c>
      <c r="G2170">
        <v>960</v>
      </c>
      <c r="H2170" s="4">
        <v>240</v>
      </c>
      <c r="I2170" s="4">
        <v>720</v>
      </c>
      <c r="J2170" t="s">
        <v>1126</v>
      </c>
      <c r="K2170" t="s">
        <v>64</v>
      </c>
      <c r="L2170" s="4">
        <v>11.593991859287692</v>
      </c>
      <c r="M2170" s="1" t="s">
        <v>54</v>
      </c>
      <c r="N2170" s="11">
        <f t="shared" si="33"/>
        <v>10</v>
      </c>
    </row>
    <row r="2171" spans="1:14" ht="16" x14ac:dyDescent="0.2">
      <c r="A2171" s="3">
        <v>44202.401011575013</v>
      </c>
      <c r="B2171" s="1" t="s">
        <v>2494</v>
      </c>
      <c r="C2171" t="s">
        <v>523</v>
      </c>
      <c r="D2171">
        <v>11</v>
      </c>
      <c r="E2171">
        <v>92</v>
      </c>
      <c r="F2171">
        <v>46</v>
      </c>
      <c r="G2171">
        <v>1012</v>
      </c>
      <c r="H2171" s="4">
        <v>506</v>
      </c>
      <c r="I2171" s="4">
        <v>506</v>
      </c>
      <c r="J2171" t="s">
        <v>567</v>
      </c>
      <c r="K2171" t="s">
        <v>49</v>
      </c>
      <c r="L2171" s="4">
        <v>12.147202500273634</v>
      </c>
      <c r="M2171" s="1" t="s">
        <v>38</v>
      </c>
      <c r="N2171" s="11">
        <f t="shared" si="33"/>
        <v>5</v>
      </c>
    </row>
    <row r="2172" spans="1:14" ht="16" x14ac:dyDescent="0.2">
      <c r="A2172" s="3">
        <v>44577.758515596703</v>
      </c>
      <c r="B2172" s="1" t="s">
        <v>2495</v>
      </c>
      <c r="C2172" t="s">
        <v>91</v>
      </c>
      <c r="D2172">
        <v>7</v>
      </c>
      <c r="E2172">
        <v>300</v>
      </c>
      <c r="F2172">
        <v>75</v>
      </c>
      <c r="G2172">
        <v>2100</v>
      </c>
      <c r="H2172" s="4">
        <v>525</v>
      </c>
      <c r="I2172" s="4">
        <v>1575</v>
      </c>
      <c r="J2172" t="s">
        <v>504</v>
      </c>
      <c r="K2172" t="s">
        <v>53</v>
      </c>
      <c r="L2172" s="4">
        <v>12.801144805697081</v>
      </c>
      <c r="M2172" s="1" t="s">
        <v>54</v>
      </c>
      <c r="N2172" s="11">
        <f t="shared" si="33"/>
        <v>10</v>
      </c>
    </row>
    <row r="2173" spans="1:14" ht="16" x14ac:dyDescent="0.2">
      <c r="A2173" s="3">
        <v>43651.3722850743</v>
      </c>
      <c r="B2173" s="1" t="s">
        <v>2496</v>
      </c>
      <c r="C2173" t="s">
        <v>154</v>
      </c>
      <c r="D2173">
        <v>13</v>
      </c>
      <c r="E2173">
        <v>308</v>
      </c>
      <c r="F2173">
        <v>77</v>
      </c>
      <c r="G2173">
        <v>4004</v>
      </c>
      <c r="H2173" s="4">
        <v>1001</v>
      </c>
      <c r="I2173" s="4">
        <v>3003</v>
      </c>
      <c r="J2173" t="s">
        <v>938</v>
      </c>
      <c r="K2173" t="s">
        <v>33</v>
      </c>
      <c r="L2173" s="4">
        <v>13.397308081757757</v>
      </c>
      <c r="M2173" s="1" t="s">
        <v>38</v>
      </c>
      <c r="N2173" s="11">
        <f t="shared" si="33"/>
        <v>5</v>
      </c>
    </row>
    <row r="2174" spans="1:14" ht="16" x14ac:dyDescent="0.2">
      <c r="A2174" s="3">
        <v>44746.281172376002</v>
      </c>
      <c r="B2174" s="1" t="s">
        <v>2497</v>
      </c>
      <c r="C2174" t="s">
        <v>142</v>
      </c>
      <c r="D2174">
        <v>2</v>
      </c>
      <c r="E2174">
        <v>210</v>
      </c>
      <c r="F2174">
        <v>70</v>
      </c>
      <c r="G2174">
        <v>420</v>
      </c>
      <c r="H2174" s="4">
        <v>140</v>
      </c>
      <c r="I2174" s="4">
        <v>280</v>
      </c>
      <c r="J2174" t="s">
        <v>60</v>
      </c>
      <c r="K2174" t="s">
        <v>53</v>
      </c>
      <c r="L2174" s="4">
        <v>11.048444680405545</v>
      </c>
      <c r="M2174" s="1" t="s">
        <v>34</v>
      </c>
      <c r="N2174" s="11">
        <f t="shared" si="33"/>
        <v>1</v>
      </c>
    </row>
    <row r="2175" spans="1:14" ht="16" x14ac:dyDescent="0.2">
      <c r="A2175" s="3">
        <v>43358.238494101548</v>
      </c>
      <c r="B2175" s="1" t="s">
        <v>2498</v>
      </c>
      <c r="C2175" t="s">
        <v>72</v>
      </c>
      <c r="D2175">
        <v>7</v>
      </c>
      <c r="E2175">
        <v>352</v>
      </c>
      <c r="F2175">
        <v>88</v>
      </c>
      <c r="G2175">
        <v>2464</v>
      </c>
      <c r="H2175" s="4">
        <v>616</v>
      </c>
      <c r="I2175" s="4">
        <v>1848</v>
      </c>
      <c r="J2175" t="s">
        <v>345</v>
      </c>
      <c r="K2175" t="s">
        <v>49</v>
      </c>
      <c r="L2175" s="4">
        <v>14.687857652112591</v>
      </c>
      <c r="M2175" s="1" t="s">
        <v>38</v>
      </c>
      <c r="N2175" s="11">
        <f t="shared" si="33"/>
        <v>5</v>
      </c>
    </row>
    <row r="2176" spans="1:14" ht="16" x14ac:dyDescent="0.2">
      <c r="A2176" s="3">
        <v>42447.174654763054</v>
      </c>
      <c r="B2176" s="1" t="s">
        <v>2499</v>
      </c>
      <c r="C2176" t="s">
        <v>40</v>
      </c>
      <c r="D2176">
        <v>5</v>
      </c>
      <c r="E2176">
        <v>46</v>
      </c>
      <c r="F2176">
        <v>23</v>
      </c>
      <c r="G2176">
        <v>230</v>
      </c>
      <c r="H2176" s="4">
        <v>115</v>
      </c>
      <c r="I2176" s="4">
        <v>115</v>
      </c>
      <c r="J2176" t="s">
        <v>94</v>
      </c>
      <c r="K2176" t="s">
        <v>49</v>
      </c>
      <c r="L2176" s="4">
        <v>9.8238489437106278</v>
      </c>
      <c r="M2176" s="1" t="s">
        <v>54</v>
      </c>
      <c r="N2176" s="11">
        <f t="shared" si="33"/>
        <v>10</v>
      </c>
    </row>
    <row r="2177" spans="1:14" ht="16" x14ac:dyDescent="0.2">
      <c r="A2177" s="3">
        <v>42990.558974617335</v>
      </c>
      <c r="B2177" s="1" t="s">
        <v>2500</v>
      </c>
      <c r="C2177" t="s">
        <v>538</v>
      </c>
      <c r="D2177">
        <v>1</v>
      </c>
      <c r="E2177">
        <v>261</v>
      </c>
      <c r="F2177">
        <v>87</v>
      </c>
      <c r="G2177">
        <v>261</v>
      </c>
      <c r="H2177" s="4">
        <v>87</v>
      </c>
      <c r="I2177" s="4">
        <v>174</v>
      </c>
      <c r="J2177" t="s">
        <v>123</v>
      </c>
      <c r="K2177" t="s">
        <v>53</v>
      </c>
      <c r="L2177" s="4">
        <v>10.42743035829395</v>
      </c>
      <c r="M2177" s="1" t="s">
        <v>54</v>
      </c>
      <c r="N2177" s="11">
        <f t="shared" si="33"/>
        <v>10</v>
      </c>
    </row>
    <row r="2178" spans="1:14" ht="16" x14ac:dyDescent="0.2">
      <c r="A2178" s="3">
        <v>44544.496209106714</v>
      </c>
      <c r="B2178" s="1" t="s">
        <v>2501</v>
      </c>
      <c r="C2178" t="s">
        <v>40</v>
      </c>
      <c r="D2178">
        <v>2</v>
      </c>
      <c r="E2178">
        <v>46</v>
      </c>
      <c r="F2178">
        <v>23</v>
      </c>
      <c r="G2178">
        <v>92</v>
      </c>
      <c r="H2178" s="4">
        <v>46</v>
      </c>
      <c r="I2178" s="4">
        <v>46</v>
      </c>
      <c r="J2178" t="s">
        <v>528</v>
      </c>
      <c r="K2178" t="s">
        <v>33</v>
      </c>
      <c r="L2178" s="4">
        <v>11.003496633574638</v>
      </c>
      <c r="M2178" s="1" t="s">
        <v>38</v>
      </c>
      <c r="N2178" s="11">
        <f t="shared" si="33"/>
        <v>5</v>
      </c>
    </row>
    <row r="2179" spans="1:14" ht="16" x14ac:dyDescent="0.2">
      <c r="A2179" s="3">
        <v>43182.834134275588</v>
      </c>
      <c r="B2179" s="1" t="s">
        <v>2502</v>
      </c>
      <c r="C2179" t="s">
        <v>93</v>
      </c>
      <c r="D2179">
        <v>15</v>
      </c>
      <c r="E2179">
        <v>204</v>
      </c>
      <c r="F2179">
        <v>51</v>
      </c>
      <c r="G2179">
        <v>3060</v>
      </c>
      <c r="H2179" s="4">
        <v>765</v>
      </c>
      <c r="I2179" s="4">
        <v>2295</v>
      </c>
      <c r="J2179" t="s">
        <v>281</v>
      </c>
      <c r="K2179" t="s">
        <v>33</v>
      </c>
      <c r="L2179" s="4">
        <v>11.428575823958646</v>
      </c>
      <c r="M2179" s="1" t="s">
        <v>38</v>
      </c>
      <c r="N2179" s="11">
        <f t="shared" ref="N2179:N2242" si="34">+IF(M2179="Dissatisfied",1,IF(M2179="Satisfied",10,5))</f>
        <v>5</v>
      </c>
    </row>
    <row r="2180" spans="1:14" ht="16" x14ac:dyDescent="0.2">
      <c r="A2180" s="3">
        <v>43826.683699218484</v>
      </c>
      <c r="B2180" s="1" t="s">
        <v>2503</v>
      </c>
      <c r="C2180" t="s">
        <v>276</v>
      </c>
      <c r="D2180">
        <v>8</v>
      </c>
      <c r="E2180">
        <v>57</v>
      </c>
      <c r="F2180">
        <v>19</v>
      </c>
      <c r="G2180">
        <v>456</v>
      </c>
      <c r="H2180" s="4">
        <v>152</v>
      </c>
      <c r="I2180" s="4">
        <v>304</v>
      </c>
      <c r="J2180" t="s">
        <v>348</v>
      </c>
      <c r="K2180" t="s">
        <v>42</v>
      </c>
      <c r="L2180" s="4">
        <v>11.769293993029555</v>
      </c>
      <c r="M2180" s="1" t="s">
        <v>54</v>
      </c>
      <c r="N2180" s="11">
        <f t="shared" si="34"/>
        <v>10</v>
      </c>
    </row>
    <row r="2181" spans="1:14" ht="16" x14ac:dyDescent="0.2">
      <c r="A2181" s="3">
        <v>44396.925963915746</v>
      </c>
      <c r="B2181" s="1" t="s">
        <v>2504</v>
      </c>
      <c r="C2181" t="s">
        <v>276</v>
      </c>
      <c r="D2181">
        <v>7</v>
      </c>
      <c r="E2181">
        <v>57</v>
      </c>
      <c r="F2181">
        <v>19</v>
      </c>
      <c r="G2181">
        <v>399</v>
      </c>
      <c r="H2181" s="4">
        <v>133</v>
      </c>
      <c r="I2181" s="4">
        <v>266</v>
      </c>
      <c r="J2181" t="s">
        <v>323</v>
      </c>
      <c r="K2181" t="s">
        <v>53</v>
      </c>
      <c r="L2181" s="4">
        <v>11.221666113009938</v>
      </c>
      <c r="M2181" s="1" t="s">
        <v>38</v>
      </c>
      <c r="N2181" s="11">
        <f t="shared" si="34"/>
        <v>5</v>
      </c>
    </row>
    <row r="2182" spans="1:14" ht="16" x14ac:dyDescent="0.2">
      <c r="A2182" s="3">
        <v>44060.485430380417</v>
      </c>
      <c r="B2182" s="1" t="s">
        <v>2505</v>
      </c>
      <c r="C2182" t="s">
        <v>257</v>
      </c>
      <c r="D2182">
        <v>7</v>
      </c>
      <c r="E2182">
        <v>160</v>
      </c>
      <c r="F2182">
        <v>80</v>
      </c>
      <c r="G2182">
        <v>1120</v>
      </c>
      <c r="H2182" s="4">
        <v>560</v>
      </c>
      <c r="I2182" s="4">
        <v>560</v>
      </c>
      <c r="J2182" t="s">
        <v>321</v>
      </c>
      <c r="K2182" t="s">
        <v>42</v>
      </c>
      <c r="L2182" s="4">
        <v>7.7337149713827413</v>
      </c>
      <c r="M2182" s="1" t="s">
        <v>38</v>
      </c>
      <c r="N2182" s="11">
        <f t="shared" si="34"/>
        <v>5</v>
      </c>
    </row>
    <row r="2183" spans="1:14" ht="16" x14ac:dyDescent="0.2">
      <c r="A2183" s="3">
        <v>43833.008789579646</v>
      </c>
      <c r="B2183" s="1" t="s">
        <v>2506</v>
      </c>
      <c r="C2183" t="s">
        <v>188</v>
      </c>
      <c r="D2183">
        <v>2</v>
      </c>
      <c r="E2183">
        <v>368</v>
      </c>
      <c r="F2183">
        <v>92</v>
      </c>
      <c r="G2183">
        <v>736</v>
      </c>
      <c r="H2183" s="4">
        <v>184</v>
      </c>
      <c r="I2183" s="4">
        <v>552</v>
      </c>
      <c r="J2183" t="s">
        <v>1721</v>
      </c>
      <c r="K2183" t="s">
        <v>58</v>
      </c>
      <c r="L2183" s="4">
        <v>13.537350739681813</v>
      </c>
      <c r="M2183" s="1" t="s">
        <v>38</v>
      </c>
      <c r="N2183" s="11">
        <f t="shared" si="34"/>
        <v>5</v>
      </c>
    </row>
    <row r="2184" spans="1:14" ht="16" x14ac:dyDescent="0.2">
      <c r="A2184" s="3">
        <v>44171.780097617288</v>
      </c>
      <c r="B2184" s="1" t="s">
        <v>2507</v>
      </c>
      <c r="C2184" t="s">
        <v>312</v>
      </c>
      <c r="D2184">
        <v>6</v>
      </c>
      <c r="E2184">
        <v>240</v>
      </c>
      <c r="F2184">
        <v>80</v>
      </c>
      <c r="G2184">
        <v>1440</v>
      </c>
      <c r="H2184" s="4">
        <v>480</v>
      </c>
      <c r="I2184" s="4">
        <v>960</v>
      </c>
      <c r="J2184" t="s">
        <v>997</v>
      </c>
      <c r="K2184" t="s">
        <v>58</v>
      </c>
      <c r="L2184" s="4">
        <v>12.173451788225162</v>
      </c>
      <c r="M2184" s="1" t="s">
        <v>54</v>
      </c>
      <c r="N2184" s="11">
        <f t="shared" si="34"/>
        <v>10</v>
      </c>
    </row>
    <row r="2185" spans="1:14" ht="16" x14ac:dyDescent="0.2">
      <c r="A2185" s="3">
        <v>44633.873718680508</v>
      </c>
      <c r="B2185" s="1" t="s">
        <v>2277</v>
      </c>
      <c r="C2185" t="s">
        <v>120</v>
      </c>
      <c r="D2185">
        <v>5</v>
      </c>
      <c r="E2185">
        <v>252</v>
      </c>
      <c r="F2185">
        <v>63</v>
      </c>
      <c r="G2185">
        <v>1260</v>
      </c>
      <c r="H2185" s="4">
        <v>315</v>
      </c>
      <c r="I2185" s="4">
        <v>945</v>
      </c>
      <c r="J2185" t="s">
        <v>455</v>
      </c>
      <c r="K2185" t="s">
        <v>53</v>
      </c>
      <c r="L2185" s="4">
        <v>13.574227261506472</v>
      </c>
      <c r="M2185" s="1" t="s">
        <v>38</v>
      </c>
      <c r="N2185" s="11">
        <f t="shared" si="34"/>
        <v>5</v>
      </c>
    </row>
    <row r="2186" spans="1:14" ht="16" x14ac:dyDescent="0.2">
      <c r="A2186" s="3">
        <v>44177.785577041293</v>
      </c>
      <c r="B2186" s="1" t="s">
        <v>2508</v>
      </c>
      <c r="C2186" t="s">
        <v>47</v>
      </c>
      <c r="D2186">
        <v>13</v>
      </c>
      <c r="E2186">
        <v>231</v>
      </c>
      <c r="F2186">
        <v>77</v>
      </c>
      <c r="G2186">
        <v>3003</v>
      </c>
      <c r="H2186" s="4">
        <v>1001</v>
      </c>
      <c r="I2186" s="4">
        <v>2002</v>
      </c>
      <c r="J2186" t="s">
        <v>111</v>
      </c>
      <c r="K2186" t="s">
        <v>53</v>
      </c>
      <c r="L2186" s="4">
        <v>13.407340878370247</v>
      </c>
      <c r="M2186" s="1" t="s">
        <v>38</v>
      </c>
      <c r="N2186" s="11">
        <f t="shared" si="34"/>
        <v>5</v>
      </c>
    </row>
    <row r="2187" spans="1:14" ht="16" x14ac:dyDescent="0.2">
      <c r="A2187" s="3">
        <v>43435.310938349241</v>
      </c>
      <c r="B2187" s="1" t="s">
        <v>628</v>
      </c>
      <c r="C2187" t="s">
        <v>204</v>
      </c>
      <c r="D2187">
        <v>19</v>
      </c>
      <c r="E2187">
        <v>57</v>
      </c>
      <c r="F2187">
        <v>19</v>
      </c>
      <c r="G2187">
        <v>1083</v>
      </c>
      <c r="H2187" s="4">
        <v>361</v>
      </c>
      <c r="I2187" s="4">
        <v>722</v>
      </c>
      <c r="J2187" t="s">
        <v>213</v>
      </c>
      <c r="K2187" t="s">
        <v>58</v>
      </c>
      <c r="L2187" s="4">
        <v>10.980884286450312</v>
      </c>
      <c r="M2187" s="1" t="s">
        <v>34</v>
      </c>
      <c r="N2187" s="11">
        <f t="shared" si="34"/>
        <v>1</v>
      </c>
    </row>
    <row r="2188" spans="1:14" ht="16" x14ac:dyDescent="0.2">
      <c r="A2188" s="3">
        <v>43987.210619337849</v>
      </c>
      <c r="B2188" s="1" t="s">
        <v>2509</v>
      </c>
      <c r="C2188" t="s">
        <v>212</v>
      </c>
      <c r="D2188">
        <v>3</v>
      </c>
      <c r="E2188">
        <v>300</v>
      </c>
      <c r="F2188">
        <v>75</v>
      </c>
      <c r="G2188">
        <v>900</v>
      </c>
      <c r="H2188" s="4">
        <v>225</v>
      </c>
      <c r="I2188" s="4">
        <v>675</v>
      </c>
      <c r="J2188" t="s">
        <v>446</v>
      </c>
      <c r="K2188" t="s">
        <v>53</v>
      </c>
      <c r="L2188" s="4">
        <v>12.85215703546821</v>
      </c>
      <c r="M2188" s="1" t="s">
        <v>38</v>
      </c>
      <c r="N2188" s="11">
        <f t="shared" si="34"/>
        <v>5</v>
      </c>
    </row>
    <row r="2189" spans="1:14" ht="16" x14ac:dyDescent="0.2">
      <c r="A2189" s="3">
        <v>44272.004744384431</v>
      </c>
      <c r="B2189" s="1" t="s">
        <v>2510</v>
      </c>
      <c r="C2189" t="s">
        <v>110</v>
      </c>
      <c r="D2189">
        <v>14</v>
      </c>
      <c r="E2189">
        <v>144</v>
      </c>
      <c r="F2189">
        <v>36</v>
      </c>
      <c r="G2189">
        <v>2016</v>
      </c>
      <c r="H2189" s="4">
        <v>504</v>
      </c>
      <c r="I2189" s="4">
        <v>1512</v>
      </c>
      <c r="J2189" t="s">
        <v>650</v>
      </c>
      <c r="K2189" t="s">
        <v>86</v>
      </c>
      <c r="L2189" s="4">
        <v>12.679725647708608</v>
      </c>
      <c r="M2189" s="1" t="s">
        <v>38</v>
      </c>
      <c r="N2189" s="11">
        <f t="shared" si="34"/>
        <v>5</v>
      </c>
    </row>
    <row r="2190" spans="1:14" ht="16" x14ac:dyDescent="0.2">
      <c r="A2190" s="3">
        <v>43223.117392689353</v>
      </c>
      <c r="B2190" s="1" t="s">
        <v>2511</v>
      </c>
      <c r="C2190" t="s">
        <v>204</v>
      </c>
      <c r="D2190">
        <v>14</v>
      </c>
      <c r="E2190">
        <v>57</v>
      </c>
      <c r="F2190">
        <v>19</v>
      </c>
      <c r="G2190">
        <v>798</v>
      </c>
      <c r="H2190" s="4">
        <v>266</v>
      </c>
      <c r="I2190" s="4">
        <v>532</v>
      </c>
      <c r="J2190" t="s">
        <v>238</v>
      </c>
      <c r="K2190" t="s">
        <v>86</v>
      </c>
      <c r="L2190" s="4">
        <v>14.593670394271927</v>
      </c>
      <c r="M2190" s="1" t="s">
        <v>38</v>
      </c>
      <c r="N2190" s="11">
        <f t="shared" si="34"/>
        <v>5</v>
      </c>
    </row>
    <row r="2191" spans="1:14" ht="16" x14ac:dyDescent="0.2">
      <c r="A2191" s="3">
        <v>44022.072525005337</v>
      </c>
      <c r="B2191" s="1" t="s">
        <v>2512</v>
      </c>
      <c r="C2191" t="s">
        <v>252</v>
      </c>
      <c r="D2191">
        <v>5</v>
      </c>
      <c r="E2191">
        <v>252</v>
      </c>
      <c r="F2191">
        <v>63</v>
      </c>
      <c r="G2191">
        <v>1260</v>
      </c>
      <c r="H2191" s="4">
        <v>315</v>
      </c>
      <c r="I2191" s="4">
        <v>945</v>
      </c>
      <c r="J2191" t="s">
        <v>128</v>
      </c>
      <c r="K2191" t="s">
        <v>42</v>
      </c>
      <c r="L2191" s="4">
        <v>15.487214309603928</v>
      </c>
      <c r="M2191" s="1" t="s">
        <v>38</v>
      </c>
      <c r="N2191" s="11">
        <f t="shared" si="34"/>
        <v>5</v>
      </c>
    </row>
    <row r="2192" spans="1:14" ht="16" x14ac:dyDescent="0.2">
      <c r="A2192" s="3">
        <v>43988.360729604014</v>
      </c>
      <c r="B2192" s="1" t="s">
        <v>2513</v>
      </c>
      <c r="C2192" t="s">
        <v>160</v>
      </c>
      <c r="D2192">
        <v>15</v>
      </c>
      <c r="E2192">
        <v>132</v>
      </c>
      <c r="F2192">
        <v>33</v>
      </c>
      <c r="G2192">
        <v>1980</v>
      </c>
      <c r="H2192" s="4">
        <v>495</v>
      </c>
      <c r="I2192" s="4">
        <v>1485</v>
      </c>
      <c r="J2192" t="s">
        <v>754</v>
      </c>
      <c r="K2192" t="s">
        <v>42</v>
      </c>
      <c r="L2192" s="4">
        <v>14.376986923104601</v>
      </c>
      <c r="M2192" s="1" t="s">
        <v>54</v>
      </c>
      <c r="N2192" s="11">
        <f t="shared" si="34"/>
        <v>10</v>
      </c>
    </row>
    <row r="2193" spans="1:14" ht="16" x14ac:dyDescent="0.2">
      <c r="A2193" s="3">
        <v>44147.945322469532</v>
      </c>
      <c r="B2193" s="1" t="s">
        <v>1865</v>
      </c>
      <c r="C2193" t="s">
        <v>62</v>
      </c>
      <c r="D2193">
        <v>12</v>
      </c>
      <c r="E2193">
        <v>80</v>
      </c>
      <c r="F2193">
        <v>20</v>
      </c>
      <c r="G2193">
        <v>960</v>
      </c>
      <c r="H2193" s="4">
        <v>240</v>
      </c>
      <c r="I2193" s="4">
        <v>720</v>
      </c>
      <c r="J2193" t="s">
        <v>108</v>
      </c>
      <c r="K2193" t="s">
        <v>64</v>
      </c>
      <c r="L2193" s="4">
        <v>9.7467096260695598</v>
      </c>
      <c r="M2193" s="1" t="s">
        <v>54</v>
      </c>
      <c r="N2193" s="11">
        <f t="shared" si="34"/>
        <v>10</v>
      </c>
    </row>
    <row r="2194" spans="1:14" ht="16" x14ac:dyDescent="0.2">
      <c r="A2194" s="3">
        <v>43883.307572895101</v>
      </c>
      <c r="B2194" s="1" t="s">
        <v>2514</v>
      </c>
      <c r="C2194" t="s">
        <v>399</v>
      </c>
      <c r="D2194">
        <v>14</v>
      </c>
      <c r="E2194">
        <v>160</v>
      </c>
      <c r="F2194">
        <v>80</v>
      </c>
      <c r="G2194">
        <v>2240</v>
      </c>
      <c r="H2194" s="4">
        <v>1120</v>
      </c>
      <c r="I2194" s="4">
        <v>1120</v>
      </c>
      <c r="J2194" t="s">
        <v>121</v>
      </c>
      <c r="K2194" t="s">
        <v>64</v>
      </c>
      <c r="L2194" s="4">
        <v>14.16303548174143</v>
      </c>
      <c r="M2194" s="1" t="s">
        <v>38</v>
      </c>
      <c r="N2194" s="11">
        <f t="shared" si="34"/>
        <v>5</v>
      </c>
    </row>
    <row r="2195" spans="1:14" ht="16" x14ac:dyDescent="0.2">
      <c r="A2195" s="3">
        <v>43583.010887560959</v>
      </c>
      <c r="B2195" s="1" t="s">
        <v>2515</v>
      </c>
      <c r="C2195" t="s">
        <v>133</v>
      </c>
      <c r="D2195">
        <v>11</v>
      </c>
      <c r="E2195">
        <v>189</v>
      </c>
      <c r="F2195">
        <v>63</v>
      </c>
      <c r="G2195">
        <v>2079</v>
      </c>
      <c r="H2195" s="4">
        <v>693</v>
      </c>
      <c r="I2195" s="4">
        <v>1386</v>
      </c>
      <c r="J2195" t="s">
        <v>116</v>
      </c>
      <c r="K2195" t="s">
        <v>64</v>
      </c>
      <c r="L2195" s="4">
        <v>14.697745043716761</v>
      </c>
      <c r="M2195" s="1" t="s">
        <v>54</v>
      </c>
      <c r="N2195" s="11">
        <f t="shared" si="34"/>
        <v>10</v>
      </c>
    </row>
    <row r="2196" spans="1:14" ht="16" x14ac:dyDescent="0.2">
      <c r="A2196" s="3">
        <v>43917.58498881416</v>
      </c>
      <c r="B2196" s="1" t="s">
        <v>725</v>
      </c>
      <c r="C2196" t="s">
        <v>142</v>
      </c>
      <c r="D2196">
        <v>13</v>
      </c>
      <c r="E2196">
        <v>210</v>
      </c>
      <c r="F2196">
        <v>70</v>
      </c>
      <c r="G2196">
        <v>2730</v>
      </c>
      <c r="H2196" s="4">
        <v>910</v>
      </c>
      <c r="I2196" s="4">
        <v>1820</v>
      </c>
      <c r="J2196" t="s">
        <v>183</v>
      </c>
      <c r="K2196" t="s">
        <v>58</v>
      </c>
      <c r="L2196" s="4">
        <v>11.939773463335372</v>
      </c>
      <c r="M2196" s="1" t="s">
        <v>34</v>
      </c>
      <c r="N2196" s="11">
        <f t="shared" si="34"/>
        <v>1</v>
      </c>
    </row>
    <row r="2197" spans="1:14" ht="16" x14ac:dyDescent="0.2">
      <c r="A2197" s="3">
        <v>43667.952448495918</v>
      </c>
      <c r="B2197" s="1" t="s">
        <v>2516</v>
      </c>
      <c r="C2197" t="s">
        <v>98</v>
      </c>
      <c r="D2197">
        <v>5</v>
      </c>
      <c r="E2197">
        <v>156</v>
      </c>
      <c r="F2197">
        <v>78</v>
      </c>
      <c r="G2197">
        <v>780</v>
      </c>
      <c r="H2197" s="4">
        <v>390</v>
      </c>
      <c r="I2197" s="4">
        <v>390</v>
      </c>
      <c r="J2197" t="s">
        <v>284</v>
      </c>
      <c r="K2197" t="s">
        <v>58</v>
      </c>
      <c r="L2197" s="4">
        <v>10.570474361325047</v>
      </c>
      <c r="M2197" s="1" t="s">
        <v>38</v>
      </c>
      <c r="N2197" s="11">
        <f t="shared" si="34"/>
        <v>5</v>
      </c>
    </row>
    <row r="2198" spans="1:14" ht="16" x14ac:dyDescent="0.2">
      <c r="A2198" s="3">
        <v>44390.537358199523</v>
      </c>
      <c r="B2198" s="1" t="s">
        <v>2517</v>
      </c>
      <c r="C2198" t="s">
        <v>356</v>
      </c>
      <c r="D2198">
        <v>15</v>
      </c>
      <c r="E2198">
        <v>356</v>
      </c>
      <c r="F2198">
        <v>89</v>
      </c>
      <c r="G2198">
        <v>5340</v>
      </c>
      <c r="H2198" s="4">
        <v>1335</v>
      </c>
      <c r="I2198" s="4">
        <v>4005</v>
      </c>
      <c r="J2198" t="s">
        <v>262</v>
      </c>
      <c r="K2198" t="s">
        <v>86</v>
      </c>
      <c r="L2198" s="4">
        <v>12.796588406005421</v>
      </c>
      <c r="M2198" s="1" t="s">
        <v>38</v>
      </c>
      <c r="N2198" s="11">
        <f t="shared" si="34"/>
        <v>5</v>
      </c>
    </row>
    <row r="2199" spans="1:14" ht="16" x14ac:dyDescent="0.2">
      <c r="A2199" s="3">
        <v>44147.659343055275</v>
      </c>
      <c r="B2199" s="1" t="s">
        <v>2248</v>
      </c>
      <c r="C2199" t="s">
        <v>340</v>
      </c>
      <c r="D2199">
        <v>5</v>
      </c>
      <c r="E2199">
        <v>180</v>
      </c>
      <c r="F2199">
        <v>45</v>
      </c>
      <c r="G2199">
        <v>900</v>
      </c>
      <c r="H2199" s="4">
        <v>225</v>
      </c>
      <c r="I2199" s="4">
        <v>675</v>
      </c>
      <c r="J2199" t="s">
        <v>587</v>
      </c>
      <c r="K2199" t="s">
        <v>49</v>
      </c>
      <c r="L2199" s="4">
        <v>14.760829371220243</v>
      </c>
      <c r="M2199" s="1" t="s">
        <v>38</v>
      </c>
      <c r="N2199" s="11">
        <f t="shared" si="34"/>
        <v>5</v>
      </c>
    </row>
    <row r="2200" spans="1:14" ht="16" x14ac:dyDescent="0.2">
      <c r="A2200" s="3">
        <v>43997.52415737843</v>
      </c>
      <c r="B2200" s="1" t="s">
        <v>2518</v>
      </c>
      <c r="C2200" t="s">
        <v>185</v>
      </c>
      <c r="D2200">
        <v>5</v>
      </c>
      <c r="E2200">
        <v>146</v>
      </c>
      <c r="F2200">
        <v>73</v>
      </c>
      <c r="G2200">
        <v>730</v>
      </c>
      <c r="H2200" s="4">
        <v>365</v>
      </c>
      <c r="I2200" s="4">
        <v>365</v>
      </c>
      <c r="J2200" t="s">
        <v>564</v>
      </c>
      <c r="K2200" t="s">
        <v>53</v>
      </c>
      <c r="L2200" s="4">
        <v>11.563724686003232</v>
      </c>
      <c r="M2200" s="1" t="s">
        <v>38</v>
      </c>
      <c r="N2200" s="11">
        <f t="shared" si="34"/>
        <v>5</v>
      </c>
    </row>
    <row r="2201" spans="1:14" ht="16" x14ac:dyDescent="0.2">
      <c r="A2201" s="3">
        <v>44229.706018993216</v>
      </c>
      <c r="B2201" s="1" t="s">
        <v>2519</v>
      </c>
      <c r="C2201" t="s">
        <v>386</v>
      </c>
      <c r="D2201">
        <v>3</v>
      </c>
      <c r="E2201">
        <v>110</v>
      </c>
      <c r="F2201">
        <v>55</v>
      </c>
      <c r="G2201">
        <v>330</v>
      </c>
      <c r="H2201" s="4">
        <v>165</v>
      </c>
      <c r="I2201" s="4">
        <v>165</v>
      </c>
      <c r="J2201" t="s">
        <v>52</v>
      </c>
      <c r="K2201" t="s">
        <v>53</v>
      </c>
      <c r="L2201" s="4">
        <v>12.169266722245851</v>
      </c>
      <c r="M2201" s="1" t="s">
        <v>34</v>
      </c>
      <c r="N2201" s="11">
        <f t="shared" si="34"/>
        <v>1</v>
      </c>
    </row>
    <row r="2202" spans="1:14" ht="16" x14ac:dyDescent="0.2">
      <c r="A2202" s="3">
        <v>43861.137633876213</v>
      </c>
      <c r="B2202" s="1" t="s">
        <v>2520</v>
      </c>
      <c r="C2202" t="s">
        <v>171</v>
      </c>
      <c r="D2202">
        <v>15</v>
      </c>
      <c r="E2202">
        <v>225</v>
      </c>
      <c r="F2202">
        <v>75</v>
      </c>
      <c r="G2202">
        <v>3375</v>
      </c>
      <c r="H2202" s="4">
        <v>1125</v>
      </c>
      <c r="I2202" s="4">
        <v>2250</v>
      </c>
      <c r="J2202" t="s">
        <v>60</v>
      </c>
      <c r="K2202" t="s">
        <v>53</v>
      </c>
      <c r="L2202" s="4">
        <v>11.048444680405545</v>
      </c>
      <c r="M2202" s="1" t="s">
        <v>38</v>
      </c>
      <c r="N2202" s="11">
        <f t="shared" si="34"/>
        <v>5</v>
      </c>
    </row>
    <row r="2203" spans="1:14" ht="16" x14ac:dyDescent="0.2">
      <c r="A2203" s="3">
        <v>44542.62488829621</v>
      </c>
      <c r="B2203" s="1" t="s">
        <v>2521</v>
      </c>
      <c r="C2203" t="s">
        <v>154</v>
      </c>
      <c r="D2203">
        <v>20</v>
      </c>
      <c r="E2203">
        <v>308</v>
      </c>
      <c r="F2203">
        <v>77</v>
      </c>
      <c r="G2203">
        <v>6160</v>
      </c>
      <c r="H2203" s="4">
        <v>1540</v>
      </c>
      <c r="I2203" s="4">
        <v>4620</v>
      </c>
      <c r="J2203" t="s">
        <v>862</v>
      </c>
      <c r="K2203" t="s">
        <v>58</v>
      </c>
      <c r="L2203" s="4">
        <v>13.827196127590291</v>
      </c>
      <c r="M2203" s="1" t="s">
        <v>34</v>
      </c>
      <c r="N2203" s="11">
        <f t="shared" si="34"/>
        <v>1</v>
      </c>
    </row>
    <row r="2204" spans="1:14" ht="16" x14ac:dyDescent="0.2">
      <c r="A2204" s="3">
        <v>43806.778364832928</v>
      </c>
      <c r="B2204" s="1" t="s">
        <v>2522</v>
      </c>
      <c r="C2204" t="s">
        <v>240</v>
      </c>
      <c r="D2204">
        <v>7</v>
      </c>
      <c r="E2204">
        <v>108</v>
      </c>
      <c r="F2204">
        <v>54</v>
      </c>
      <c r="G2204">
        <v>756</v>
      </c>
      <c r="H2204" s="4">
        <v>378</v>
      </c>
      <c r="I2204" s="4">
        <v>378</v>
      </c>
      <c r="J2204" t="s">
        <v>199</v>
      </c>
      <c r="K2204" t="s">
        <v>86</v>
      </c>
      <c r="L2204" s="4">
        <v>13.890275354050972</v>
      </c>
      <c r="M2204" s="1" t="s">
        <v>34</v>
      </c>
      <c r="N2204" s="11">
        <f t="shared" si="34"/>
        <v>1</v>
      </c>
    </row>
    <row r="2205" spans="1:14" ht="16" x14ac:dyDescent="0.2">
      <c r="A2205" s="3">
        <v>44522.638211170583</v>
      </c>
      <c r="B2205" s="1" t="s">
        <v>2523</v>
      </c>
      <c r="C2205" t="s">
        <v>607</v>
      </c>
      <c r="D2205">
        <v>5</v>
      </c>
      <c r="E2205">
        <v>225</v>
      </c>
      <c r="F2205">
        <v>75</v>
      </c>
      <c r="G2205">
        <v>1125</v>
      </c>
      <c r="H2205" s="4">
        <v>375</v>
      </c>
      <c r="I2205" s="4">
        <v>750</v>
      </c>
      <c r="J2205" t="s">
        <v>738</v>
      </c>
      <c r="K2205" t="s">
        <v>33</v>
      </c>
      <c r="L2205" s="4">
        <v>12.985332015423809</v>
      </c>
      <c r="M2205" s="1" t="s">
        <v>38</v>
      </c>
      <c r="N2205" s="11">
        <f t="shared" si="34"/>
        <v>5</v>
      </c>
    </row>
    <row r="2206" spans="1:14" ht="16" x14ac:dyDescent="0.2">
      <c r="A2206" s="3">
        <v>44228.247912201565</v>
      </c>
      <c r="B2206" s="1" t="s">
        <v>2524</v>
      </c>
      <c r="C2206" t="s">
        <v>583</v>
      </c>
      <c r="D2206">
        <v>20</v>
      </c>
      <c r="E2206">
        <v>57</v>
      </c>
      <c r="F2206">
        <v>19</v>
      </c>
      <c r="G2206">
        <v>1140</v>
      </c>
      <c r="H2206" s="4">
        <v>380</v>
      </c>
      <c r="I2206" s="4">
        <v>760</v>
      </c>
      <c r="J2206" t="s">
        <v>429</v>
      </c>
      <c r="K2206" t="s">
        <v>33</v>
      </c>
      <c r="L2206" s="4">
        <v>11.701919153133453</v>
      </c>
      <c r="M2206" s="1" t="s">
        <v>54</v>
      </c>
      <c r="N2206" s="11">
        <f t="shared" si="34"/>
        <v>10</v>
      </c>
    </row>
    <row r="2207" spans="1:14" ht="16" x14ac:dyDescent="0.2">
      <c r="A2207" s="3">
        <v>43328.111001150792</v>
      </c>
      <c r="B2207" s="1" t="s">
        <v>2525</v>
      </c>
      <c r="C2207" t="s">
        <v>391</v>
      </c>
      <c r="D2207">
        <v>20</v>
      </c>
      <c r="E2207">
        <v>72</v>
      </c>
      <c r="F2207">
        <v>36</v>
      </c>
      <c r="G2207">
        <v>1440</v>
      </c>
      <c r="H2207" s="4">
        <v>720</v>
      </c>
      <c r="I2207" s="4">
        <v>720</v>
      </c>
      <c r="J2207" t="s">
        <v>161</v>
      </c>
      <c r="K2207" t="s">
        <v>33</v>
      </c>
      <c r="L2207" s="4">
        <v>14.370283356317486</v>
      </c>
      <c r="M2207" s="1" t="s">
        <v>34</v>
      </c>
      <c r="N2207" s="11">
        <f t="shared" si="34"/>
        <v>1</v>
      </c>
    </row>
    <row r="2208" spans="1:14" ht="16" x14ac:dyDescent="0.2">
      <c r="A2208" s="3">
        <v>43647.940550559506</v>
      </c>
      <c r="B2208" s="1" t="s">
        <v>2526</v>
      </c>
      <c r="C2208" t="s">
        <v>215</v>
      </c>
      <c r="D2208">
        <v>12</v>
      </c>
      <c r="E2208">
        <v>176</v>
      </c>
      <c r="F2208">
        <v>88</v>
      </c>
      <c r="G2208">
        <v>2112</v>
      </c>
      <c r="H2208" s="4">
        <v>1056</v>
      </c>
      <c r="I2208" s="4">
        <v>1056</v>
      </c>
      <c r="J2208" t="s">
        <v>488</v>
      </c>
      <c r="K2208" t="s">
        <v>64</v>
      </c>
      <c r="L2208" s="4">
        <v>9.458617986208397</v>
      </c>
      <c r="M2208" s="1" t="s">
        <v>38</v>
      </c>
      <c r="N2208" s="11">
        <f t="shared" si="34"/>
        <v>5</v>
      </c>
    </row>
    <row r="2209" spans="1:14" ht="16" x14ac:dyDescent="0.2">
      <c r="A2209" s="3">
        <v>44102.375466562109</v>
      </c>
      <c r="B2209" s="1" t="s">
        <v>2527</v>
      </c>
      <c r="C2209" t="s">
        <v>115</v>
      </c>
      <c r="D2209">
        <v>5</v>
      </c>
      <c r="E2209">
        <v>81</v>
      </c>
      <c r="F2209">
        <v>27</v>
      </c>
      <c r="G2209">
        <v>405</v>
      </c>
      <c r="H2209" s="4">
        <v>135</v>
      </c>
      <c r="I2209" s="4">
        <v>270</v>
      </c>
      <c r="J2209" t="s">
        <v>910</v>
      </c>
      <c r="K2209" t="s">
        <v>58</v>
      </c>
      <c r="L2209" s="4">
        <v>11.78346750250795</v>
      </c>
      <c r="M2209" s="1" t="s">
        <v>38</v>
      </c>
      <c r="N2209" s="11">
        <f t="shared" si="34"/>
        <v>5</v>
      </c>
    </row>
    <row r="2210" spans="1:14" ht="16" x14ac:dyDescent="0.2">
      <c r="A2210" s="3">
        <v>44844.823394164989</v>
      </c>
      <c r="B2210" s="1" t="s">
        <v>2528</v>
      </c>
      <c r="C2210" t="s">
        <v>266</v>
      </c>
      <c r="D2210">
        <v>17</v>
      </c>
      <c r="E2210">
        <v>50</v>
      </c>
      <c r="F2210">
        <v>25</v>
      </c>
      <c r="G2210">
        <v>850</v>
      </c>
      <c r="H2210" s="4">
        <v>425</v>
      </c>
      <c r="I2210" s="4">
        <v>425</v>
      </c>
      <c r="J2210" t="s">
        <v>1560</v>
      </c>
      <c r="K2210" t="s">
        <v>86</v>
      </c>
      <c r="L2210" s="4">
        <v>14.412865837260112</v>
      </c>
      <c r="M2210" s="1" t="s">
        <v>38</v>
      </c>
      <c r="N2210" s="11">
        <f t="shared" si="34"/>
        <v>5</v>
      </c>
    </row>
    <row r="2211" spans="1:14" ht="16" x14ac:dyDescent="0.2">
      <c r="A2211" s="3">
        <v>43446.82060493224</v>
      </c>
      <c r="B2211" s="1" t="s">
        <v>2529</v>
      </c>
      <c r="C2211" t="s">
        <v>81</v>
      </c>
      <c r="D2211">
        <v>19</v>
      </c>
      <c r="E2211">
        <v>166</v>
      </c>
      <c r="F2211">
        <v>83</v>
      </c>
      <c r="G2211">
        <v>3154</v>
      </c>
      <c r="H2211" s="4">
        <v>1577</v>
      </c>
      <c r="I2211" s="4">
        <v>1577</v>
      </c>
      <c r="J2211" t="s">
        <v>102</v>
      </c>
      <c r="K2211" t="s">
        <v>49</v>
      </c>
      <c r="L2211" s="4">
        <v>15.12637675023732</v>
      </c>
      <c r="M2211" s="1" t="s">
        <v>38</v>
      </c>
      <c r="N2211" s="11">
        <f t="shared" si="34"/>
        <v>5</v>
      </c>
    </row>
    <row r="2212" spans="1:14" ht="16" x14ac:dyDescent="0.2">
      <c r="A2212" s="3">
        <v>44055.86262132792</v>
      </c>
      <c r="B2212" s="1" t="s">
        <v>2530</v>
      </c>
      <c r="C2212" t="s">
        <v>487</v>
      </c>
      <c r="D2212">
        <v>4</v>
      </c>
      <c r="E2212">
        <v>264</v>
      </c>
      <c r="F2212">
        <v>88</v>
      </c>
      <c r="G2212">
        <v>1056</v>
      </c>
      <c r="H2212" s="4">
        <v>352</v>
      </c>
      <c r="I2212" s="4">
        <v>704</v>
      </c>
      <c r="J2212" t="s">
        <v>438</v>
      </c>
      <c r="K2212" t="s">
        <v>64</v>
      </c>
      <c r="L2212" s="4">
        <v>12.532428411174646</v>
      </c>
      <c r="M2212" s="1" t="s">
        <v>38</v>
      </c>
      <c r="N2212" s="11">
        <f t="shared" si="34"/>
        <v>5</v>
      </c>
    </row>
    <row r="2213" spans="1:14" ht="16" x14ac:dyDescent="0.2">
      <c r="A2213" s="3">
        <v>43303.004405100066</v>
      </c>
      <c r="B2213" s="1" t="s">
        <v>2531</v>
      </c>
      <c r="C2213" t="s">
        <v>91</v>
      </c>
      <c r="D2213">
        <v>6</v>
      </c>
      <c r="E2213">
        <v>300</v>
      </c>
      <c r="F2213">
        <v>75</v>
      </c>
      <c r="G2213">
        <v>1800</v>
      </c>
      <c r="H2213" s="4">
        <v>450</v>
      </c>
      <c r="I2213" s="4">
        <v>1350</v>
      </c>
      <c r="J2213" t="s">
        <v>279</v>
      </c>
      <c r="K2213" t="s">
        <v>64</v>
      </c>
      <c r="L2213" s="4">
        <v>11.504886852416154</v>
      </c>
      <c r="M2213" s="1" t="s">
        <v>38</v>
      </c>
      <c r="N2213" s="11">
        <f t="shared" si="34"/>
        <v>5</v>
      </c>
    </row>
    <row r="2214" spans="1:14" ht="16" x14ac:dyDescent="0.2">
      <c r="A2214" s="3">
        <v>43703.152266820936</v>
      </c>
      <c r="B2214" s="1" t="s">
        <v>2532</v>
      </c>
      <c r="C2214" t="s">
        <v>218</v>
      </c>
      <c r="D2214">
        <v>10</v>
      </c>
      <c r="E2214">
        <v>264</v>
      </c>
      <c r="F2214">
        <v>88</v>
      </c>
      <c r="G2214">
        <v>2640</v>
      </c>
      <c r="H2214" s="4">
        <v>880</v>
      </c>
      <c r="I2214" s="4">
        <v>1760</v>
      </c>
      <c r="J2214" t="s">
        <v>253</v>
      </c>
      <c r="K2214" t="s">
        <v>53</v>
      </c>
      <c r="L2214" s="4">
        <v>13.918153610259502</v>
      </c>
      <c r="M2214" s="1" t="s">
        <v>38</v>
      </c>
      <c r="N2214" s="11">
        <f t="shared" si="34"/>
        <v>5</v>
      </c>
    </row>
    <row r="2215" spans="1:14" ht="16" x14ac:dyDescent="0.2">
      <c r="A2215" s="3">
        <v>43179.439221773071</v>
      </c>
      <c r="B2215" s="1" t="s">
        <v>2533</v>
      </c>
      <c r="C2215" t="s">
        <v>193</v>
      </c>
      <c r="D2215">
        <v>6</v>
      </c>
      <c r="E2215">
        <v>348</v>
      </c>
      <c r="F2215">
        <v>87</v>
      </c>
      <c r="G2215">
        <v>2088</v>
      </c>
      <c r="H2215" s="4">
        <v>522</v>
      </c>
      <c r="I2215" s="4">
        <v>1566</v>
      </c>
      <c r="J2215" t="s">
        <v>1008</v>
      </c>
      <c r="K2215" t="s">
        <v>58</v>
      </c>
      <c r="L2215" s="4">
        <v>9.9471686551317795</v>
      </c>
      <c r="M2215" s="1" t="s">
        <v>34</v>
      </c>
      <c r="N2215" s="11">
        <f t="shared" si="34"/>
        <v>1</v>
      </c>
    </row>
    <row r="2216" spans="1:14" ht="16" x14ac:dyDescent="0.2">
      <c r="A2216" s="3">
        <v>43837.513867929825</v>
      </c>
      <c r="B2216" s="1" t="s">
        <v>2534</v>
      </c>
      <c r="C2216" t="s">
        <v>175</v>
      </c>
      <c r="D2216">
        <v>11</v>
      </c>
      <c r="E2216">
        <v>38</v>
      </c>
      <c r="F2216">
        <v>19</v>
      </c>
      <c r="G2216">
        <v>418</v>
      </c>
      <c r="H2216" s="4">
        <v>209</v>
      </c>
      <c r="I2216" s="4">
        <v>209</v>
      </c>
      <c r="J2216" t="s">
        <v>345</v>
      </c>
      <c r="K2216" t="s">
        <v>49</v>
      </c>
      <c r="L2216" s="4">
        <v>14.687857652112591</v>
      </c>
      <c r="M2216" s="1" t="s">
        <v>38</v>
      </c>
      <c r="N2216" s="11">
        <f t="shared" si="34"/>
        <v>5</v>
      </c>
    </row>
    <row r="2217" spans="1:14" ht="16" x14ac:dyDescent="0.2">
      <c r="A2217" s="3">
        <v>43532.219761512009</v>
      </c>
      <c r="B2217" s="1" t="s">
        <v>2535</v>
      </c>
      <c r="C2217" t="s">
        <v>115</v>
      </c>
      <c r="D2217">
        <v>13</v>
      </c>
      <c r="E2217">
        <v>81</v>
      </c>
      <c r="F2217">
        <v>27</v>
      </c>
      <c r="G2217">
        <v>1053</v>
      </c>
      <c r="H2217" s="4">
        <v>351</v>
      </c>
      <c r="I2217" s="4">
        <v>702</v>
      </c>
      <c r="J2217" t="s">
        <v>118</v>
      </c>
      <c r="K2217" t="s">
        <v>64</v>
      </c>
      <c r="L2217" s="4">
        <v>11.128721898968678</v>
      </c>
      <c r="M2217" s="1" t="s">
        <v>54</v>
      </c>
      <c r="N2217" s="11">
        <f t="shared" si="34"/>
        <v>10</v>
      </c>
    </row>
    <row r="2218" spans="1:14" ht="16" x14ac:dyDescent="0.2">
      <c r="A2218" s="3">
        <v>43668.24429630948</v>
      </c>
      <c r="B2218" s="1" t="s">
        <v>2536</v>
      </c>
      <c r="C2218" t="s">
        <v>130</v>
      </c>
      <c r="D2218">
        <v>3</v>
      </c>
      <c r="E2218">
        <v>144</v>
      </c>
      <c r="F2218">
        <v>48</v>
      </c>
      <c r="G2218">
        <v>432</v>
      </c>
      <c r="H2218" s="4">
        <v>144</v>
      </c>
      <c r="I2218" s="4">
        <v>288</v>
      </c>
      <c r="J2218" t="s">
        <v>221</v>
      </c>
      <c r="K2218" t="s">
        <v>49</v>
      </c>
      <c r="L2218" s="4">
        <v>12.396052160428608</v>
      </c>
      <c r="M2218" s="1" t="s">
        <v>34</v>
      </c>
      <c r="N2218" s="11">
        <f t="shared" si="34"/>
        <v>1</v>
      </c>
    </row>
    <row r="2219" spans="1:14" ht="16" x14ac:dyDescent="0.2">
      <c r="A2219" s="3">
        <v>44080.473435086977</v>
      </c>
      <c r="B2219" s="1" t="s">
        <v>2377</v>
      </c>
      <c r="C2219" t="s">
        <v>259</v>
      </c>
      <c r="D2219">
        <v>3</v>
      </c>
      <c r="E2219">
        <v>270</v>
      </c>
      <c r="F2219">
        <v>90</v>
      </c>
      <c r="G2219">
        <v>810</v>
      </c>
      <c r="H2219" s="4">
        <v>270</v>
      </c>
      <c r="I2219" s="4">
        <v>540</v>
      </c>
      <c r="J2219" t="s">
        <v>521</v>
      </c>
      <c r="K2219" t="s">
        <v>58</v>
      </c>
      <c r="L2219" s="4">
        <v>8.8514729234790472</v>
      </c>
      <c r="M2219" s="1" t="s">
        <v>38</v>
      </c>
      <c r="N2219" s="11">
        <f t="shared" si="34"/>
        <v>5</v>
      </c>
    </row>
    <row r="2220" spans="1:14" ht="16" x14ac:dyDescent="0.2">
      <c r="A2220" s="3">
        <v>43436.875598531071</v>
      </c>
      <c r="B2220" s="1" t="s">
        <v>2537</v>
      </c>
      <c r="C2220" t="s">
        <v>125</v>
      </c>
      <c r="D2220">
        <v>6</v>
      </c>
      <c r="E2220">
        <v>176</v>
      </c>
      <c r="F2220">
        <v>88</v>
      </c>
      <c r="G2220">
        <v>1056</v>
      </c>
      <c r="H2220" s="4">
        <v>528</v>
      </c>
      <c r="I2220" s="4">
        <v>528</v>
      </c>
      <c r="J2220" t="s">
        <v>281</v>
      </c>
      <c r="K2220" t="s">
        <v>33</v>
      </c>
      <c r="L2220" s="4">
        <v>11.428575823958646</v>
      </c>
      <c r="M2220" s="1" t="s">
        <v>38</v>
      </c>
      <c r="N2220" s="11">
        <f t="shared" si="34"/>
        <v>5</v>
      </c>
    </row>
    <row r="2221" spans="1:14" ht="16" x14ac:dyDescent="0.2">
      <c r="A2221" s="3">
        <v>44675.443925871848</v>
      </c>
      <c r="B2221" s="1" t="s">
        <v>2538</v>
      </c>
      <c r="C2221" t="s">
        <v>125</v>
      </c>
      <c r="D2221">
        <v>20</v>
      </c>
      <c r="E2221">
        <v>176</v>
      </c>
      <c r="F2221">
        <v>88</v>
      </c>
      <c r="G2221">
        <v>3520</v>
      </c>
      <c r="H2221" s="4">
        <v>1760</v>
      </c>
      <c r="I2221" s="4">
        <v>1760</v>
      </c>
      <c r="J2221" t="s">
        <v>603</v>
      </c>
      <c r="K2221" t="s">
        <v>64</v>
      </c>
      <c r="L2221" s="4">
        <v>11.072271050116964</v>
      </c>
      <c r="M2221" s="1" t="s">
        <v>38</v>
      </c>
      <c r="N2221" s="11">
        <f t="shared" si="34"/>
        <v>5</v>
      </c>
    </row>
    <row r="2222" spans="1:14" ht="16" x14ac:dyDescent="0.2">
      <c r="A2222" s="3">
        <v>43391.895623522134</v>
      </c>
      <c r="B2222" s="1" t="s">
        <v>2539</v>
      </c>
      <c r="C2222" t="s">
        <v>157</v>
      </c>
      <c r="D2222">
        <v>20</v>
      </c>
      <c r="E2222">
        <v>50</v>
      </c>
      <c r="F2222">
        <v>25</v>
      </c>
      <c r="G2222">
        <v>1000</v>
      </c>
      <c r="H2222" s="4">
        <v>500</v>
      </c>
      <c r="I2222" s="4">
        <v>500</v>
      </c>
      <c r="J2222" t="s">
        <v>401</v>
      </c>
      <c r="K2222" t="s">
        <v>58</v>
      </c>
      <c r="L2222" s="4">
        <v>11.394777319422785</v>
      </c>
      <c r="M2222" s="1" t="s">
        <v>38</v>
      </c>
      <c r="N2222" s="11">
        <f t="shared" si="34"/>
        <v>5</v>
      </c>
    </row>
    <row r="2223" spans="1:14" ht="16" x14ac:dyDescent="0.2">
      <c r="A2223" s="3">
        <v>43541.670194700273</v>
      </c>
      <c r="B2223" s="1" t="s">
        <v>2540</v>
      </c>
      <c r="C2223" t="s">
        <v>391</v>
      </c>
      <c r="D2223">
        <v>11</v>
      </c>
      <c r="E2223">
        <v>72</v>
      </c>
      <c r="F2223">
        <v>36</v>
      </c>
      <c r="G2223">
        <v>792</v>
      </c>
      <c r="H2223" s="4">
        <v>396</v>
      </c>
      <c r="I2223" s="4">
        <v>396</v>
      </c>
      <c r="J2223" t="s">
        <v>450</v>
      </c>
      <c r="K2223" t="s">
        <v>49</v>
      </c>
      <c r="L2223" s="4">
        <v>13.332534707865639</v>
      </c>
      <c r="M2223" s="1" t="s">
        <v>54</v>
      </c>
      <c r="N2223" s="11">
        <f t="shared" si="34"/>
        <v>10</v>
      </c>
    </row>
    <row r="2224" spans="1:14" ht="16" x14ac:dyDescent="0.2">
      <c r="A2224" s="3">
        <v>43036.146482170516</v>
      </c>
      <c r="B2224" s="1" t="s">
        <v>2541</v>
      </c>
      <c r="C2224" t="s">
        <v>163</v>
      </c>
      <c r="D2224">
        <v>18</v>
      </c>
      <c r="E2224">
        <v>108</v>
      </c>
      <c r="F2224">
        <v>36</v>
      </c>
      <c r="G2224">
        <v>1944</v>
      </c>
      <c r="H2224" s="4">
        <v>648</v>
      </c>
      <c r="I2224" s="4">
        <v>1296</v>
      </c>
      <c r="J2224" t="s">
        <v>137</v>
      </c>
      <c r="K2224" t="s">
        <v>42</v>
      </c>
      <c r="L2224" s="4">
        <v>11.410471033945758</v>
      </c>
      <c r="M2224" s="1" t="s">
        <v>54</v>
      </c>
      <c r="N2224" s="11">
        <f t="shared" si="34"/>
        <v>10</v>
      </c>
    </row>
    <row r="2225" spans="1:14" ht="16" x14ac:dyDescent="0.2">
      <c r="A2225" s="3">
        <v>43866.487296950545</v>
      </c>
      <c r="B2225" s="1" t="s">
        <v>2542</v>
      </c>
      <c r="C2225" t="s">
        <v>154</v>
      </c>
      <c r="D2225">
        <v>11</v>
      </c>
      <c r="E2225">
        <v>308</v>
      </c>
      <c r="F2225">
        <v>77</v>
      </c>
      <c r="G2225">
        <v>3388</v>
      </c>
      <c r="H2225" s="4">
        <v>847</v>
      </c>
      <c r="I2225" s="4">
        <v>2541</v>
      </c>
      <c r="J2225" t="s">
        <v>67</v>
      </c>
      <c r="K2225" t="s">
        <v>64</v>
      </c>
      <c r="L2225" s="4">
        <v>15.602184182549776</v>
      </c>
      <c r="M2225" s="1" t="s">
        <v>34</v>
      </c>
      <c r="N2225" s="11">
        <f t="shared" si="34"/>
        <v>1</v>
      </c>
    </row>
    <row r="2226" spans="1:14" ht="16" x14ac:dyDescent="0.2">
      <c r="A2226" s="3">
        <v>43828.267526034884</v>
      </c>
      <c r="B2226" s="1" t="s">
        <v>2066</v>
      </c>
      <c r="C2226" t="s">
        <v>91</v>
      </c>
      <c r="D2226">
        <v>5</v>
      </c>
      <c r="E2226">
        <v>300</v>
      </c>
      <c r="F2226">
        <v>75</v>
      </c>
      <c r="G2226">
        <v>1500</v>
      </c>
      <c r="H2226" s="4">
        <v>375</v>
      </c>
      <c r="I2226" s="4">
        <v>1125</v>
      </c>
      <c r="J2226" t="s">
        <v>574</v>
      </c>
      <c r="K2226" t="s">
        <v>58</v>
      </c>
      <c r="L2226" s="4">
        <v>13.150536103258979</v>
      </c>
      <c r="M2226" s="1" t="s">
        <v>38</v>
      </c>
      <c r="N2226" s="11">
        <f t="shared" si="34"/>
        <v>5</v>
      </c>
    </row>
    <row r="2227" spans="1:14" ht="16" x14ac:dyDescent="0.2">
      <c r="A2227" s="3">
        <v>43239.236485046182</v>
      </c>
      <c r="B2227" s="1" t="s">
        <v>2543</v>
      </c>
      <c r="C2227" t="s">
        <v>386</v>
      </c>
      <c r="D2227">
        <v>2</v>
      </c>
      <c r="E2227">
        <v>110</v>
      </c>
      <c r="F2227">
        <v>55</v>
      </c>
      <c r="G2227">
        <v>220</v>
      </c>
      <c r="H2227" s="4">
        <v>110</v>
      </c>
      <c r="I2227" s="4">
        <v>110</v>
      </c>
      <c r="J2227" t="s">
        <v>1358</v>
      </c>
      <c r="K2227" t="s">
        <v>86</v>
      </c>
      <c r="L2227" s="4">
        <v>13.811876869930865</v>
      </c>
      <c r="M2227" s="1" t="s">
        <v>54</v>
      </c>
      <c r="N2227" s="11">
        <f t="shared" si="34"/>
        <v>10</v>
      </c>
    </row>
    <row r="2228" spans="1:14" ht="16" x14ac:dyDescent="0.2">
      <c r="A2228" s="3">
        <v>43265.594962776384</v>
      </c>
      <c r="B2228" s="1" t="s">
        <v>2544</v>
      </c>
      <c r="C2228" t="s">
        <v>276</v>
      </c>
      <c r="D2228">
        <v>9</v>
      </c>
      <c r="E2228">
        <v>57</v>
      </c>
      <c r="F2228">
        <v>19</v>
      </c>
      <c r="G2228">
        <v>513</v>
      </c>
      <c r="H2228" s="4">
        <v>171</v>
      </c>
      <c r="I2228" s="4">
        <v>342</v>
      </c>
      <c r="J2228" t="s">
        <v>413</v>
      </c>
      <c r="K2228" t="s">
        <v>64</v>
      </c>
      <c r="L2228" s="4">
        <v>12.682358648534777</v>
      </c>
      <c r="M2228" s="1" t="s">
        <v>38</v>
      </c>
      <c r="N2228" s="11">
        <f t="shared" si="34"/>
        <v>5</v>
      </c>
    </row>
    <row r="2229" spans="1:14" ht="16" x14ac:dyDescent="0.2">
      <c r="A2229" s="3">
        <v>43742.89257158566</v>
      </c>
      <c r="B2229" s="1" t="s">
        <v>2545</v>
      </c>
      <c r="C2229" t="s">
        <v>98</v>
      </c>
      <c r="D2229">
        <v>9</v>
      </c>
      <c r="E2229">
        <v>156</v>
      </c>
      <c r="F2229">
        <v>78</v>
      </c>
      <c r="G2229">
        <v>1404</v>
      </c>
      <c r="H2229" s="4">
        <v>702</v>
      </c>
      <c r="I2229" s="4">
        <v>702</v>
      </c>
      <c r="J2229" t="s">
        <v>1051</v>
      </c>
      <c r="K2229" t="s">
        <v>64</v>
      </c>
      <c r="L2229" s="4">
        <v>12.852414455158604</v>
      </c>
      <c r="M2229" s="1" t="s">
        <v>38</v>
      </c>
      <c r="N2229" s="11">
        <f t="shared" si="34"/>
        <v>5</v>
      </c>
    </row>
    <row r="2230" spans="1:14" ht="16" x14ac:dyDescent="0.2">
      <c r="A2230" s="3">
        <v>43828.277236022062</v>
      </c>
      <c r="B2230" s="1" t="s">
        <v>2546</v>
      </c>
      <c r="C2230" t="s">
        <v>301</v>
      </c>
      <c r="D2230">
        <v>15</v>
      </c>
      <c r="E2230">
        <v>188</v>
      </c>
      <c r="F2230">
        <v>94</v>
      </c>
      <c r="G2230">
        <v>2820</v>
      </c>
      <c r="H2230" s="4">
        <v>1410</v>
      </c>
      <c r="I2230" s="4">
        <v>1410</v>
      </c>
      <c r="J2230" t="s">
        <v>376</v>
      </c>
      <c r="K2230" t="s">
        <v>86</v>
      </c>
      <c r="L2230" s="4">
        <v>11.655355879643379</v>
      </c>
      <c r="M2230" s="1" t="s">
        <v>38</v>
      </c>
      <c r="N2230" s="11">
        <f t="shared" si="34"/>
        <v>5</v>
      </c>
    </row>
    <row r="2231" spans="1:14" ht="16" x14ac:dyDescent="0.2">
      <c r="A2231" s="3">
        <v>43471.363895630457</v>
      </c>
      <c r="B2231" s="1" t="s">
        <v>2547</v>
      </c>
      <c r="C2231" t="s">
        <v>75</v>
      </c>
      <c r="D2231">
        <v>17</v>
      </c>
      <c r="E2231">
        <v>76</v>
      </c>
      <c r="F2231">
        <v>19</v>
      </c>
      <c r="G2231">
        <v>1292</v>
      </c>
      <c r="H2231" s="4">
        <v>323</v>
      </c>
      <c r="I2231" s="4">
        <v>969</v>
      </c>
      <c r="J2231" t="s">
        <v>313</v>
      </c>
      <c r="K2231" t="s">
        <v>49</v>
      </c>
      <c r="L2231" s="4">
        <v>11.99399163482429</v>
      </c>
      <c r="M2231" s="1" t="s">
        <v>34</v>
      </c>
      <c r="N2231" s="11">
        <f t="shared" si="34"/>
        <v>1</v>
      </c>
    </row>
    <row r="2232" spans="1:14" ht="16" x14ac:dyDescent="0.2">
      <c r="A2232" s="3">
        <v>43211.32069976582</v>
      </c>
      <c r="B2232" s="1" t="s">
        <v>2548</v>
      </c>
      <c r="C2232" t="s">
        <v>538</v>
      </c>
      <c r="D2232">
        <v>5</v>
      </c>
      <c r="E2232">
        <v>261</v>
      </c>
      <c r="F2232">
        <v>87</v>
      </c>
      <c r="G2232">
        <v>1305</v>
      </c>
      <c r="H2232" s="4">
        <v>435</v>
      </c>
      <c r="I2232" s="4">
        <v>870</v>
      </c>
      <c r="J2232" t="s">
        <v>418</v>
      </c>
      <c r="K2232" t="s">
        <v>42</v>
      </c>
      <c r="L2232" s="4">
        <v>11.644564584314265</v>
      </c>
      <c r="M2232" s="1" t="s">
        <v>34</v>
      </c>
      <c r="N2232" s="11">
        <f t="shared" si="34"/>
        <v>1</v>
      </c>
    </row>
    <row r="2233" spans="1:14" ht="16" x14ac:dyDescent="0.2">
      <c r="A2233" s="3">
        <v>43528.028277624588</v>
      </c>
      <c r="B2233" s="1" t="s">
        <v>2549</v>
      </c>
      <c r="C2233" t="s">
        <v>151</v>
      </c>
      <c r="D2233">
        <v>10</v>
      </c>
      <c r="E2233">
        <v>153</v>
      </c>
      <c r="F2233">
        <v>51</v>
      </c>
      <c r="G2233">
        <v>1530</v>
      </c>
      <c r="H2233" s="4">
        <v>510</v>
      </c>
      <c r="I2233" s="4">
        <v>1020</v>
      </c>
      <c r="J2233" t="s">
        <v>1702</v>
      </c>
      <c r="K2233" t="s">
        <v>42</v>
      </c>
      <c r="L2233" s="4">
        <v>11.375127981841125</v>
      </c>
      <c r="M2233" s="1" t="s">
        <v>54</v>
      </c>
      <c r="N2233" s="11">
        <f t="shared" si="34"/>
        <v>10</v>
      </c>
    </row>
    <row r="2234" spans="1:14" ht="16" x14ac:dyDescent="0.2">
      <c r="A2234" s="3">
        <v>43614.450733577905</v>
      </c>
      <c r="B2234" s="1" t="s">
        <v>2550</v>
      </c>
      <c r="C2234" t="s">
        <v>93</v>
      </c>
      <c r="D2234">
        <v>18</v>
      </c>
      <c r="E2234">
        <v>204</v>
      </c>
      <c r="F2234">
        <v>51</v>
      </c>
      <c r="G2234">
        <v>3672</v>
      </c>
      <c r="H2234" s="4">
        <v>918</v>
      </c>
      <c r="I2234" s="4">
        <v>2754</v>
      </c>
      <c r="J2234" t="s">
        <v>1012</v>
      </c>
      <c r="K2234" t="s">
        <v>33</v>
      </c>
      <c r="L2234" s="4">
        <v>14.538471643780088</v>
      </c>
      <c r="M2234" s="1" t="s">
        <v>38</v>
      </c>
      <c r="N2234" s="11">
        <f t="shared" si="34"/>
        <v>5</v>
      </c>
    </row>
    <row r="2235" spans="1:14" ht="16" x14ac:dyDescent="0.2">
      <c r="A2235" s="3">
        <v>43906.125293156721</v>
      </c>
      <c r="B2235" s="1" t="s">
        <v>1329</v>
      </c>
      <c r="C2235" t="s">
        <v>185</v>
      </c>
      <c r="D2235">
        <v>9</v>
      </c>
      <c r="E2235">
        <v>146</v>
      </c>
      <c r="F2235">
        <v>73</v>
      </c>
      <c r="G2235">
        <v>1314</v>
      </c>
      <c r="H2235" s="4">
        <v>657</v>
      </c>
      <c r="I2235" s="4">
        <v>657</v>
      </c>
      <c r="J2235" t="s">
        <v>513</v>
      </c>
      <c r="K2235" t="s">
        <v>58</v>
      </c>
      <c r="L2235" s="4">
        <v>15.207985888346794</v>
      </c>
      <c r="M2235" s="1" t="s">
        <v>38</v>
      </c>
      <c r="N2235" s="11">
        <f t="shared" si="34"/>
        <v>5</v>
      </c>
    </row>
    <row r="2236" spans="1:14" ht="16" x14ac:dyDescent="0.2">
      <c r="A2236" s="3">
        <v>43530.795162795672</v>
      </c>
      <c r="B2236" s="1" t="s">
        <v>834</v>
      </c>
      <c r="C2236" t="s">
        <v>185</v>
      </c>
      <c r="D2236">
        <v>6</v>
      </c>
      <c r="E2236">
        <v>146</v>
      </c>
      <c r="F2236">
        <v>73</v>
      </c>
      <c r="G2236">
        <v>876</v>
      </c>
      <c r="H2236" s="4">
        <v>438</v>
      </c>
      <c r="I2236" s="4">
        <v>438</v>
      </c>
      <c r="J2236" t="s">
        <v>767</v>
      </c>
      <c r="K2236" t="s">
        <v>42</v>
      </c>
      <c r="L2236" s="4">
        <v>11.289144410898391</v>
      </c>
      <c r="M2236" s="1" t="s">
        <v>38</v>
      </c>
      <c r="N2236" s="11">
        <f t="shared" si="34"/>
        <v>5</v>
      </c>
    </row>
    <row r="2237" spans="1:14" ht="16" x14ac:dyDescent="0.2">
      <c r="A2237" s="3">
        <v>44685.299774944739</v>
      </c>
      <c r="B2237" s="1" t="s">
        <v>2551</v>
      </c>
      <c r="C2237" t="s">
        <v>175</v>
      </c>
      <c r="D2237">
        <v>4</v>
      </c>
      <c r="E2237">
        <v>38</v>
      </c>
      <c r="F2237">
        <v>19</v>
      </c>
      <c r="G2237">
        <v>152</v>
      </c>
      <c r="H2237" s="4">
        <v>76</v>
      </c>
      <c r="I2237" s="4">
        <v>76</v>
      </c>
      <c r="J2237" t="s">
        <v>137</v>
      </c>
      <c r="K2237" t="s">
        <v>42</v>
      </c>
      <c r="L2237" s="4">
        <v>11.410471033945758</v>
      </c>
      <c r="M2237" s="1" t="s">
        <v>38</v>
      </c>
      <c r="N2237" s="11">
        <f t="shared" si="34"/>
        <v>5</v>
      </c>
    </row>
    <row r="2238" spans="1:14" ht="16" x14ac:dyDescent="0.2">
      <c r="A2238" s="3">
        <v>43876.199288272321</v>
      </c>
      <c r="B2238" s="1" t="s">
        <v>1099</v>
      </c>
      <c r="C2238" t="s">
        <v>51</v>
      </c>
      <c r="D2238">
        <v>16</v>
      </c>
      <c r="E2238">
        <v>160</v>
      </c>
      <c r="F2238">
        <v>80</v>
      </c>
      <c r="G2238">
        <v>2560</v>
      </c>
      <c r="H2238" s="4">
        <v>1280</v>
      </c>
      <c r="I2238" s="4">
        <v>1280</v>
      </c>
      <c r="J2238" t="s">
        <v>94</v>
      </c>
      <c r="K2238" t="s">
        <v>49</v>
      </c>
      <c r="L2238" s="4">
        <v>9.8238489437106278</v>
      </c>
      <c r="M2238" s="1" t="s">
        <v>54</v>
      </c>
      <c r="N2238" s="11">
        <f t="shared" si="34"/>
        <v>10</v>
      </c>
    </row>
    <row r="2239" spans="1:14" ht="16" x14ac:dyDescent="0.2">
      <c r="A2239" s="3">
        <v>45119.003499255567</v>
      </c>
      <c r="B2239" s="1" t="s">
        <v>2552</v>
      </c>
      <c r="C2239" t="s">
        <v>66</v>
      </c>
      <c r="D2239">
        <v>10</v>
      </c>
      <c r="E2239">
        <v>144</v>
      </c>
      <c r="F2239">
        <v>48</v>
      </c>
      <c r="G2239">
        <v>1440</v>
      </c>
      <c r="H2239" s="4">
        <v>480</v>
      </c>
      <c r="I2239" s="4">
        <v>960</v>
      </c>
      <c r="J2239" t="s">
        <v>354</v>
      </c>
      <c r="K2239" t="s">
        <v>42</v>
      </c>
      <c r="L2239" s="4">
        <v>13.518413464873573</v>
      </c>
      <c r="M2239" s="1" t="s">
        <v>38</v>
      </c>
      <c r="N2239" s="11">
        <f t="shared" si="34"/>
        <v>5</v>
      </c>
    </row>
    <row r="2240" spans="1:14" ht="16" x14ac:dyDescent="0.2">
      <c r="A2240" s="3">
        <v>43610.074381445476</v>
      </c>
      <c r="B2240" s="1" t="s">
        <v>2553</v>
      </c>
      <c r="C2240" t="s">
        <v>193</v>
      </c>
      <c r="D2240">
        <v>6</v>
      </c>
      <c r="E2240">
        <v>348</v>
      </c>
      <c r="F2240">
        <v>87</v>
      </c>
      <c r="G2240">
        <v>2088</v>
      </c>
      <c r="H2240" s="4">
        <v>522</v>
      </c>
      <c r="I2240" s="4">
        <v>1566</v>
      </c>
      <c r="J2240" t="s">
        <v>343</v>
      </c>
      <c r="K2240" t="s">
        <v>42</v>
      </c>
      <c r="L2240" s="4">
        <v>9.8928038181361391</v>
      </c>
      <c r="M2240" s="1" t="s">
        <v>54</v>
      </c>
      <c r="N2240" s="11">
        <f t="shared" si="34"/>
        <v>10</v>
      </c>
    </row>
    <row r="2241" spans="1:14" ht="16" x14ac:dyDescent="0.2">
      <c r="A2241" s="3">
        <v>44597.839922309693</v>
      </c>
      <c r="B2241" s="1" t="s">
        <v>2554</v>
      </c>
      <c r="C2241" t="s">
        <v>62</v>
      </c>
      <c r="D2241">
        <v>7</v>
      </c>
      <c r="E2241">
        <v>80</v>
      </c>
      <c r="F2241">
        <v>20</v>
      </c>
      <c r="G2241">
        <v>560</v>
      </c>
      <c r="H2241" s="4">
        <v>140</v>
      </c>
      <c r="I2241" s="4">
        <v>420</v>
      </c>
      <c r="J2241" t="s">
        <v>635</v>
      </c>
      <c r="K2241" t="s">
        <v>33</v>
      </c>
      <c r="L2241" s="4">
        <v>15.478388039566896</v>
      </c>
      <c r="M2241" s="1" t="s">
        <v>54</v>
      </c>
      <c r="N2241" s="11">
        <f t="shared" si="34"/>
        <v>10</v>
      </c>
    </row>
    <row r="2242" spans="1:14" ht="16" x14ac:dyDescent="0.2">
      <c r="A2242" s="3">
        <v>44531.504209784405</v>
      </c>
      <c r="B2242" s="1" t="s">
        <v>2555</v>
      </c>
      <c r="C2242" t="s">
        <v>399</v>
      </c>
      <c r="D2242">
        <v>13</v>
      </c>
      <c r="E2242">
        <v>160</v>
      </c>
      <c r="F2242">
        <v>80</v>
      </c>
      <c r="G2242">
        <v>2080</v>
      </c>
      <c r="H2242" s="4">
        <v>1040</v>
      </c>
      <c r="I2242" s="4">
        <v>1040</v>
      </c>
      <c r="J2242" t="s">
        <v>292</v>
      </c>
      <c r="K2242" t="s">
        <v>49</v>
      </c>
      <c r="L2242" s="4">
        <v>11.710935611749917</v>
      </c>
      <c r="M2242" s="1" t="s">
        <v>38</v>
      </c>
      <c r="N2242" s="11">
        <f t="shared" si="34"/>
        <v>5</v>
      </c>
    </row>
    <row r="2243" spans="1:14" ht="16" x14ac:dyDescent="0.2">
      <c r="A2243" s="3">
        <v>43328.398770930959</v>
      </c>
      <c r="B2243" s="1" t="s">
        <v>2556</v>
      </c>
      <c r="C2243" t="s">
        <v>356</v>
      </c>
      <c r="D2243">
        <v>18</v>
      </c>
      <c r="E2243">
        <v>356</v>
      </c>
      <c r="F2243">
        <v>89</v>
      </c>
      <c r="G2243">
        <v>6408</v>
      </c>
      <c r="H2243" s="4">
        <v>1602</v>
      </c>
      <c r="I2243" s="4">
        <v>4806</v>
      </c>
      <c r="J2243" t="s">
        <v>691</v>
      </c>
      <c r="K2243" t="s">
        <v>33</v>
      </c>
      <c r="L2243" s="4">
        <v>10.248947386022252</v>
      </c>
      <c r="M2243" s="1" t="s">
        <v>38</v>
      </c>
      <c r="N2243" s="11">
        <f t="shared" ref="N2243:N2306" si="35">+IF(M2243="Dissatisfied",1,IF(M2243="Satisfied",10,5))</f>
        <v>5</v>
      </c>
    </row>
    <row r="2244" spans="1:14" ht="16" x14ac:dyDescent="0.2">
      <c r="A2244" s="3">
        <v>44236.13825365081</v>
      </c>
      <c r="B2244" s="1" t="s">
        <v>2557</v>
      </c>
      <c r="C2244" t="s">
        <v>394</v>
      </c>
      <c r="D2244">
        <v>18</v>
      </c>
      <c r="E2244">
        <v>58</v>
      </c>
      <c r="F2244">
        <v>29</v>
      </c>
      <c r="G2244">
        <v>1044</v>
      </c>
      <c r="H2244" s="4">
        <v>522</v>
      </c>
      <c r="I2244" s="4">
        <v>522</v>
      </c>
      <c r="J2244" t="s">
        <v>882</v>
      </c>
      <c r="K2244" t="s">
        <v>64</v>
      </c>
      <c r="L2244" s="4">
        <v>12.701325659159139</v>
      </c>
      <c r="M2244" s="1" t="s">
        <v>54</v>
      </c>
      <c r="N2244" s="11">
        <f t="shared" si="35"/>
        <v>10</v>
      </c>
    </row>
    <row r="2245" spans="1:14" ht="16" x14ac:dyDescent="0.2">
      <c r="A2245" s="3">
        <v>43906.429731375298</v>
      </c>
      <c r="B2245" s="1" t="s">
        <v>2558</v>
      </c>
      <c r="C2245" t="s">
        <v>145</v>
      </c>
      <c r="D2245">
        <v>14</v>
      </c>
      <c r="E2245">
        <v>207</v>
      </c>
      <c r="F2245">
        <v>69</v>
      </c>
      <c r="G2245">
        <v>2898</v>
      </c>
      <c r="H2245" s="4">
        <v>966</v>
      </c>
      <c r="I2245" s="4">
        <v>1932</v>
      </c>
      <c r="J2245" t="s">
        <v>653</v>
      </c>
      <c r="K2245" t="s">
        <v>86</v>
      </c>
      <c r="L2245" s="4">
        <v>12.869841591513939</v>
      </c>
      <c r="M2245" s="1" t="s">
        <v>38</v>
      </c>
      <c r="N2245" s="11">
        <f t="shared" si="35"/>
        <v>5</v>
      </c>
    </row>
    <row r="2246" spans="1:14" ht="16" x14ac:dyDescent="0.2">
      <c r="A2246" s="3">
        <v>43378.949027681454</v>
      </c>
      <c r="B2246" s="1" t="s">
        <v>2559</v>
      </c>
      <c r="C2246" t="s">
        <v>503</v>
      </c>
      <c r="D2246">
        <v>9</v>
      </c>
      <c r="E2246">
        <v>50</v>
      </c>
      <c r="F2246">
        <v>25</v>
      </c>
      <c r="G2246">
        <v>450</v>
      </c>
      <c r="H2246" s="4">
        <v>225</v>
      </c>
      <c r="I2246" s="4">
        <v>225</v>
      </c>
      <c r="J2246" t="s">
        <v>686</v>
      </c>
      <c r="K2246" t="s">
        <v>86</v>
      </c>
      <c r="L2246" s="4">
        <v>8.1595626482464514</v>
      </c>
      <c r="M2246" s="1" t="s">
        <v>38</v>
      </c>
      <c r="N2246" s="11">
        <f t="shared" si="35"/>
        <v>5</v>
      </c>
    </row>
    <row r="2247" spans="1:14" ht="16" x14ac:dyDescent="0.2">
      <c r="A2247" s="3">
        <v>43610.829706590244</v>
      </c>
      <c r="B2247" s="1" t="s">
        <v>1383</v>
      </c>
      <c r="C2247" t="s">
        <v>248</v>
      </c>
      <c r="D2247">
        <v>10</v>
      </c>
      <c r="E2247">
        <v>132</v>
      </c>
      <c r="F2247">
        <v>44</v>
      </c>
      <c r="G2247">
        <v>1320</v>
      </c>
      <c r="H2247" s="4">
        <v>440</v>
      </c>
      <c r="I2247" s="4">
        <v>880</v>
      </c>
      <c r="J2247" t="s">
        <v>202</v>
      </c>
      <c r="K2247" t="s">
        <v>58</v>
      </c>
      <c r="L2247" s="4">
        <v>13.765798454641494</v>
      </c>
      <c r="M2247" s="1" t="s">
        <v>38</v>
      </c>
      <c r="N2247" s="11">
        <f t="shared" si="35"/>
        <v>5</v>
      </c>
    </row>
    <row r="2248" spans="1:14" ht="16" x14ac:dyDescent="0.2">
      <c r="A2248" s="3">
        <v>43798.431581497454</v>
      </c>
      <c r="B2248" s="1" t="s">
        <v>2560</v>
      </c>
      <c r="C2248" t="s">
        <v>101</v>
      </c>
      <c r="D2248">
        <v>1</v>
      </c>
      <c r="E2248">
        <v>50</v>
      </c>
      <c r="F2248">
        <v>25</v>
      </c>
      <c r="G2248">
        <v>50</v>
      </c>
      <c r="H2248" s="4">
        <v>25</v>
      </c>
      <c r="I2248" s="4">
        <v>25</v>
      </c>
      <c r="J2248" t="s">
        <v>416</v>
      </c>
      <c r="K2248" t="s">
        <v>58</v>
      </c>
      <c r="L2248" s="4">
        <v>12.399050786131125</v>
      </c>
      <c r="M2248" s="1" t="s">
        <v>54</v>
      </c>
      <c r="N2248" s="11">
        <f t="shared" si="35"/>
        <v>10</v>
      </c>
    </row>
    <row r="2249" spans="1:14" ht="16" x14ac:dyDescent="0.2">
      <c r="A2249" s="3">
        <v>44804.104440137067</v>
      </c>
      <c r="B2249" s="1" t="s">
        <v>2561</v>
      </c>
      <c r="C2249" t="s">
        <v>196</v>
      </c>
      <c r="D2249">
        <v>17</v>
      </c>
      <c r="E2249">
        <v>192</v>
      </c>
      <c r="F2249">
        <v>96</v>
      </c>
      <c r="G2249">
        <v>3264</v>
      </c>
      <c r="H2249" s="4">
        <v>1632</v>
      </c>
      <c r="I2249" s="4">
        <v>1632</v>
      </c>
      <c r="J2249" t="s">
        <v>580</v>
      </c>
      <c r="K2249" t="s">
        <v>58</v>
      </c>
      <c r="L2249" s="4">
        <v>14.66147716237918</v>
      </c>
      <c r="M2249" s="1" t="s">
        <v>34</v>
      </c>
      <c r="N2249" s="11">
        <f t="shared" si="35"/>
        <v>1</v>
      </c>
    </row>
    <row r="2250" spans="1:14" ht="16" x14ac:dyDescent="0.2">
      <c r="A2250" s="3">
        <v>43821.170619238241</v>
      </c>
      <c r="B2250" s="1" t="s">
        <v>2562</v>
      </c>
      <c r="C2250" t="s">
        <v>178</v>
      </c>
      <c r="D2250">
        <v>15</v>
      </c>
      <c r="E2250">
        <v>189</v>
      </c>
      <c r="F2250">
        <v>63</v>
      </c>
      <c r="G2250">
        <v>2835</v>
      </c>
      <c r="H2250" s="4">
        <v>945</v>
      </c>
      <c r="I2250" s="4">
        <v>1890</v>
      </c>
      <c r="J2250" t="s">
        <v>877</v>
      </c>
      <c r="K2250" t="s">
        <v>49</v>
      </c>
      <c r="L2250" s="4">
        <v>13.275355576494196</v>
      </c>
      <c r="M2250" s="1" t="s">
        <v>54</v>
      </c>
      <c r="N2250" s="11">
        <f t="shared" si="35"/>
        <v>10</v>
      </c>
    </row>
    <row r="2251" spans="1:14" ht="16" x14ac:dyDescent="0.2">
      <c r="A2251" s="3">
        <v>43901.741401406085</v>
      </c>
      <c r="B2251" s="1" t="s">
        <v>2563</v>
      </c>
      <c r="C2251" t="s">
        <v>286</v>
      </c>
      <c r="D2251">
        <v>1</v>
      </c>
      <c r="E2251">
        <v>34</v>
      </c>
      <c r="F2251">
        <v>17</v>
      </c>
      <c r="G2251">
        <v>34</v>
      </c>
      <c r="H2251" s="4">
        <v>17</v>
      </c>
      <c r="I2251" s="4">
        <v>17</v>
      </c>
      <c r="J2251" t="s">
        <v>426</v>
      </c>
      <c r="K2251" t="s">
        <v>53</v>
      </c>
      <c r="L2251" s="4">
        <v>13.923194761258239</v>
      </c>
      <c r="M2251" s="1" t="s">
        <v>38</v>
      </c>
      <c r="N2251" s="11">
        <f t="shared" si="35"/>
        <v>5</v>
      </c>
    </row>
    <row r="2252" spans="1:14" ht="16" x14ac:dyDescent="0.2">
      <c r="A2252" s="3">
        <v>44384.608152644287</v>
      </c>
      <c r="B2252" s="1" t="s">
        <v>2564</v>
      </c>
      <c r="C2252" t="s">
        <v>276</v>
      </c>
      <c r="D2252">
        <v>11</v>
      </c>
      <c r="E2252">
        <v>57</v>
      </c>
      <c r="F2252">
        <v>19</v>
      </c>
      <c r="G2252">
        <v>627</v>
      </c>
      <c r="H2252" s="4">
        <v>209</v>
      </c>
      <c r="I2252" s="4">
        <v>418</v>
      </c>
      <c r="J2252" t="s">
        <v>686</v>
      </c>
      <c r="K2252" t="s">
        <v>86</v>
      </c>
      <c r="L2252" s="4">
        <v>8.1595626482464514</v>
      </c>
      <c r="M2252" s="1" t="s">
        <v>34</v>
      </c>
      <c r="N2252" s="11">
        <f t="shared" si="35"/>
        <v>1</v>
      </c>
    </row>
    <row r="2253" spans="1:14" ht="16" x14ac:dyDescent="0.2">
      <c r="A2253" s="3">
        <v>43861.209614868065</v>
      </c>
      <c r="B2253" s="1" t="s">
        <v>2565</v>
      </c>
      <c r="C2253" t="s">
        <v>337</v>
      </c>
      <c r="D2253">
        <v>8</v>
      </c>
      <c r="E2253">
        <v>135</v>
      </c>
      <c r="F2253">
        <v>45</v>
      </c>
      <c r="G2253">
        <v>1080</v>
      </c>
      <c r="H2253" s="4">
        <v>360</v>
      </c>
      <c r="I2253" s="4">
        <v>720</v>
      </c>
      <c r="J2253" t="s">
        <v>1671</v>
      </c>
      <c r="K2253" t="s">
        <v>86</v>
      </c>
      <c r="L2253" s="4">
        <v>15.239568994601312</v>
      </c>
      <c r="M2253" s="1" t="s">
        <v>38</v>
      </c>
      <c r="N2253" s="11">
        <f t="shared" si="35"/>
        <v>5</v>
      </c>
    </row>
    <row r="2254" spans="1:14" ht="16" x14ac:dyDescent="0.2">
      <c r="A2254" s="3">
        <v>43723.387319289061</v>
      </c>
      <c r="B2254" s="1" t="s">
        <v>2566</v>
      </c>
      <c r="C2254" t="s">
        <v>91</v>
      </c>
      <c r="D2254">
        <v>13</v>
      </c>
      <c r="E2254">
        <v>300</v>
      </c>
      <c r="F2254">
        <v>75</v>
      </c>
      <c r="G2254">
        <v>3900</v>
      </c>
      <c r="H2254" s="4">
        <v>975</v>
      </c>
      <c r="I2254" s="4">
        <v>2925</v>
      </c>
      <c r="J2254" t="s">
        <v>1042</v>
      </c>
      <c r="K2254" t="s">
        <v>58</v>
      </c>
      <c r="L2254" s="4">
        <v>10.588336269016523</v>
      </c>
      <c r="M2254" s="1" t="s">
        <v>38</v>
      </c>
      <c r="N2254" s="11">
        <f t="shared" si="35"/>
        <v>5</v>
      </c>
    </row>
    <row r="2255" spans="1:14" ht="16" x14ac:dyDescent="0.2">
      <c r="A2255" s="3">
        <v>43315.624907149133</v>
      </c>
      <c r="B2255" s="1" t="s">
        <v>2567</v>
      </c>
      <c r="C2255" t="s">
        <v>304</v>
      </c>
      <c r="D2255">
        <v>12</v>
      </c>
      <c r="E2255">
        <v>116</v>
      </c>
      <c r="F2255">
        <v>29</v>
      </c>
      <c r="G2255">
        <v>1392</v>
      </c>
      <c r="H2255" s="4">
        <v>348</v>
      </c>
      <c r="I2255" s="4">
        <v>1044</v>
      </c>
      <c r="J2255" t="s">
        <v>45</v>
      </c>
      <c r="K2255" t="s">
        <v>42</v>
      </c>
      <c r="L2255" s="4">
        <v>10.06992029407844</v>
      </c>
      <c r="M2255" s="1" t="s">
        <v>38</v>
      </c>
      <c r="N2255" s="11">
        <f t="shared" si="35"/>
        <v>5</v>
      </c>
    </row>
    <row r="2256" spans="1:14" ht="16" x14ac:dyDescent="0.2">
      <c r="A2256" s="3">
        <v>44018.88703131755</v>
      </c>
      <c r="B2256" s="1" t="s">
        <v>2568</v>
      </c>
      <c r="C2256" t="s">
        <v>209</v>
      </c>
      <c r="D2256">
        <v>7</v>
      </c>
      <c r="E2256">
        <v>150</v>
      </c>
      <c r="F2256">
        <v>75</v>
      </c>
      <c r="G2256">
        <v>1050</v>
      </c>
      <c r="H2256" s="4">
        <v>525</v>
      </c>
      <c r="I2256" s="4">
        <v>525</v>
      </c>
      <c r="J2256" t="s">
        <v>673</v>
      </c>
      <c r="K2256" t="s">
        <v>53</v>
      </c>
      <c r="L2256" s="4">
        <v>14.460020532456038</v>
      </c>
      <c r="M2256" s="1" t="s">
        <v>38</v>
      </c>
      <c r="N2256" s="11">
        <f t="shared" si="35"/>
        <v>5</v>
      </c>
    </row>
    <row r="2257" spans="1:14" ht="16" x14ac:dyDescent="0.2">
      <c r="A2257" s="3">
        <v>43975.81239389204</v>
      </c>
      <c r="B2257" s="1" t="s">
        <v>2569</v>
      </c>
      <c r="C2257" t="s">
        <v>139</v>
      </c>
      <c r="D2257">
        <v>3</v>
      </c>
      <c r="E2257">
        <v>320</v>
      </c>
      <c r="F2257">
        <v>80</v>
      </c>
      <c r="G2257">
        <v>960</v>
      </c>
      <c r="H2257" s="4">
        <v>240</v>
      </c>
      <c r="I2257" s="4">
        <v>720</v>
      </c>
      <c r="J2257" t="s">
        <v>401</v>
      </c>
      <c r="K2257" t="s">
        <v>58</v>
      </c>
      <c r="L2257" s="4">
        <v>11.394777319422785</v>
      </c>
      <c r="M2257" s="1" t="s">
        <v>54</v>
      </c>
      <c r="N2257" s="11">
        <f t="shared" si="35"/>
        <v>10</v>
      </c>
    </row>
    <row r="2258" spans="1:14" ht="16" x14ac:dyDescent="0.2">
      <c r="A2258" s="3">
        <v>43931.584552247332</v>
      </c>
      <c r="B2258" s="1" t="s">
        <v>2570</v>
      </c>
      <c r="C2258" t="s">
        <v>212</v>
      </c>
      <c r="D2258">
        <v>9</v>
      </c>
      <c r="E2258">
        <v>300</v>
      </c>
      <c r="F2258">
        <v>75</v>
      </c>
      <c r="G2258">
        <v>2700</v>
      </c>
      <c r="H2258" s="4">
        <v>675</v>
      </c>
      <c r="I2258" s="4">
        <v>2025</v>
      </c>
      <c r="J2258" t="s">
        <v>238</v>
      </c>
      <c r="K2258" t="s">
        <v>86</v>
      </c>
      <c r="L2258" s="4">
        <v>14.593670394271927</v>
      </c>
      <c r="M2258" s="1" t="s">
        <v>54</v>
      </c>
      <c r="N2258" s="11">
        <f t="shared" si="35"/>
        <v>10</v>
      </c>
    </row>
    <row r="2259" spans="1:14" ht="16" x14ac:dyDescent="0.2">
      <c r="A2259" s="3">
        <v>43699.756351101372</v>
      </c>
      <c r="B2259" s="1" t="s">
        <v>2571</v>
      </c>
      <c r="C2259" t="s">
        <v>297</v>
      </c>
      <c r="D2259">
        <v>18</v>
      </c>
      <c r="E2259">
        <v>108</v>
      </c>
      <c r="F2259">
        <v>36</v>
      </c>
      <c r="G2259">
        <v>1944</v>
      </c>
      <c r="H2259" s="4">
        <v>648</v>
      </c>
      <c r="I2259" s="4">
        <v>1296</v>
      </c>
      <c r="J2259" t="s">
        <v>329</v>
      </c>
      <c r="K2259" t="s">
        <v>33</v>
      </c>
      <c r="L2259" s="4">
        <v>12.545140403858928</v>
      </c>
      <c r="M2259" s="1" t="s">
        <v>54</v>
      </c>
      <c r="N2259" s="11">
        <f t="shared" si="35"/>
        <v>10</v>
      </c>
    </row>
    <row r="2260" spans="1:14" ht="16" x14ac:dyDescent="0.2">
      <c r="A2260" s="3">
        <v>44546.329059107651</v>
      </c>
      <c r="B2260" s="1" t="s">
        <v>2572</v>
      </c>
      <c r="C2260" t="s">
        <v>40</v>
      </c>
      <c r="D2260">
        <v>20</v>
      </c>
      <c r="E2260">
        <v>46</v>
      </c>
      <c r="F2260">
        <v>23</v>
      </c>
      <c r="G2260">
        <v>920</v>
      </c>
      <c r="H2260" s="4">
        <v>460</v>
      </c>
      <c r="I2260" s="4">
        <v>460</v>
      </c>
      <c r="J2260" t="s">
        <v>213</v>
      </c>
      <c r="K2260" t="s">
        <v>58</v>
      </c>
      <c r="L2260" s="4">
        <v>10.980884286450312</v>
      </c>
      <c r="M2260" s="1" t="s">
        <v>38</v>
      </c>
      <c r="N2260" s="11">
        <f t="shared" si="35"/>
        <v>5</v>
      </c>
    </row>
    <row r="2261" spans="1:14" ht="16" x14ac:dyDescent="0.2">
      <c r="A2261" s="3">
        <v>43823.359681738701</v>
      </c>
      <c r="B2261" s="1" t="s">
        <v>2573</v>
      </c>
      <c r="C2261" t="s">
        <v>304</v>
      </c>
      <c r="D2261">
        <v>5</v>
      </c>
      <c r="E2261">
        <v>116</v>
      </c>
      <c r="F2261">
        <v>29</v>
      </c>
      <c r="G2261">
        <v>580</v>
      </c>
      <c r="H2261" s="4">
        <v>145</v>
      </c>
      <c r="I2261" s="4">
        <v>435</v>
      </c>
      <c r="J2261" t="s">
        <v>825</v>
      </c>
      <c r="K2261" t="s">
        <v>42</v>
      </c>
      <c r="L2261" s="4">
        <v>14.060995290679429</v>
      </c>
      <c r="M2261" s="1" t="s">
        <v>34</v>
      </c>
      <c r="N2261" s="11">
        <f t="shared" si="35"/>
        <v>1</v>
      </c>
    </row>
    <row r="2262" spans="1:14" ht="16" x14ac:dyDescent="0.2">
      <c r="A2262" s="3">
        <v>43946.817649633049</v>
      </c>
      <c r="B2262" s="1" t="s">
        <v>2574</v>
      </c>
      <c r="C2262" t="s">
        <v>113</v>
      </c>
      <c r="D2262">
        <v>19</v>
      </c>
      <c r="E2262">
        <v>66</v>
      </c>
      <c r="F2262">
        <v>33</v>
      </c>
      <c r="G2262">
        <v>1254</v>
      </c>
      <c r="H2262" s="4">
        <v>627</v>
      </c>
      <c r="I2262" s="4">
        <v>627</v>
      </c>
      <c r="J2262" t="s">
        <v>504</v>
      </c>
      <c r="K2262" t="s">
        <v>53</v>
      </c>
      <c r="L2262" s="4">
        <v>12.801144805697081</v>
      </c>
      <c r="M2262" s="1" t="s">
        <v>38</v>
      </c>
      <c r="N2262" s="11">
        <f t="shared" si="35"/>
        <v>5</v>
      </c>
    </row>
    <row r="2263" spans="1:14" ht="16" x14ac:dyDescent="0.2">
      <c r="A2263" s="3">
        <v>43494.508400351617</v>
      </c>
      <c r="B2263" s="1" t="s">
        <v>326</v>
      </c>
      <c r="C2263" t="s">
        <v>193</v>
      </c>
      <c r="D2263">
        <v>17</v>
      </c>
      <c r="E2263">
        <v>348</v>
      </c>
      <c r="F2263">
        <v>87</v>
      </c>
      <c r="G2263">
        <v>5916</v>
      </c>
      <c r="H2263" s="4">
        <v>1479</v>
      </c>
      <c r="I2263" s="4">
        <v>4437</v>
      </c>
      <c r="J2263" t="s">
        <v>707</v>
      </c>
      <c r="K2263" t="s">
        <v>49</v>
      </c>
      <c r="L2263" s="4">
        <v>11.779256317174871</v>
      </c>
      <c r="M2263" s="1" t="s">
        <v>38</v>
      </c>
      <c r="N2263" s="11">
        <f t="shared" si="35"/>
        <v>5</v>
      </c>
    </row>
    <row r="2264" spans="1:14" ht="16" x14ac:dyDescent="0.2">
      <c r="A2264" s="3">
        <v>44256.288909816387</v>
      </c>
      <c r="B2264" s="1" t="s">
        <v>2575</v>
      </c>
      <c r="C2264" t="s">
        <v>51</v>
      </c>
      <c r="D2264">
        <v>7</v>
      </c>
      <c r="E2264">
        <v>160</v>
      </c>
      <c r="F2264">
        <v>80</v>
      </c>
      <c r="G2264">
        <v>1120</v>
      </c>
      <c r="H2264" s="4">
        <v>560</v>
      </c>
      <c r="I2264" s="4">
        <v>560</v>
      </c>
      <c r="J2264" t="s">
        <v>752</v>
      </c>
      <c r="K2264" t="s">
        <v>49</v>
      </c>
      <c r="L2264" s="4">
        <v>11.862005526237752</v>
      </c>
      <c r="M2264" s="1" t="s">
        <v>38</v>
      </c>
      <c r="N2264" s="11">
        <f t="shared" si="35"/>
        <v>5</v>
      </c>
    </row>
    <row r="2265" spans="1:14" ht="16" x14ac:dyDescent="0.2">
      <c r="A2265" s="3">
        <v>43361.899901641809</v>
      </c>
      <c r="B2265" s="1" t="s">
        <v>2576</v>
      </c>
      <c r="C2265" t="s">
        <v>163</v>
      </c>
      <c r="D2265">
        <v>11</v>
      </c>
      <c r="E2265">
        <v>108</v>
      </c>
      <c r="F2265">
        <v>36</v>
      </c>
      <c r="G2265">
        <v>1188</v>
      </c>
      <c r="H2265" s="4">
        <v>396</v>
      </c>
      <c r="I2265" s="4">
        <v>792</v>
      </c>
      <c r="J2265" t="s">
        <v>890</v>
      </c>
      <c r="K2265" t="s">
        <v>86</v>
      </c>
      <c r="L2265" s="4">
        <v>15.856807810268592</v>
      </c>
      <c r="M2265" s="1" t="s">
        <v>34</v>
      </c>
      <c r="N2265" s="11">
        <f t="shared" si="35"/>
        <v>1</v>
      </c>
    </row>
    <row r="2266" spans="1:14" ht="16" x14ac:dyDescent="0.2">
      <c r="A2266" s="3">
        <v>43880.255274515977</v>
      </c>
      <c r="B2266" s="1" t="s">
        <v>2577</v>
      </c>
      <c r="C2266" t="s">
        <v>304</v>
      </c>
      <c r="D2266">
        <v>9</v>
      </c>
      <c r="E2266">
        <v>116</v>
      </c>
      <c r="F2266">
        <v>29</v>
      </c>
      <c r="G2266">
        <v>1044</v>
      </c>
      <c r="H2266" s="4">
        <v>261</v>
      </c>
      <c r="I2266" s="4">
        <v>783</v>
      </c>
      <c r="J2266" t="s">
        <v>380</v>
      </c>
      <c r="K2266" t="s">
        <v>64</v>
      </c>
      <c r="L2266" s="4">
        <v>11.416048240262977</v>
      </c>
      <c r="M2266" s="1" t="s">
        <v>38</v>
      </c>
      <c r="N2266" s="11">
        <f t="shared" si="35"/>
        <v>5</v>
      </c>
    </row>
    <row r="2267" spans="1:14" ht="16" x14ac:dyDescent="0.2">
      <c r="A2267" s="3">
        <v>44363.121152816835</v>
      </c>
      <c r="B2267" s="1" t="s">
        <v>1657</v>
      </c>
      <c r="C2267" t="s">
        <v>252</v>
      </c>
      <c r="D2267">
        <v>3</v>
      </c>
      <c r="E2267">
        <v>252</v>
      </c>
      <c r="F2267">
        <v>63</v>
      </c>
      <c r="G2267">
        <v>756</v>
      </c>
      <c r="H2267" s="4">
        <v>189</v>
      </c>
      <c r="I2267" s="4">
        <v>567</v>
      </c>
      <c r="J2267" t="s">
        <v>542</v>
      </c>
      <c r="K2267" t="s">
        <v>58</v>
      </c>
      <c r="L2267" s="4">
        <v>13.929237493388955</v>
      </c>
      <c r="M2267" s="1" t="s">
        <v>38</v>
      </c>
      <c r="N2267" s="11">
        <f t="shared" si="35"/>
        <v>5</v>
      </c>
    </row>
    <row r="2268" spans="1:14" ht="16" x14ac:dyDescent="0.2">
      <c r="A2268" s="3">
        <v>43459.155540293694</v>
      </c>
      <c r="B2268" s="1" t="s">
        <v>2578</v>
      </c>
      <c r="C2268" t="s">
        <v>259</v>
      </c>
      <c r="D2268">
        <v>1</v>
      </c>
      <c r="E2268">
        <v>270</v>
      </c>
      <c r="F2268">
        <v>90</v>
      </c>
      <c r="G2268">
        <v>270</v>
      </c>
      <c r="H2268" s="4">
        <v>90</v>
      </c>
      <c r="I2268" s="4">
        <v>180</v>
      </c>
      <c r="J2268" t="s">
        <v>713</v>
      </c>
      <c r="K2268" t="s">
        <v>42</v>
      </c>
      <c r="L2268" s="4">
        <v>10.956589836772277</v>
      </c>
      <c r="M2268" s="1" t="s">
        <v>38</v>
      </c>
      <c r="N2268" s="11">
        <f t="shared" si="35"/>
        <v>5</v>
      </c>
    </row>
    <row r="2269" spans="1:14" ht="16" x14ac:dyDescent="0.2">
      <c r="A2269" s="3">
        <v>43859.586687100156</v>
      </c>
      <c r="B2269" s="1" t="s">
        <v>192</v>
      </c>
      <c r="C2269" t="s">
        <v>51</v>
      </c>
      <c r="D2269">
        <v>16</v>
      </c>
      <c r="E2269">
        <v>160</v>
      </c>
      <c r="F2269">
        <v>80</v>
      </c>
      <c r="G2269">
        <v>2560</v>
      </c>
      <c r="H2269" s="4">
        <v>1280</v>
      </c>
      <c r="I2269" s="4">
        <v>1280</v>
      </c>
      <c r="J2269" t="s">
        <v>408</v>
      </c>
      <c r="K2269" t="s">
        <v>42</v>
      </c>
      <c r="L2269" s="4">
        <v>9.1877733607656964</v>
      </c>
      <c r="M2269" s="1" t="s">
        <v>34</v>
      </c>
      <c r="N2269" s="11">
        <f t="shared" si="35"/>
        <v>1</v>
      </c>
    </row>
    <row r="2270" spans="1:14" ht="16" x14ac:dyDescent="0.2">
      <c r="A2270" s="3">
        <v>43932.971365340687</v>
      </c>
      <c r="B2270" s="1" t="s">
        <v>2579</v>
      </c>
      <c r="C2270" t="s">
        <v>544</v>
      </c>
      <c r="D2270">
        <v>6</v>
      </c>
      <c r="E2270">
        <v>267</v>
      </c>
      <c r="F2270">
        <v>89</v>
      </c>
      <c r="G2270">
        <v>1602</v>
      </c>
      <c r="H2270" s="4">
        <v>534</v>
      </c>
      <c r="I2270" s="4">
        <v>1068</v>
      </c>
      <c r="J2270" t="s">
        <v>877</v>
      </c>
      <c r="K2270" t="s">
        <v>49</v>
      </c>
      <c r="L2270" s="4">
        <v>13.275355576494196</v>
      </c>
      <c r="M2270" s="1" t="s">
        <v>54</v>
      </c>
      <c r="N2270" s="11">
        <f t="shared" si="35"/>
        <v>10</v>
      </c>
    </row>
    <row r="2271" spans="1:14" ht="16" x14ac:dyDescent="0.2">
      <c r="A2271" s="3">
        <v>44266.785658632478</v>
      </c>
      <c r="B2271" s="1" t="s">
        <v>2580</v>
      </c>
      <c r="C2271" t="s">
        <v>399</v>
      </c>
      <c r="D2271">
        <v>4</v>
      </c>
      <c r="E2271">
        <v>160</v>
      </c>
      <c r="F2271">
        <v>80</v>
      </c>
      <c r="G2271">
        <v>640</v>
      </c>
      <c r="H2271" s="4">
        <v>320</v>
      </c>
      <c r="I2271" s="4">
        <v>320</v>
      </c>
      <c r="J2271" t="s">
        <v>446</v>
      </c>
      <c r="K2271" t="s">
        <v>53</v>
      </c>
      <c r="L2271" s="4">
        <v>12.85215703546821</v>
      </c>
      <c r="M2271" s="1" t="s">
        <v>38</v>
      </c>
      <c r="N2271" s="11">
        <f t="shared" si="35"/>
        <v>5</v>
      </c>
    </row>
    <row r="2272" spans="1:14" ht="16" x14ac:dyDescent="0.2">
      <c r="A2272" s="3">
        <v>43640.363739084169</v>
      </c>
      <c r="B2272" s="1" t="s">
        <v>2581</v>
      </c>
      <c r="C2272" t="s">
        <v>312</v>
      </c>
      <c r="D2272">
        <v>4</v>
      </c>
      <c r="E2272">
        <v>240</v>
      </c>
      <c r="F2272">
        <v>80</v>
      </c>
      <c r="G2272">
        <v>960</v>
      </c>
      <c r="H2272" s="4">
        <v>320</v>
      </c>
      <c r="I2272" s="4">
        <v>640</v>
      </c>
      <c r="J2272" t="s">
        <v>207</v>
      </c>
      <c r="K2272" t="s">
        <v>42</v>
      </c>
      <c r="L2272" s="4">
        <v>12.177709716438097</v>
      </c>
      <c r="M2272" s="1" t="s">
        <v>34</v>
      </c>
      <c r="N2272" s="11">
        <f t="shared" si="35"/>
        <v>1</v>
      </c>
    </row>
    <row r="2273" spans="1:14" ht="16" x14ac:dyDescent="0.2">
      <c r="A2273" s="3">
        <v>44976.543874916315</v>
      </c>
      <c r="B2273" s="1" t="s">
        <v>2582</v>
      </c>
      <c r="C2273" t="s">
        <v>178</v>
      </c>
      <c r="D2273">
        <v>17</v>
      </c>
      <c r="E2273">
        <v>189</v>
      </c>
      <c r="F2273">
        <v>63</v>
      </c>
      <c r="G2273">
        <v>3213</v>
      </c>
      <c r="H2273" s="4">
        <v>1071</v>
      </c>
      <c r="I2273" s="4">
        <v>2142</v>
      </c>
      <c r="J2273" t="s">
        <v>613</v>
      </c>
      <c r="K2273" t="s">
        <v>86</v>
      </c>
      <c r="L2273" s="4">
        <v>8.8169309002713945</v>
      </c>
      <c r="M2273" s="1" t="s">
        <v>38</v>
      </c>
      <c r="N2273" s="11">
        <f t="shared" si="35"/>
        <v>5</v>
      </c>
    </row>
    <row r="2274" spans="1:14" ht="16" x14ac:dyDescent="0.2">
      <c r="A2274" s="3">
        <v>43939.071344354954</v>
      </c>
      <c r="B2274" s="1" t="s">
        <v>2583</v>
      </c>
      <c r="C2274" t="s">
        <v>607</v>
      </c>
      <c r="D2274">
        <v>16</v>
      </c>
      <c r="E2274">
        <v>225</v>
      </c>
      <c r="F2274">
        <v>75</v>
      </c>
      <c r="G2274">
        <v>3600</v>
      </c>
      <c r="H2274" s="4">
        <v>1200</v>
      </c>
      <c r="I2274" s="4">
        <v>2400</v>
      </c>
      <c r="J2274" t="s">
        <v>986</v>
      </c>
      <c r="K2274" t="s">
        <v>86</v>
      </c>
      <c r="L2274" s="4">
        <v>12.392787515215366</v>
      </c>
      <c r="M2274" s="1" t="s">
        <v>34</v>
      </c>
      <c r="N2274" s="11">
        <f t="shared" si="35"/>
        <v>1</v>
      </c>
    </row>
    <row r="2275" spans="1:14" ht="16" x14ac:dyDescent="0.2">
      <c r="A2275" s="3">
        <v>44045.03161948936</v>
      </c>
      <c r="B2275" s="1" t="s">
        <v>2584</v>
      </c>
      <c r="C2275" t="s">
        <v>40</v>
      </c>
      <c r="D2275">
        <v>9</v>
      </c>
      <c r="E2275">
        <v>46</v>
      </c>
      <c r="F2275">
        <v>23</v>
      </c>
      <c r="G2275">
        <v>414</v>
      </c>
      <c r="H2275" s="4">
        <v>207</v>
      </c>
      <c r="I2275" s="4">
        <v>207</v>
      </c>
      <c r="J2275" t="s">
        <v>89</v>
      </c>
      <c r="K2275" t="s">
        <v>64</v>
      </c>
      <c r="L2275" s="4">
        <v>12.865074657680612</v>
      </c>
      <c r="M2275" s="1" t="s">
        <v>38</v>
      </c>
      <c r="N2275" s="11">
        <f t="shared" si="35"/>
        <v>5</v>
      </c>
    </row>
    <row r="2276" spans="1:14" ht="16" x14ac:dyDescent="0.2">
      <c r="A2276" s="3">
        <v>44641.378835591</v>
      </c>
      <c r="B2276" s="1" t="s">
        <v>2585</v>
      </c>
      <c r="C2276" t="s">
        <v>204</v>
      </c>
      <c r="D2276">
        <v>4</v>
      </c>
      <c r="E2276">
        <v>57</v>
      </c>
      <c r="F2276">
        <v>19</v>
      </c>
      <c r="G2276">
        <v>228</v>
      </c>
      <c r="H2276" s="4">
        <v>76</v>
      </c>
      <c r="I2276" s="4">
        <v>152</v>
      </c>
      <c r="J2276" t="s">
        <v>645</v>
      </c>
      <c r="K2276" t="s">
        <v>86</v>
      </c>
      <c r="L2276" s="4">
        <v>9.879282537628514</v>
      </c>
      <c r="M2276" s="1" t="s">
        <v>38</v>
      </c>
      <c r="N2276" s="11">
        <f t="shared" si="35"/>
        <v>5</v>
      </c>
    </row>
    <row r="2277" spans="1:14" ht="16" x14ac:dyDescent="0.2">
      <c r="A2277" s="3">
        <v>43230.721754584963</v>
      </c>
      <c r="B2277" s="1" t="s">
        <v>2479</v>
      </c>
      <c r="C2277" t="s">
        <v>375</v>
      </c>
      <c r="D2277">
        <v>19</v>
      </c>
      <c r="E2277">
        <v>360</v>
      </c>
      <c r="F2277">
        <v>90</v>
      </c>
      <c r="G2277">
        <v>6840</v>
      </c>
      <c r="H2277" s="4">
        <v>1710</v>
      </c>
      <c r="I2277" s="4">
        <v>5130</v>
      </c>
      <c r="J2277" t="s">
        <v>815</v>
      </c>
      <c r="K2277" t="s">
        <v>33</v>
      </c>
      <c r="L2277" s="4">
        <v>16.254955391951082</v>
      </c>
      <c r="M2277" s="1" t="s">
        <v>38</v>
      </c>
      <c r="N2277" s="11">
        <f t="shared" si="35"/>
        <v>5</v>
      </c>
    </row>
    <row r="2278" spans="1:14" ht="16" x14ac:dyDescent="0.2">
      <c r="A2278" s="3">
        <v>44146.943053407449</v>
      </c>
      <c r="B2278" s="1" t="s">
        <v>373</v>
      </c>
      <c r="C2278" t="s">
        <v>115</v>
      </c>
      <c r="D2278">
        <v>9</v>
      </c>
      <c r="E2278">
        <v>81</v>
      </c>
      <c r="F2278">
        <v>27</v>
      </c>
      <c r="G2278">
        <v>729</v>
      </c>
      <c r="H2278" s="4">
        <v>243</v>
      </c>
      <c r="I2278" s="4">
        <v>486</v>
      </c>
      <c r="J2278" t="s">
        <v>733</v>
      </c>
      <c r="K2278" t="s">
        <v>53</v>
      </c>
      <c r="L2278" s="4">
        <v>16.148992525516267</v>
      </c>
      <c r="M2278" s="1" t="s">
        <v>34</v>
      </c>
      <c r="N2278" s="11">
        <f t="shared" si="35"/>
        <v>1</v>
      </c>
    </row>
    <row r="2279" spans="1:14" ht="16" x14ac:dyDescent="0.2">
      <c r="A2279" s="3">
        <v>43219.775742973194</v>
      </c>
      <c r="B2279" s="1" t="s">
        <v>2586</v>
      </c>
      <c r="C2279" t="s">
        <v>84</v>
      </c>
      <c r="D2279">
        <v>1</v>
      </c>
      <c r="E2279">
        <v>126</v>
      </c>
      <c r="F2279">
        <v>42</v>
      </c>
      <c r="G2279">
        <v>126</v>
      </c>
      <c r="H2279" s="4">
        <v>42</v>
      </c>
      <c r="I2279" s="4">
        <v>84</v>
      </c>
      <c r="J2279" t="s">
        <v>1129</v>
      </c>
      <c r="K2279" t="s">
        <v>33</v>
      </c>
      <c r="L2279" s="4">
        <v>10.585251392347548</v>
      </c>
      <c r="M2279" s="1" t="s">
        <v>54</v>
      </c>
      <c r="N2279" s="11">
        <f t="shared" si="35"/>
        <v>10</v>
      </c>
    </row>
    <row r="2280" spans="1:14" ht="16" x14ac:dyDescent="0.2">
      <c r="A2280" s="3">
        <v>43569.418659004965</v>
      </c>
      <c r="B2280" s="1" t="s">
        <v>2587</v>
      </c>
      <c r="C2280" t="s">
        <v>337</v>
      </c>
      <c r="D2280">
        <v>2</v>
      </c>
      <c r="E2280">
        <v>135</v>
      </c>
      <c r="F2280">
        <v>45</v>
      </c>
      <c r="G2280">
        <v>270</v>
      </c>
      <c r="H2280" s="4">
        <v>90</v>
      </c>
      <c r="I2280" s="4">
        <v>180</v>
      </c>
      <c r="J2280" t="s">
        <v>363</v>
      </c>
      <c r="K2280" t="s">
        <v>64</v>
      </c>
      <c r="L2280" s="4">
        <v>14.690198582365463</v>
      </c>
      <c r="M2280" s="1" t="s">
        <v>54</v>
      </c>
      <c r="N2280" s="11">
        <f t="shared" si="35"/>
        <v>10</v>
      </c>
    </row>
    <row r="2281" spans="1:14" ht="16" x14ac:dyDescent="0.2">
      <c r="A2281" s="3">
        <v>44663.91670944119</v>
      </c>
      <c r="B2281" s="1" t="s">
        <v>2588</v>
      </c>
      <c r="C2281" t="s">
        <v>125</v>
      </c>
      <c r="D2281">
        <v>11</v>
      </c>
      <c r="E2281">
        <v>176</v>
      </c>
      <c r="F2281">
        <v>88</v>
      </c>
      <c r="G2281">
        <v>1936</v>
      </c>
      <c r="H2281" s="4">
        <v>968</v>
      </c>
      <c r="I2281" s="4">
        <v>968</v>
      </c>
      <c r="J2281" t="s">
        <v>219</v>
      </c>
      <c r="K2281" t="s">
        <v>49</v>
      </c>
      <c r="L2281" s="4">
        <v>13.697485557052493</v>
      </c>
      <c r="M2281" s="1" t="s">
        <v>54</v>
      </c>
      <c r="N2281" s="11">
        <f t="shared" si="35"/>
        <v>10</v>
      </c>
    </row>
    <row r="2282" spans="1:14" ht="16" x14ac:dyDescent="0.2">
      <c r="A2282" s="3">
        <v>44652.715445017333</v>
      </c>
      <c r="B2282" s="1" t="s">
        <v>2589</v>
      </c>
      <c r="C2282" t="s">
        <v>243</v>
      </c>
      <c r="D2282">
        <v>4</v>
      </c>
      <c r="E2282">
        <v>90</v>
      </c>
      <c r="F2282">
        <v>45</v>
      </c>
      <c r="G2282">
        <v>360</v>
      </c>
      <c r="H2282" s="4">
        <v>180</v>
      </c>
      <c r="I2282" s="4">
        <v>180</v>
      </c>
      <c r="J2282" t="s">
        <v>854</v>
      </c>
      <c r="K2282" t="s">
        <v>58</v>
      </c>
      <c r="L2282" s="4">
        <v>12.990345718839325</v>
      </c>
      <c r="M2282" s="1" t="s">
        <v>38</v>
      </c>
      <c r="N2282" s="11">
        <f t="shared" si="35"/>
        <v>5</v>
      </c>
    </row>
    <row r="2283" spans="1:14" ht="16" x14ac:dyDescent="0.2">
      <c r="A2283" s="3">
        <v>44136.499906460311</v>
      </c>
      <c r="B2283" s="1" t="s">
        <v>2590</v>
      </c>
      <c r="C2283" t="s">
        <v>160</v>
      </c>
      <c r="D2283">
        <v>20</v>
      </c>
      <c r="E2283">
        <v>132</v>
      </c>
      <c r="F2283">
        <v>33</v>
      </c>
      <c r="G2283">
        <v>2640</v>
      </c>
      <c r="H2283" s="4">
        <v>660</v>
      </c>
      <c r="I2283" s="4">
        <v>1980</v>
      </c>
      <c r="J2283" t="s">
        <v>440</v>
      </c>
      <c r="K2283" t="s">
        <v>33</v>
      </c>
      <c r="L2283" s="4">
        <v>10.408704992688252</v>
      </c>
      <c r="M2283" s="1" t="s">
        <v>38</v>
      </c>
      <c r="N2283" s="11">
        <f t="shared" si="35"/>
        <v>5</v>
      </c>
    </row>
    <row r="2284" spans="1:14" ht="16" x14ac:dyDescent="0.2">
      <c r="A2284" s="3">
        <v>43323.821363126968</v>
      </c>
      <c r="B2284" s="1" t="s">
        <v>2591</v>
      </c>
      <c r="C2284" t="s">
        <v>243</v>
      </c>
      <c r="D2284">
        <v>18</v>
      </c>
      <c r="E2284">
        <v>90</v>
      </c>
      <c r="F2284">
        <v>45</v>
      </c>
      <c r="G2284">
        <v>1620</v>
      </c>
      <c r="H2284" s="4">
        <v>810</v>
      </c>
      <c r="I2284" s="4">
        <v>810</v>
      </c>
      <c r="J2284" t="s">
        <v>1343</v>
      </c>
      <c r="K2284" t="s">
        <v>49</v>
      </c>
      <c r="L2284" s="4">
        <v>9.1264071155960682</v>
      </c>
      <c r="M2284" s="1" t="s">
        <v>54</v>
      </c>
      <c r="N2284" s="11">
        <f t="shared" si="35"/>
        <v>10</v>
      </c>
    </row>
    <row r="2285" spans="1:14" ht="16" x14ac:dyDescent="0.2">
      <c r="A2285" s="3">
        <v>43975.393851368994</v>
      </c>
      <c r="B2285" s="1" t="s">
        <v>2592</v>
      </c>
      <c r="C2285" t="s">
        <v>91</v>
      </c>
      <c r="D2285">
        <v>11</v>
      </c>
      <c r="E2285">
        <v>300</v>
      </c>
      <c r="F2285">
        <v>75</v>
      </c>
      <c r="G2285">
        <v>3300</v>
      </c>
      <c r="H2285" s="4">
        <v>825</v>
      </c>
      <c r="I2285" s="4">
        <v>2475</v>
      </c>
      <c r="J2285" t="s">
        <v>1136</v>
      </c>
      <c r="K2285" t="s">
        <v>49</v>
      </c>
      <c r="L2285" s="4">
        <v>14.129095302641241</v>
      </c>
      <c r="M2285" s="1" t="s">
        <v>34</v>
      </c>
      <c r="N2285" s="11">
        <f t="shared" si="35"/>
        <v>1</v>
      </c>
    </row>
    <row r="2286" spans="1:14" ht="16" x14ac:dyDescent="0.2">
      <c r="A2286" s="3">
        <v>43700.868082276866</v>
      </c>
      <c r="B2286" s="1" t="s">
        <v>2593</v>
      </c>
      <c r="C2286" t="s">
        <v>375</v>
      </c>
      <c r="D2286">
        <v>8</v>
      </c>
      <c r="E2286">
        <v>360</v>
      </c>
      <c r="F2286">
        <v>90</v>
      </c>
      <c r="G2286">
        <v>2880</v>
      </c>
      <c r="H2286" s="4">
        <v>720</v>
      </c>
      <c r="I2286" s="4">
        <v>2160</v>
      </c>
      <c r="J2286" t="s">
        <v>958</v>
      </c>
      <c r="K2286" t="s">
        <v>58</v>
      </c>
      <c r="L2286" s="4">
        <v>9.1591412531773226</v>
      </c>
      <c r="M2286" s="1" t="s">
        <v>38</v>
      </c>
      <c r="N2286" s="11">
        <f t="shared" si="35"/>
        <v>5</v>
      </c>
    </row>
    <row r="2287" spans="1:14" ht="16" x14ac:dyDescent="0.2">
      <c r="A2287" s="3">
        <v>44814.393714800826</v>
      </c>
      <c r="B2287" s="1" t="s">
        <v>2594</v>
      </c>
      <c r="C2287" t="s">
        <v>583</v>
      </c>
      <c r="D2287">
        <v>19</v>
      </c>
      <c r="E2287">
        <v>57</v>
      </c>
      <c r="F2287">
        <v>19</v>
      </c>
      <c r="G2287">
        <v>1083</v>
      </c>
      <c r="H2287" s="4">
        <v>361</v>
      </c>
      <c r="I2287" s="4">
        <v>722</v>
      </c>
      <c r="J2287" t="s">
        <v>1401</v>
      </c>
      <c r="K2287" t="s">
        <v>58</v>
      </c>
      <c r="L2287" s="4">
        <v>11.0700865530371</v>
      </c>
      <c r="M2287" s="1" t="s">
        <v>34</v>
      </c>
      <c r="N2287" s="11">
        <f t="shared" si="35"/>
        <v>1</v>
      </c>
    </row>
    <row r="2288" spans="1:14" ht="16" x14ac:dyDescent="0.2">
      <c r="A2288" s="3">
        <v>44432.709746008892</v>
      </c>
      <c r="B2288" s="1" t="s">
        <v>2595</v>
      </c>
      <c r="C2288" t="s">
        <v>399</v>
      </c>
      <c r="D2288">
        <v>8</v>
      </c>
      <c r="E2288">
        <v>160</v>
      </c>
      <c r="F2288">
        <v>80</v>
      </c>
      <c r="G2288">
        <v>1280</v>
      </c>
      <c r="H2288" s="4">
        <v>640</v>
      </c>
      <c r="I2288" s="4">
        <v>640</v>
      </c>
      <c r="J2288" t="s">
        <v>348</v>
      </c>
      <c r="K2288" t="s">
        <v>42</v>
      </c>
      <c r="L2288" s="4">
        <v>11.769293993029555</v>
      </c>
      <c r="M2288" s="1" t="s">
        <v>34</v>
      </c>
      <c r="N2288" s="11">
        <f t="shared" si="35"/>
        <v>1</v>
      </c>
    </row>
    <row r="2289" spans="1:14" ht="16" x14ac:dyDescent="0.2">
      <c r="A2289" s="3">
        <v>43647.19214598729</v>
      </c>
      <c r="B2289" s="1" t="s">
        <v>2596</v>
      </c>
      <c r="C2289" t="s">
        <v>56</v>
      </c>
      <c r="D2289">
        <v>18</v>
      </c>
      <c r="E2289">
        <v>38</v>
      </c>
      <c r="F2289">
        <v>19</v>
      </c>
      <c r="G2289">
        <v>684</v>
      </c>
      <c r="H2289" s="4">
        <v>342</v>
      </c>
      <c r="I2289" s="4">
        <v>342</v>
      </c>
      <c r="J2289" t="s">
        <v>116</v>
      </c>
      <c r="K2289" t="s">
        <v>64</v>
      </c>
      <c r="L2289" s="4">
        <v>14.697745043716761</v>
      </c>
      <c r="M2289" s="1" t="s">
        <v>34</v>
      </c>
      <c r="N2289" s="11">
        <f t="shared" si="35"/>
        <v>1</v>
      </c>
    </row>
    <row r="2290" spans="1:14" ht="16" x14ac:dyDescent="0.2">
      <c r="A2290" s="3">
        <v>43758.395811163697</v>
      </c>
      <c r="B2290" s="1" t="s">
        <v>2597</v>
      </c>
      <c r="C2290" t="s">
        <v>47</v>
      </c>
      <c r="D2290">
        <v>9</v>
      </c>
      <c r="E2290">
        <v>231</v>
      </c>
      <c r="F2290">
        <v>77</v>
      </c>
      <c r="G2290">
        <v>2079</v>
      </c>
      <c r="H2290" s="4">
        <v>693</v>
      </c>
      <c r="I2290" s="4">
        <v>1386</v>
      </c>
      <c r="J2290" t="s">
        <v>270</v>
      </c>
      <c r="K2290" t="s">
        <v>42</v>
      </c>
      <c r="L2290" s="4">
        <v>12.661538237835474</v>
      </c>
      <c r="M2290" s="1" t="s">
        <v>38</v>
      </c>
      <c r="N2290" s="11">
        <f t="shared" si="35"/>
        <v>5</v>
      </c>
    </row>
    <row r="2291" spans="1:14" ht="16" x14ac:dyDescent="0.2">
      <c r="A2291" s="3">
        <v>43781.018435498183</v>
      </c>
      <c r="B2291" s="1" t="s">
        <v>2598</v>
      </c>
      <c r="C2291" t="s">
        <v>328</v>
      </c>
      <c r="D2291">
        <v>8</v>
      </c>
      <c r="E2291">
        <v>124</v>
      </c>
      <c r="F2291">
        <v>62</v>
      </c>
      <c r="G2291">
        <v>992</v>
      </c>
      <c r="H2291" s="4">
        <v>496</v>
      </c>
      <c r="I2291" s="4">
        <v>496</v>
      </c>
      <c r="J2291" t="s">
        <v>795</v>
      </c>
      <c r="K2291" t="s">
        <v>49</v>
      </c>
      <c r="L2291" s="4">
        <v>11.661237375491201</v>
      </c>
      <c r="M2291" s="1" t="s">
        <v>54</v>
      </c>
      <c r="N2291" s="11">
        <f t="shared" si="35"/>
        <v>10</v>
      </c>
    </row>
    <row r="2292" spans="1:14" ht="16" x14ac:dyDescent="0.2">
      <c r="A2292" s="3">
        <v>43390.278907985754</v>
      </c>
      <c r="B2292" s="1" t="s">
        <v>2599</v>
      </c>
      <c r="C2292" t="s">
        <v>473</v>
      </c>
      <c r="D2292">
        <v>10</v>
      </c>
      <c r="E2292">
        <v>72</v>
      </c>
      <c r="F2292">
        <v>36</v>
      </c>
      <c r="G2292">
        <v>720</v>
      </c>
      <c r="H2292" s="4">
        <v>360</v>
      </c>
      <c r="I2292" s="4">
        <v>360</v>
      </c>
      <c r="J2292" t="s">
        <v>183</v>
      </c>
      <c r="K2292" t="s">
        <v>58</v>
      </c>
      <c r="L2292" s="4">
        <v>11.939773463335372</v>
      </c>
      <c r="M2292" s="1" t="s">
        <v>38</v>
      </c>
      <c r="N2292" s="11">
        <f t="shared" si="35"/>
        <v>5</v>
      </c>
    </row>
    <row r="2293" spans="1:14" ht="16" x14ac:dyDescent="0.2">
      <c r="A2293" s="3">
        <v>44771.888331114067</v>
      </c>
      <c r="B2293" s="1" t="s">
        <v>2600</v>
      </c>
      <c r="C2293" t="s">
        <v>69</v>
      </c>
      <c r="D2293">
        <v>9</v>
      </c>
      <c r="E2293">
        <v>184</v>
      </c>
      <c r="F2293">
        <v>92</v>
      </c>
      <c r="G2293">
        <v>1656</v>
      </c>
      <c r="H2293" s="4">
        <v>828</v>
      </c>
      <c r="I2293" s="4">
        <v>828</v>
      </c>
      <c r="J2293" t="s">
        <v>131</v>
      </c>
      <c r="K2293" t="s">
        <v>33</v>
      </c>
      <c r="L2293" s="4">
        <v>12.844063202784817</v>
      </c>
      <c r="M2293" s="1" t="s">
        <v>38</v>
      </c>
      <c r="N2293" s="11">
        <f t="shared" si="35"/>
        <v>5</v>
      </c>
    </row>
    <row r="2294" spans="1:14" ht="16" x14ac:dyDescent="0.2">
      <c r="A2294" s="3">
        <v>43365.494756039028</v>
      </c>
      <c r="B2294" s="1" t="s">
        <v>2601</v>
      </c>
      <c r="C2294" t="s">
        <v>98</v>
      </c>
      <c r="D2294">
        <v>15</v>
      </c>
      <c r="E2294">
        <v>156</v>
      </c>
      <c r="F2294">
        <v>78</v>
      </c>
      <c r="G2294">
        <v>2340</v>
      </c>
      <c r="H2294" s="4">
        <v>1170</v>
      </c>
      <c r="I2294" s="4">
        <v>1170</v>
      </c>
      <c r="J2294" t="s">
        <v>1068</v>
      </c>
      <c r="K2294" t="s">
        <v>42</v>
      </c>
      <c r="L2294" s="4">
        <v>8.1352386075080023</v>
      </c>
      <c r="M2294" s="1" t="s">
        <v>54</v>
      </c>
      <c r="N2294" s="11">
        <f t="shared" si="35"/>
        <v>10</v>
      </c>
    </row>
    <row r="2295" spans="1:14" ht="16" x14ac:dyDescent="0.2">
      <c r="A2295" s="3">
        <v>43337.710490315054</v>
      </c>
      <c r="B2295" s="1" t="s">
        <v>2602</v>
      </c>
      <c r="C2295" t="s">
        <v>420</v>
      </c>
      <c r="D2295">
        <v>6</v>
      </c>
      <c r="E2295">
        <v>162</v>
      </c>
      <c r="F2295">
        <v>54</v>
      </c>
      <c r="G2295">
        <v>972</v>
      </c>
      <c r="H2295" s="4">
        <v>324</v>
      </c>
      <c r="I2295" s="4">
        <v>648</v>
      </c>
      <c r="J2295" t="s">
        <v>376</v>
      </c>
      <c r="K2295" t="s">
        <v>86</v>
      </c>
      <c r="L2295" s="4">
        <v>11.655355879643379</v>
      </c>
      <c r="M2295" s="1" t="s">
        <v>34</v>
      </c>
      <c r="N2295" s="11">
        <f t="shared" si="35"/>
        <v>1</v>
      </c>
    </row>
    <row r="2296" spans="1:14" ht="16" x14ac:dyDescent="0.2">
      <c r="A2296" s="3">
        <v>43731.541288211796</v>
      </c>
      <c r="B2296" s="1" t="s">
        <v>2603</v>
      </c>
      <c r="C2296" t="s">
        <v>81</v>
      </c>
      <c r="D2296">
        <v>7</v>
      </c>
      <c r="E2296">
        <v>166</v>
      </c>
      <c r="F2296">
        <v>83</v>
      </c>
      <c r="G2296">
        <v>1162</v>
      </c>
      <c r="H2296" s="4">
        <v>581</v>
      </c>
      <c r="I2296" s="4">
        <v>581</v>
      </c>
      <c r="J2296" t="s">
        <v>236</v>
      </c>
      <c r="K2296" t="s">
        <v>53</v>
      </c>
      <c r="L2296" s="4">
        <v>9.3014286057233697</v>
      </c>
      <c r="M2296" s="1" t="s">
        <v>38</v>
      </c>
      <c r="N2296" s="11">
        <f t="shared" si="35"/>
        <v>5</v>
      </c>
    </row>
    <row r="2297" spans="1:14" ht="16" x14ac:dyDescent="0.2">
      <c r="A2297" s="3">
        <v>43823.83239661291</v>
      </c>
      <c r="B2297" s="1" t="s">
        <v>2223</v>
      </c>
      <c r="C2297" t="s">
        <v>201</v>
      </c>
      <c r="D2297">
        <v>6</v>
      </c>
      <c r="E2297">
        <v>30</v>
      </c>
      <c r="F2297">
        <v>15</v>
      </c>
      <c r="G2297">
        <v>180</v>
      </c>
      <c r="H2297" s="4">
        <v>90</v>
      </c>
      <c r="I2297" s="4">
        <v>90</v>
      </c>
      <c r="J2297" t="s">
        <v>387</v>
      </c>
      <c r="K2297" t="s">
        <v>86</v>
      </c>
      <c r="L2297" s="4">
        <v>15.60430546146185</v>
      </c>
      <c r="M2297" s="1" t="s">
        <v>38</v>
      </c>
      <c r="N2297" s="11">
        <f t="shared" si="35"/>
        <v>5</v>
      </c>
    </row>
    <row r="2298" spans="1:14" ht="16" x14ac:dyDescent="0.2">
      <c r="A2298" s="3">
        <v>44092.024355140871</v>
      </c>
      <c r="B2298" s="1" t="s">
        <v>1348</v>
      </c>
      <c r="C2298" t="s">
        <v>36</v>
      </c>
      <c r="D2298">
        <v>3</v>
      </c>
      <c r="E2298">
        <v>102</v>
      </c>
      <c r="F2298">
        <v>51</v>
      </c>
      <c r="G2298">
        <v>306</v>
      </c>
      <c r="H2298" s="4">
        <v>153</v>
      </c>
      <c r="I2298" s="4">
        <v>153</v>
      </c>
      <c r="J2298" t="s">
        <v>205</v>
      </c>
      <c r="K2298" t="s">
        <v>33</v>
      </c>
      <c r="L2298" s="4">
        <v>12.007834550770397</v>
      </c>
      <c r="M2298" s="1" t="s">
        <v>38</v>
      </c>
      <c r="N2298" s="11">
        <f t="shared" si="35"/>
        <v>5</v>
      </c>
    </row>
    <row r="2299" spans="1:14" ht="16" x14ac:dyDescent="0.2">
      <c r="A2299" s="3">
        <v>43890.138711415406</v>
      </c>
      <c r="B2299" s="1" t="s">
        <v>2604</v>
      </c>
      <c r="C2299" t="s">
        <v>328</v>
      </c>
      <c r="D2299">
        <v>4</v>
      </c>
      <c r="E2299">
        <v>124</v>
      </c>
      <c r="F2299">
        <v>62</v>
      </c>
      <c r="G2299">
        <v>496</v>
      </c>
      <c r="H2299" s="4">
        <v>248</v>
      </c>
      <c r="I2299" s="4">
        <v>248</v>
      </c>
      <c r="J2299" t="s">
        <v>980</v>
      </c>
      <c r="K2299" t="s">
        <v>33</v>
      </c>
      <c r="L2299" s="4">
        <v>8.1743378387804331</v>
      </c>
      <c r="M2299" s="1" t="s">
        <v>38</v>
      </c>
      <c r="N2299" s="11">
        <f t="shared" si="35"/>
        <v>5</v>
      </c>
    </row>
    <row r="2300" spans="1:14" ht="16" x14ac:dyDescent="0.2">
      <c r="A2300" s="3">
        <v>43668.805214489104</v>
      </c>
      <c r="B2300" s="1" t="s">
        <v>2605</v>
      </c>
      <c r="C2300" t="s">
        <v>261</v>
      </c>
      <c r="D2300">
        <v>17</v>
      </c>
      <c r="E2300">
        <v>92</v>
      </c>
      <c r="F2300">
        <v>46</v>
      </c>
      <c r="G2300">
        <v>1564</v>
      </c>
      <c r="H2300" s="4">
        <v>782</v>
      </c>
      <c r="I2300" s="4">
        <v>782</v>
      </c>
      <c r="J2300" t="s">
        <v>914</v>
      </c>
      <c r="K2300" t="s">
        <v>42</v>
      </c>
      <c r="L2300" s="4">
        <v>13.853438793083487</v>
      </c>
      <c r="M2300" s="1" t="s">
        <v>38</v>
      </c>
      <c r="N2300" s="11">
        <f t="shared" si="35"/>
        <v>5</v>
      </c>
    </row>
    <row r="2301" spans="1:14" ht="16" x14ac:dyDescent="0.2">
      <c r="A2301" s="3">
        <v>43760.226929805613</v>
      </c>
      <c r="B2301" s="1" t="s">
        <v>308</v>
      </c>
      <c r="C2301" t="s">
        <v>297</v>
      </c>
      <c r="D2301">
        <v>11</v>
      </c>
      <c r="E2301">
        <v>108</v>
      </c>
      <c r="F2301">
        <v>36</v>
      </c>
      <c r="G2301">
        <v>1188</v>
      </c>
      <c r="H2301" s="4">
        <v>396</v>
      </c>
      <c r="I2301" s="4">
        <v>792</v>
      </c>
      <c r="J2301" t="s">
        <v>506</v>
      </c>
      <c r="K2301" t="s">
        <v>33</v>
      </c>
      <c r="L2301" s="4">
        <v>13.917704159139552</v>
      </c>
      <c r="M2301" s="1" t="s">
        <v>54</v>
      </c>
      <c r="N2301" s="11">
        <f t="shared" si="35"/>
        <v>10</v>
      </c>
    </row>
    <row r="2302" spans="1:14" ht="16" x14ac:dyDescent="0.2">
      <c r="A2302" s="3">
        <v>44003.193345756685</v>
      </c>
      <c r="B2302" s="1" t="s">
        <v>2606</v>
      </c>
      <c r="C2302" t="s">
        <v>375</v>
      </c>
      <c r="D2302">
        <v>16</v>
      </c>
      <c r="E2302">
        <v>360</v>
      </c>
      <c r="F2302">
        <v>90</v>
      </c>
      <c r="G2302">
        <v>5760</v>
      </c>
      <c r="H2302" s="4">
        <v>1440</v>
      </c>
      <c r="I2302" s="4">
        <v>4320</v>
      </c>
      <c r="J2302" t="s">
        <v>462</v>
      </c>
      <c r="K2302" t="s">
        <v>86</v>
      </c>
      <c r="L2302" s="4">
        <v>12.732640267350657</v>
      </c>
      <c r="M2302" s="1" t="s">
        <v>54</v>
      </c>
      <c r="N2302" s="11">
        <f t="shared" si="35"/>
        <v>10</v>
      </c>
    </row>
    <row r="2303" spans="1:14" ht="16" x14ac:dyDescent="0.2">
      <c r="A2303" s="3">
        <v>43502.86447048324</v>
      </c>
      <c r="B2303" s="1" t="s">
        <v>2607</v>
      </c>
      <c r="C2303" t="s">
        <v>72</v>
      </c>
      <c r="D2303">
        <v>13</v>
      </c>
      <c r="E2303">
        <v>352</v>
      </c>
      <c r="F2303">
        <v>88</v>
      </c>
      <c r="G2303">
        <v>4576</v>
      </c>
      <c r="H2303" s="4">
        <v>1144</v>
      </c>
      <c r="I2303" s="4">
        <v>3432</v>
      </c>
      <c r="J2303" t="s">
        <v>806</v>
      </c>
      <c r="K2303" t="s">
        <v>86</v>
      </c>
      <c r="L2303" s="4">
        <v>11.927799225928501</v>
      </c>
      <c r="M2303" s="1" t="s">
        <v>54</v>
      </c>
      <c r="N2303" s="11">
        <f t="shared" si="35"/>
        <v>10</v>
      </c>
    </row>
    <row r="2304" spans="1:14" ht="16" x14ac:dyDescent="0.2">
      <c r="A2304" s="3">
        <v>43668.644720628363</v>
      </c>
      <c r="B2304" s="1" t="s">
        <v>2608</v>
      </c>
      <c r="C2304" t="s">
        <v>160</v>
      </c>
      <c r="D2304">
        <v>12</v>
      </c>
      <c r="E2304">
        <v>132</v>
      </c>
      <c r="F2304">
        <v>33</v>
      </c>
      <c r="G2304">
        <v>1584</v>
      </c>
      <c r="H2304" s="4">
        <v>396</v>
      </c>
      <c r="I2304" s="4">
        <v>1188</v>
      </c>
      <c r="J2304" t="s">
        <v>315</v>
      </c>
      <c r="K2304" t="s">
        <v>42</v>
      </c>
      <c r="L2304" s="4">
        <v>10.966283117837653</v>
      </c>
      <c r="M2304" s="1" t="s">
        <v>34</v>
      </c>
      <c r="N2304" s="11">
        <f t="shared" si="35"/>
        <v>1</v>
      </c>
    </row>
    <row r="2305" spans="1:14" ht="16" x14ac:dyDescent="0.2">
      <c r="A2305" s="3">
        <v>43837.634992862746</v>
      </c>
      <c r="B2305" s="1" t="s">
        <v>2609</v>
      </c>
      <c r="C2305" t="s">
        <v>259</v>
      </c>
      <c r="D2305">
        <v>20</v>
      </c>
      <c r="E2305">
        <v>270</v>
      </c>
      <c r="F2305">
        <v>90</v>
      </c>
      <c r="G2305">
        <v>5400</v>
      </c>
      <c r="H2305" s="4">
        <v>1800</v>
      </c>
      <c r="I2305" s="4">
        <v>3600</v>
      </c>
      <c r="J2305" t="s">
        <v>1022</v>
      </c>
      <c r="K2305" t="s">
        <v>49</v>
      </c>
      <c r="L2305" s="4">
        <v>15.268550004010105</v>
      </c>
      <c r="M2305" s="1" t="s">
        <v>54</v>
      </c>
      <c r="N2305" s="11">
        <f t="shared" si="35"/>
        <v>10</v>
      </c>
    </row>
    <row r="2306" spans="1:14" ht="16" x14ac:dyDescent="0.2">
      <c r="A2306" s="3">
        <v>43845.69410322253</v>
      </c>
      <c r="B2306" s="1" t="s">
        <v>2610</v>
      </c>
      <c r="C2306" t="s">
        <v>47</v>
      </c>
      <c r="D2306">
        <v>4</v>
      </c>
      <c r="E2306">
        <v>231</v>
      </c>
      <c r="F2306">
        <v>77</v>
      </c>
      <c r="G2306">
        <v>924</v>
      </c>
      <c r="H2306" s="4">
        <v>308</v>
      </c>
      <c r="I2306" s="4">
        <v>616</v>
      </c>
      <c r="J2306" t="s">
        <v>806</v>
      </c>
      <c r="K2306" t="s">
        <v>86</v>
      </c>
      <c r="L2306" s="4">
        <v>11.927799225928501</v>
      </c>
      <c r="M2306" s="1" t="s">
        <v>54</v>
      </c>
      <c r="N2306" s="11">
        <f t="shared" si="35"/>
        <v>10</v>
      </c>
    </row>
    <row r="2307" spans="1:14" ht="16" x14ac:dyDescent="0.2">
      <c r="A2307" s="3">
        <v>43927.868760958583</v>
      </c>
      <c r="B2307" s="1" t="s">
        <v>2611</v>
      </c>
      <c r="C2307" t="s">
        <v>592</v>
      </c>
      <c r="D2307">
        <v>2</v>
      </c>
      <c r="E2307">
        <v>312</v>
      </c>
      <c r="F2307">
        <v>78</v>
      </c>
      <c r="G2307">
        <v>624</v>
      </c>
      <c r="H2307" s="4">
        <v>156</v>
      </c>
      <c r="I2307" s="4">
        <v>468</v>
      </c>
      <c r="J2307" t="s">
        <v>825</v>
      </c>
      <c r="K2307" t="s">
        <v>42</v>
      </c>
      <c r="L2307" s="4">
        <v>14.060995290679429</v>
      </c>
      <c r="M2307" s="1" t="s">
        <v>38</v>
      </c>
      <c r="N2307" s="11">
        <f t="shared" ref="N2307:N2370" si="36">+IF(M2307="Dissatisfied",1,IF(M2307="Satisfied",10,5))</f>
        <v>5</v>
      </c>
    </row>
    <row r="2308" spans="1:14" ht="16" x14ac:dyDescent="0.2">
      <c r="A2308" s="3">
        <v>44273.375638921774</v>
      </c>
      <c r="B2308" s="1" t="s">
        <v>2612</v>
      </c>
      <c r="C2308" t="s">
        <v>276</v>
      </c>
      <c r="D2308">
        <v>6</v>
      </c>
      <c r="E2308">
        <v>57</v>
      </c>
      <c r="F2308">
        <v>19</v>
      </c>
      <c r="G2308">
        <v>342</v>
      </c>
      <c r="H2308" s="4">
        <v>114</v>
      </c>
      <c r="I2308" s="4">
        <v>228</v>
      </c>
      <c r="J2308" t="s">
        <v>528</v>
      </c>
      <c r="K2308" t="s">
        <v>33</v>
      </c>
      <c r="L2308" s="4">
        <v>11.003496633574638</v>
      </c>
      <c r="M2308" s="1" t="s">
        <v>54</v>
      </c>
      <c r="N2308" s="11">
        <f t="shared" si="36"/>
        <v>10</v>
      </c>
    </row>
    <row r="2309" spans="1:14" ht="16" x14ac:dyDescent="0.2">
      <c r="A2309" s="3">
        <v>44982.720478891526</v>
      </c>
      <c r="B2309" s="1" t="s">
        <v>2613</v>
      </c>
      <c r="C2309" t="s">
        <v>196</v>
      </c>
      <c r="D2309">
        <v>6</v>
      </c>
      <c r="E2309">
        <v>192</v>
      </c>
      <c r="F2309">
        <v>96</v>
      </c>
      <c r="G2309">
        <v>1152</v>
      </c>
      <c r="H2309" s="4">
        <v>576</v>
      </c>
      <c r="I2309" s="4">
        <v>576</v>
      </c>
      <c r="J2309" t="s">
        <v>1051</v>
      </c>
      <c r="K2309" t="s">
        <v>64</v>
      </c>
      <c r="L2309" s="4">
        <v>12.852414455158604</v>
      </c>
      <c r="M2309" s="1" t="s">
        <v>34</v>
      </c>
      <c r="N2309" s="11">
        <f t="shared" si="36"/>
        <v>1</v>
      </c>
    </row>
    <row r="2310" spans="1:14" ht="16" x14ac:dyDescent="0.2">
      <c r="A2310" s="3">
        <v>43967.919625177223</v>
      </c>
      <c r="B2310" s="1" t="s">
        <v>849</v>
      </c>
      <c r="C2310" t="s">
        <v>288</v>
      </c>
      <c r="D2310">
        <v>10</v>
      </c>
      <c r="E2310">
        <v>48</v>
      </c>
      <c r="F2310">
        <v>24</v>
      </c>
      <c r="G2310">
        <v>480</v>
      </c>
      <c r="H2310" s="4">
        <v>240</v>
      </c>
      <c r="I2310" s="4">
        <v>240</v>
      </c>
      <c r="J2310" t="s">
        <v>492</v>
      </c>
      <c r="K2310" t="s">
        <v>33</v>
      </c>
      <c r="L2310" s="4">
        <v>11.799431383856128</v>
      </c>
      <c r="M2310" s="1" t="s">
        <v>38</v>
      </c>
      <c r="N2310" s="11">
        <f t="shared" si="36"/>
        <v>5</v>
      </c>
    </row>
    <row r="2311" spans="1:14" ht="16" x14ac:dyDescent="0.2">
      <c r="A2311" s="3">
        <v>43852.927790807167</v>
      </c>
      <c r="B2311" s="1" t="s">
        <v>2614</v>
      </c>
      <c r="C2311" t="s">
        <v>266</v>
      </c>
      <c r="D2311">
        <v>5</v>
      </c>
      <c r="E2311">
        <v>50</v>
      </c>
      <c r="F2311">
        <v>25</v>
      </c>
      <c r="G2311">
        <v>250</v>
      </c>
      <c r="H2311" s="4">
        <v>125</v>
      </c>
      <c r="I2311" s="4">
        <v>125</v>
      </c>
      <c r="J2311" t="s">
        <v>720</v>
      </c>
      <c r="K2311" t="s">
        <v>53</v>
      </c>
      <c r="L2311" s="4">
        <v>13.106678263594747</v>
      </c>
      <c r="M2311" s="1" t="s">
        <v>38</v>
      </c>
      <c r="N2311" s="11">
        <f t="shared" si="36"/>
        <v>5</v>
      </c>
    </row>
    <row r="2312" spans="1:14" ht="16" x14ac:dyDescent="0.2">
      <c r="A2312" s="3">
        <v>44559.288582861584</v>
      </c>
      <c r="B2312" s="1" t="s">
        <v>2615</v>
      </c>
      <c r="C2312" t="s">
        <v>209</v>
      </c>
      <c r="D2312">
        <v>13</v>
      </c>
      <c r="E2312">
        <v>150</v>
      </c>
      <c r="F2312">
        <v>75</v>
      </c>
      <c r="G2312">
        <v>1950</v>
      </c>
      <c r="H2312" s="4">
        <v>975</v>
      </c>
      <c r="I2312" s="4">
        <v>975</v>
      </c>
      <c r="J2312" t="s">
        <v>351</v>
      </c>
      <c r="K2312" t="s">
        <v>33</v>
      </c>
      <c r="L2312" s="4">
        <v>11.070908141213383</v>
      </c>
      <c r="M2312" s="1" t="s">
        <v>38</v>
      </c>
      <c r="N2312" s="11">
        <f t="shared" si="36"/>
        <v>5</v>
      </c>
    </row>
    <row r="2313" spans="1:14" ht="16" x14ac:dyDescent="0.2">
      <c r="A2313" s="3">
        <v>43039.632317939104</v>
      </c>
      <c r="B2313" s="1" t="s">
        <v>2616</v>
      </c>
      <c r="C2313" t="s">
        <v>66</v>
      </c>
      <c r="D2313">
        <v>20</v>
      </c>
      <c r="E2313">
        <v>144</v>
      </c>
      <c r="F2313">
        <v>48</v>
      </c>
      <c r="G2313">
        <v>2880</v>
      </c>
      <c r="H2313" s="4">
        <v>960</v>
      </c>
      <c r="I2313" s="4">
        <v>1920</v>
      </c>
      <c r="J2313" t="s">
        <v>366</v>
      </c>
      <c r="K2313" t="s">
        <v>64</v>
      </c>
      <c r="L2313" s="4">
        <v>12.342715162719054</v>
      </c>
      <c r="M2313" s="1" t="s">
        <v>34</v>
      </c>
      <c r="N2313" s="11">
        <f t="shared" si="36"/>
        <v>1</v>
      </c>
    </row>
    <row r="2314" spans="1:14" ht="16" x14ac:dyDescent="0.2">
      <c r="A2314" s="3">
        <v>43130.107596011541</v>
      </c>
      <c r="B2314" s="1" t="s">
        <v>2617</v>
      </c>
      <c r="C2314" t="s">
        <v>88</v>
      </c>
      <c r="D2314">
        <v>7</v>
      </c>
      <c r="E2314">
        <v>210</v>
      </c>
      <c r="F2314">
        <v>70</v>
      </c>
      <c r="G2314">
        <v>1470</v>
      </c>
      <c r="H2314" s="4">
        <v>490</v>
      </c>
      <c r="I2314" s="4">
        <v>980</v>
      </c>
      <c r="J2314" t="s">
        <v>102</v>
      </c>
      <c r="K2314" t="s">
        <v>49</v>
      </c>
      <c r="L2314" s="4">
        <v>15.12637675023732</v>
      </c>
      <c r="M2314" s="1" t="s">
        <v>34</v>
      </c>
      <c r="N2314" s="11">
        <f t="shared" si="36"/>
        <v>1</v>
      </c>
    </row>
    <row r="2315" spans="1:14" ht="16" x14ac:dyDescent="0.2">
      <c r="A2315" s="3">
        <v>44091.744360673663</v>
      </c>
      <c r="B2315" s="1" t="s">
        <v>2618</v>
      </c>
      <c r="C2315" t="s">
        <v>193</v>
      </c>
      <c r="D2315">
        <v>13</v>
      </c>
      <c r="E2315">
        <v>348</v>
      </c>
      <c r="F2315">
        <v>87</v>
      </c>
      <c r="G2315">
        <v>4524</v>
      </c>
      <c r="H2315" s="4">
        <v>1131</v>
      </c>
      <c r="I2315" s="4">
        <v>3393</v>
      </c>
      <c r="J2315" t="s">
        <v>569</v>
      </c>
      <c r="K2315" t="s">
        <v>33</v>
      </c>
      <c r="L2315" s="4">
        <v>12.921682080641304</v>
      </c>
      <c r="M2315" s="1" t="s">
        <v>34</v>
      </c>
      <c r="N2315" s="11">
        <f t="shared" si="36"/>
        <v>1</v>
      </c>
    </row>
    <row r="2316" spans="1:14" ht="16" x14ac:dyDescent="0.2">
      <c r="A2316" s="3">
        <v>43304.045538950508</v>
      </c>
      <c r="B2316" s="1" t="s">
        <v>2619</v>
      </c>
      <c r="C2316" t="s">
        <v>185</v>
      </c>
      <c r="D2316">
        <v>15</v>
      </c>
      <c r="E2316">
        <v>146</v>
      </c>
      <c r="F2316">
        <v>73</v>
      </c>
      <c r="G2316">
        <v>2190</v>
      </c>
      <c r="H2316" s="4">
        <v>1095</v>
      </c>
      <c r="I2316" s="4">
        <v>1095</v>
      </c>
      <c r="J2316" t="s">
        <v>167</v>
      </c>
      <c r="K2316" t="s">
        <v>86</v>
      </c>
      <c r="L2316" s="4">
        <v>10.216282609482219</v>
      </c>
      <c r="M2316" s="1" t="s">
        <v>54</v>
      </c>
      <c r="N2316" s="11">
        <f t="shared" si="36"/>
        <v>10</v>
      </c>
    </row>
    <row r="2317" spans="1:14" ht="16" x14ac:dyDescent="0.2">
      <c r="A2317" s="3">
        <v>43377.79159574557</v>
      </c>
      <c r="B2317" s="1" t="s">
        <v>2620</v>
      </c>
      <c r="C2317" t="s">
        <v>98</v>
      </c>
      <c r="D2317">
        <v>5</v>
      </c>
      <c r="E2317">
        <v>156</v>
      </c>
      <c r="F2317">
        <v>78</v>
      </c>
      <c r="G2317">
        <v>780</v>
      </c>
      <c r="H2317" s="4">
        <v>390</v>
      </c>
      <c r="I2317" s="4">
        <v>390</v>
      </c>
      <c r="J2317" t="s">
        <v>246</v>
      </c>
      <c r="K2317" t="s">
        <v>58</v>
      </c>
      <c r="L2317" s="4">
        <v>15.234329552872023</v>
      </c>
      <c r="M2317" s="1" t="s">
        <v>38</v>
      </c>
      <c r="N2317" s="11">
        <f t="shared" si="36"/>
        <v>5</v>
      </c>
    </row>
    <row r="2318" spans="1:14" ht="16" x14ac:dyDescent="0.2">
      <c r="A2318" s="3">
        <v>43886.283669179364</v>
      </c>
      <c r="B2318" s="1" t="s">
        <v>2621</v>
      </c>
      <c r="C2318" t="s">
        <v>356</v>
      </c>
      <c r="D2318">
        <v>10</v>
      </c>
      <c r="E2318">
        <v>356</v>
      </c>
      <c r="F2318">
        <v>89</v>
      </c>
      <c r="G2318">
        <v>3560</v>
      </c>
      <c r="H2318" s="4">
        <v>890</v>
      </c>
      <c r="I2318" s="4">
        <v>2670</v>
      </c>
      <c r="J2318" t="s">
        <v>492</v>
      </c>
      <c r="K2318" t="s">
        <v>33</v>
      </c>
      <c r="L2318" s="4">
        <v>11.799431383856128</v>
      </c>
      <c r="M2318" s="1" t="s">
        <v>38</v>
      </c>
      <c r="N2318" s="11">
        <f t="shared" si="36"/>
        <v>5</v>
      </c>
    </row>
    <row r="2319" spans="1:14" ht="16" x14ac:dyDescent="0.2">
      <c r="A2319" s="3">
        <v>43980.66568735709</v>
      </c>
      <c r="B2319" s="1" t="s">
        <v>2622</v>
      </c>
      <c r="C2319" t="s">
        <v>304</v>
      </c>
      <c r="D2319">
        <v>19</v>
      </c>
      <c r="E2319">
        <v>116</v>
      </c>
      <c r="F2319">
        <v>29</v>
      </c>
      <c r="G2319">
        <v>2204</v>
      </c>
      <c r="H2319" s="4">
        <v>551</v>
      </c>
      <c r="I2319" s="4">
        <v>1653</v>
      </c>
      <c r="J2319" t="s">
        <v>94</v>
      </c>
      <c r="K2319" t="s">
        <v>49</v>
      </c>
      <c r="L2319" s="4">
        <v>9.8238489437106278</v>
      </c>
      <c r="M2319" s="1" t="s">
        <v>38</v>
      </c>
      <c r="N2319" s="11">
        <f t="shared" si="36"/>
        <v>5</v>
      </c>
    </row>
    <row r="2320" spans="1:14" ht="16" x14ac:dyDescent="0.2">
      <c r="A2320" s="3">
        <v>43996.319079692628</v>
      </c>
      <c r="B2320" s="1" t="s">
        <v>2623</v>
      </c>
      <c r="C2320" t="s">
        <v>257</v>
      </c>
      <c r="D2320">
        <v>20</v>
      </c>
      <c r="E2320">
        <v>160</v>
      </c>
      <c r="F2320">
        <v>80</v>
      </c>
      <c r="G2320">
        <v>3200</v>
      </c>
      <c r="H2320" s="4">
        <v>1600</v>
      </c>
      <c r="I2320" s="4">
        <v>1600</v>
      </c>
      <c r="J2320" t="s">
        <v>1022</v>
      </c>
      <c r="K2320" t="s">
        <v>49</v>
      </c>
      <c r="L2320" s="4">
        <v>15.268550004010105</v>
      </c>
      <c r="M2320" s="1" t="s">
        <v>38</v>
      </c>
      <c r="N2320" s="11">
        <f t="shared" si="36"/>
        <v>5</v>
      </c>
    </row>
    <row r="2321" spans="1:14" ht="16" x14ac:dyDescent="0.2">
      <c r="A2321" s="3">
        <v>44461.693789362878</v>
      </c>
      <c r="B2321" s="1" t="s">
        <v>2624</v>
      </c>
      <c r="C2321" t="s">
        <v>259</v>
      </c>
      <c r="D2321">
        <v>20</v>
      </c>
      <c r="E2321">
        <v>270</v>
      </c>
      <c r="F2321">
        <v>90</v>
      </c>
      <c r="G2321">
        <v>5400</v>
      </c>
      <c r="H2321" s="4">
        <v>1800</v>
      </c>
      <c r="I2321" s="4">
        <v>3600</v>
      </c>
      <c r="J2321" t="s">
        <v>290</v>
      </c>
      <c r="K2321" t="s">
        <v>86</v>
      </c>
      <c r="L2321" s="4">
        <v>12.758430621858414</v>
      </c>
      <c r="M2321" s="1" t="s">
        <v>38</v>
      </c>
      <c r="N2321" s="11">
        <f t="shared" si="36"/>
        <v>5</v>
      </c>
    </row>
    <row r="2322" spans="1:14" ht="16" x14ac:dyDescent="0.2">
      <c r="A2322" s="3">
        <v>44438.436701026265</v>
      </c>
      <c r="B2322" s="1" t="s">
        <v>1502</v>
      </c>
      <c r="C2322" t="s">
        <v>56</v>
      </c>
      <c r="D2322">
        <v>18</v>
      </c>
      <c r="E2322">
        <v>38</v>
      </c>
      <c r="F2322">
        <v>19</v>
      </c>
      <c r="G2322">
        <v>684</v>
      </c>
      <c r="H2322" s="4">
        <v>342</v>
      </c>
      <c r="I2322" s="4">
        <v>342</v>
      </c>
      <c r="J2322" t="s">
        <v>277</v>
      </c>
      <c r="K2322" t="s">
        <v>58</v>
      </c>
      <c r="L2322" s="4">
        <v>11.883396013219548</v>
      </c>
      <c r="M2322" s="1" t="s">
        <v>34</v>
      </c>
      <c r="N2322" s="11">
        <f t="shared" si="36"/>
        <v>1</v>
      </c>
    </row>
    <row r="2323" spans="1:14" ht="16" x14ac:dyDescent="0.2">
      <c r="A2323" s="3">
        <v>43401.001628770384</v>
      </c>
      <c r="B2323" s="1" t="s">
        <v>2625</v>
      </c>
      <c r="C2323" t="s">
        <v>201</v>
      </c>
      <c r="D2323">
        <v>5</v>
      </c>
      <c r="E2323">
        <v>30</v>
      </c>
      <c r="F2323">
        <v>15</v>
      </c>
      <c r="G2323">
        <v>150</v>
      </c>
      <c r="H2323" s="4">
        <v>75</v>
      </c>
      <c r="I2323" s="4">
        <v>75</v>
      </c>
      <c r="J2323" t="s">
        <v>116</v>
      </c>
      <c r="K2323" t="s">
        <v>64</v>
      </c>
      <c r="L2323" s="4">
        <v>14.697745043716761</v>
      </c>
      <c r="M2323" s="1" t="s">
        <v>38</v>
      </c>
      <c r="N2323" s="11">
        <f t="shared" si="36"/>
        <v>5</v>
      </c>
    </row>
    <row r="2324" spans="1:14" ht="16" x14ac:dyDescent="0.2">
      <c r="A2324" s="3">
        <v>43660.904578169291</v>
      </c>
      <c r="B2324" s="1" t="s">
        <v>2626</v>
      </c>
      <c r="C2324" t="s">
        <v>286</v>
      </c>
      <c r="D2324">
        <v>7</v>
      </c>
      <c r="E2324">
        <v>34</v>
      </c>
      <c r="F2324">
        <v>17</v>
      </c>
      <c r="G2324">
        <v>238</v>
      </c>
      <c r="H2324" s="4">
        <v>119</v>
      </c>
      <c r="I2324" s="4">
        <v>119</v>
      </c>
      <c r="J2324" t="s">
        <v>580</v>
      </c>
      <c r="K2324" t="s">
        <v>58</v>
      </c>
      <c r="L2324" s="4">
        <v>14.66147716237918</v>
      </c>
      <c r="M2324" s="1" t="s">
        <v>38</v>
      </c>
      <c r="N2324" s="11">
        <f t="shared" si="36"/>
        <v>5</v>
      </c>
    </row>
    <row r="2325" spans="1:14" ht="16" x14ac:dyDescent="0.2">
      <c r="A2325" s="3">
        <v>42709.936872483966</v>
      </c>
      <c r="B2325" s="1" t="s">
        <v>2627</v>
      </c>
      <c r="C2325" t="s">
        <v>779</v>
      </c>
      <c r="D2325">
        <v>16</v>
      </c>
      <c r="E2325">
        <v>120</v>
      </c>
      <c r="F2325">
        <v>30</v>
      </c>
      <c r="G2325">
        <v>1920</v>
      </c>
      <c r="H2325" s="4">
        <v>480</v>
      </c>
      <c r="I2325" s="4">
        <v>1440</v>
      </c>
      <c r="J2325" t="s">
        <v>980</v>
      </c>
      <c r="K2325" t="s">
        <v>33</v>
      </c>
      <c r="L2325" s="4">
        <v>8.1743378387804331</v>
      </c>
      <c r="M2325" s="1" t="s">
        <v>54</v>
      </c>
      <c r="N2325" s="11">
        <f t="shared" si="36"/>
        <v>10</v>
      </c>
    </row>
    <row r="2326" spans="1:14" ht="16" x14ac:dyDescent="0.2">
      <c r="A2326" s="3">
        <v>44146.507372977045</v>
      </c>
      <c r="B2326" s="1" t="s">
        <v>2628</v>
      </c>
      <c r="C2326" t="s">
        <v>328</v>
      </c>
      <c r="D2326">
        <v>1</v>
      </c>
      <c r="E2326">
        <v>124</v>
      </c>
      <c r="F2326">
        <v>62</v>
      </c>
      <c r="G2326">
        <v>124</v>
      </c>
      <c r="H2326" s="4">
        <v>62</v>
      </c>
      <c r="I2326" s="4">
        <v>62</v>
      </c>
      <c r="J2326" t="s">
        <v>432</v>
      </c>
      <c r="K2326" t="s">
        <v>49</v>
      </c>
      <c r="L2326" s="4">
        <v>13.857835104514242</v>
      </c>
      <c r="M2326" s="1" t="s">
        <v>34</v>
      </c>
      <c r="N2326" s="11">
        <f t="shared" si="36"/>
        <v>1</v>
      </c>
    </row>
    <row r="2327" spans="1:14" ht="16" x14ac:dyDescent="0.2">
      <c r="A2327" s="3">
        <v>43828.541041295422</v>
      </c>
      <c r="B2327" s="1" t="s">
        <v>2629</v>
      </c>
      <c r="C2327" t="s">
        <v>215</v>
      </c>
      <c r="D2327">
        <v>12</v>
      </c>
      <c r="E2327">
        <v>176</v>
      </c>
      <c r="F2327">
        <v>88</v>
      </c>
      <c r="G2327">
        <v>2112</v>
      </c>
      <c r="H2327" s="4">
        <v>1056</v>
      </c>
      <c r="I2327" s="4">
        <v>1056</v>
      </c>
      <c r="J2327" t="s">
        <v>645</v>
      </c>
      <c r="K2327" t="s">
        <v>86</v>
      </c>
      <c r="L2327" s="4">
        <v>9.879282537628514</v>
      </c>
      <c r="M2327" s="1" t="s">
        <v>38</v>
      </c>
      <c r="N2327" s="11">
        <f t="shared" si="36"/>
        <v>5</v>
      </c>
    </row>
    <row r="2328" spans="1:14" ht="16" x14ac:dyDescent="0.2">
      <c r="A2328" s="3">
        <v>44279.824007086769</v>
      </c>
      <c r="B2328" s="1" t="s">
        <v>2630</v>
      </c>
      <c r="C2328" t="s">
        <v>328</v>
      </c>
      <c r="D2328">
        <v>2</v>
      </c>
      <c r="E2328">
        <v>124</v>
      </c>
      <c r="F2328">
        <v>62</v>
      </c>
      <c r="G2328">
        <v>248</v>
      </c>
      <c r="H2328" s="4">
        <v>124</v>
      </c>
      <c r="I2328" s="4">
        <v>124</v>
      </c>
      <c r="J2328" t="s">
        <v>106</v>
      </c>
      <c r="K2328" t="s">
        <v>42</v>
      </c>
      <c r="L2328" s="4">
        <v>13.717776078041958</v>
      </c>
      <c r="M2328" s="1" t="s">
        <v>38</v>
      </c>
      <c r="N2328" s="11">
        <f t="shared" si="36"/>
        <v>5</v>
      </c>
    </row>
    <row r="2329" spans="1:14" ht="16" x14ac:dyDescent="0.2">
      <c r="A2329" s="3">
        <v>43794.415706304215</v>
      </c>
      <c r="B2329" s="1" t="s">
        <v>2631</v>
      </c>
      <c r="C2329" t="s">
        <v>592</v>
      </c>
      <c r="D2329">
        <v>16</v>
      </c>
      <c r="E2329">
        <v>312</v>
      </c>
      <c r="F2329">
        <v>78</v>
      </c>
      <c r="G2329">
        <v>4992</v>
      </c>
      <c r="H2329" s="4">
        <v>1248</v>
      </c>
      <c r="I2329" s="4">
        <v>3744</v>
      </c>
      <c r="J2329" t="s">
        <v>453</v>
      </c>
      <c r="K2329" t="s">
        <v>42</v>
      </c>
      <c r="L2329" s="4">
        <v>13.104576594826185</v>
      </c>
      <c r="M2329" s="1" t="s">
        <v>38</v>
      </c>
      <c r="N2329" s="11">
        <f t="shared" si="36"/>
        <v>5</v>
      </c>
    </row>
    <row r="2330" spans="1:14" ht="16" x14ac:dyDescent="0.2">
      <c r="A2330" s="3">
        <v>44052.177615609617</v>
      </c>
      <c r="B2330" s="1" t="s">
        <v>2632</v>
      </c>
      <c r="C2330" t="s">
        <v>209</v>
      </c>
      <c r="D2330">
        <v>1</v>
      </c>
      <c r="E2330">
        <v>150</v>
      </c>
      <c r="F2330">
        <v>75</v>
      </c>
      <c r="G2330">
        <v>150</v>
      </c>
      <c r="H2330" s="4">
        <v>75</v>
      </c>
      <c r="I2330" s="4">
        <v>75</v>
      </c>
      <c r="J2330" t="s">
        <v>89</v>
      </c>
      <c r="K2330" t="s">
        <v>64</v>
      </c>
      <c r="L2330" s="4">
        <v>12.865074657680612</v>
      </c>
      <c r="M2330" s="1" t="s">
        <v>38</v>
      </c>
      <c r="N2330" s="11">
        <f t="shared" si="36"/>
        <v>5</v>
      </c>
    </row>
    <row r="2331" spans="1:14" ht="16" x14ac:dyDescent="0.2">
      <c r="A2331" s="3">
        <v>43677.101800487137</v>
      </c>
      <c r="B2331" s="1" t="s">
        <v>2633</v>
      </c>
      <c r="C2331" t="s">
        <v>175</v>
      </c>
      <c r="D2331">
        <v>3</v>
      </c>
      <c r="E2331">
        <v>38</v>
      </c>
      <c r="F2331">
        <v>19</v>
      </c>
      <c r="G2331">
        <v>114</v>
      </c>
      <c r="H2331" s="4">
        <v>57</v>
      </c>
      <c r="I2331" s="4">
        <v>57</v>
      </c>
      <c r="J2331" t="s">
        <v>701</v>
      </c>
      <c r="K2331" t="s">
        <v>42</v>
      </c>
      <c r="L2331" s="4">
        <v>10.434860153112215</v>
      </c>
      <c r="M2331" s="1" t="s">
        <v>38</v>
      </c>
      <c r="N2331" s="11">
        <f t="shared" si="36"/>
        <v>5</v>
      </c>
    </row>
    <row r="2332" spans="1:14" ht="16" x14ac:dyDescent="0.2">
      <c r="A2332" s="3">
        <v>44252.958733698812</v>
      </c>
      <c r="B2332" s="1" t="s">
        <v>1192</v>
      </c>
      <c r="C2332" t="s">
        <v>340</v>
      </c>
      <c r="D2332">
        <v>10</v>
      </c>
      <c r="E2332">
        <v>180</v>
      </c>
      <c r="F2332">
        <v>45</v>
      </c>
      <c r="G2332">
        <v>1800</v>
      </c>
      <c r="H2332" s="4">
        <v>450</v>
      </c>
      <c r="I2332" s="4">
        <v>1350</v>
      </c>
      <c r="J2332" t="s">
        <v>63</v>
      </c>
      <c r="K2332" t="s">
        <v>64</v>
      </c>
      <c r="L2332" s="4">
        <v>10.988762477277161</v>
      </c>
      <c r="M2332" s="1" t="s">
        <v>38</v>
      </c>
      <c r="N2332" s="11">
        <f t="shared" si="36"/>
        <v>5</v>
      </c>
    </row>
    <row r="2333" spans="1:14" ht="16" x14ac:dyDescent="0.2">
      <c r="A2333" s="3">
        <v>43846.65942540281</v>
      </c>
      <c r="B2333" s="1" t="s">
        <v>2534</v>
      </c>
      <c r="C2333" t="s">
        <v>101</v>
      </c>
      <c r="D2333">
        <v>3</v>
      </c>
      <c r="E2333">
        <v>50</v>
      </c>
      <c r="F2333">
        <v>25</v>
      </c>
      <c r="G2333">
        <v>150</v>
      </c>
      <c r="H2333" s="4">
        <v>75</v>
      </c>
      <c r="I2333" s="4">
        <v>75</v>
      </c>
      <c r="J2333" t="s">
        <v>1085</v>
      </c>
      <c r="K2333" t="s">
        <v>49</v>
      </c>
      <c r="L2333" s="4">
        <v>10.818241047231139</v>
      </c>
      <c r="M2333" s="1" t="s">
        <v>54</v>
      </c>
      <c r="N2333" s="11">
        <f t="shared" si="36"/>
        <v>10</v>
      </c>
    </row>
    <row r="2334" spans="1:14" ht="16" x14ac:dyDescent="0.2">
      <c r="A2334" s="3">
        <v>43838.862702499369</v>
      </c>
      <c r="B2334" s="1" t="s">
        <v>2634</v>
      </c>
      <c r="C2334" t="s">
        <v>139</v>
      </c>
      <c r="D2334">
        <v>20</v>
      </c>
      <c r="E2334">
        <v>320</v>
      </c>
      <c r="F2334">
        <v>80</v>
      </c>
      <c r="G2334">
        <v>6400</v>
      </c>
      <c r="H2334" s="4">
        <v>1600</v>
      </c>
      <c r="I2334" s="4">
        <v>4800</v>
      </c>
      <c r="J2334" t="s">
        <v>354</v>
      </c>
      <c r="K2334" t="s">
        <v>42</v>
      </c>
      <c r="L2334" s="4">
        <v>13.518413464873573</v>
      </c>
      <c r="M2334" s="1" t="s">
        <v>34</v>
      </c>
      <c r="N2334" s="11">
        <f t="shared" si="36"/>
        <v>1</v>
      </c>
    </row>
    <row r="2335" spans="1:14" ht="16" x14ac:dyDescent="0.2">
      <c r="A2335" s="3">
        <v>43844.067475535354</v>
      </c>
      <c r="B2335" s="1" t="s">
        <v>2635</v>
      </c>
      <c r="C2335" t="s">
        <v>142</v>
      </c>
      <c r="D2335">
        <v>17</v>
      </c>
      <c r="E2335">
        <v>210</v>
      </c>
      <c r="F2335">
        <v>70</v>
      </c>
      <c r="G2335">
        <v>3570</v>
      </c>
      <c r="H2335" s="4">
        <v>1190</v>
      </c>
      <c r="I2335" s="4">
        <v>2380</v>
      </c>
      <c r="J2335" t="s">
        <v>435</v>
      </c>
      <c r="K2335" t="s">
        <v>33</v>
      </c>
      <c r="L2335" s="4">
        <v>5.9872353338051019</v>
      </c>
      <c r="M2335" s="1" t="s">
        <v>38</v>
      </c>
      <c r="N2335" s="11">
        <f t="shared" si="36"/>
        <v>5</v>
      </c>
    </row>
    <row r="2336" spans="1:14" ht="16" x14ac:dyDescent="0.2">
      <c r="A2336" s="3">
        <v>43477.116113476099</v>
      </c>
      <c r="B2336" s="1" t="s">
        <v>2636</v>
      </c>
      <c r="C2336" t="s">
        <v>375</v>
      </c>
      <c r="D2336">
        <v>3</v>
      </c>
      <c r="E2336">
        <v>360</v>
      </c>
      <c r="F2336">
        <v>90</v>
      </c>
      <c r="G2336">
        <v>1080</v>
      </c>
      <c r="H2336" s="4">
        <v>270</v>
      </c>
      <c r="I2336" s="4">
        <v>810</v>
      </c>
      <c r="J2336" t="s">
        <v>199</v>
      </c>
      <c r="K2336" t="s">
        <v>86</v>
      </c>
      <c r="L2336" s="4">
        <v>13.890275354050972</v>
      </c>
      <c r="M2336" s="1" t="s">
        <v>54</v>
      </c>
      <c r="N2336" s="11">
        <f t="shared" si="36"/>
        <v>10</v>
      </c>
    </row>
    <row r="2337" spans="1:14" ht="16" x14ac:dyDescent="0.2">
      <c r="A2337" s="3">
        <v>43974.247493317009</v>
      </c>
      <c r="B2337" s="1" t="s">
        <v>2637</v>
      </c>
      <c r="C2337" t="s">
        <v>136</v>
      </c>
      <c r="D2337">
        <v>15</v>
      </c>
      <c r="E2337">
        <v>154</v>
      </c>
      <c r="F2337">
        <v>77</v>
      </c>
      <c r="G2337">
        <v>2310</v>
      </c>
      <c r="H2337" s="4">
        <v>1155</v>
      </c>
      <c r="I2337" s="4">
        <v>1155</v>
      </c>
      <c r="J2337" t="s">
        <v>752</v>
      </c>
      <c r="K2337" t="s">
        <v>49</v>
      </c>
      <c r="L2337" s="4">
        <v>11.862005526237752</v>
      </c>
      <c r="M2337" s="1" t="s">
        <v>38</v>
      </c>
      <c r="N2337" s="11">
        <f t="shared" si="36"/>
        <v>5</v>
      </c>
    </row>
    <row r="2338" spans="1:14" ht="16" x14ac:dyDescent="0.2">
      <c r="A2338" s="3">
        <v>43871.618220728909</v>
      </c>
      <c r="B2338" s="1" t="s">
        <v>2638</v>
      </c>
      <c r="C2338" t="s">
        <v>188</v>
      </c>
      <c r="D2338">
        <v>3</v>
      </c>
      <c r="E2338">
        <v>368</v>
      </c>
      <c r="F2338">
        <v>92</v>
      </c>
      <c r="G2338">
        <v>1104</v>
      </c>
      <c r="H2338" s="4">
        <v>276</v>
      </c>
      <c r="I2338" s="4">
        <v>828</v>
      </c>
      <c r="J2338" t="s">
        <v>421</v>
      </c>
      <c r="K2338" t="s">
        <v>53</v>
      </c>
      <c r="L2338" s="4">
        <v>10.96230865592911</v>
      </c>
      <c r="M2338" s="1" t="s">
        <v>34</v>
      </c>
      <c r="N2338" s="11">
        <f t="shared" si="36"/>
        <v>1</v>
      </c>
    </row>
    <row r="2339" spans="1:14" ht="16" x14ac:dyDescent="0.2">
      <c r="A2339" s="3">
        <v>43425.210451173705</v>
      </c>
      <c r="B2339" s="1" t="s">
        <v>2639</v>
      </c>
      <c r="C2339" t="s">
        <v>288</v>
      </c>
      <c r="D2339">
        <v>6</v>
      </c>
      <c r="E2339">
        <v>48</v>
      </c>
      <c r="F2339">
        <v>24</v>
      </c>
      <c r="G2339">
        <v>288</v>
      </c>
      <c r="H2339" s="4">
        <v>144</v>
      </c>
      <c r="I2339" s="4">
        <v>144</v>
      </c>
      <c r="J2339" t="s">
        <v>96</v>
      </c>
      <c r="K2339" t="s">
        <v>64</v>
      </c>
      <c r="L2339" s="4">
        <v>12.072414596936037</v>
      </c>
      <c r="M2339" s="1" t="s">
        <v>34</v>
      </c>
      <c r="N2339" s="11">
        <f t="shared" si="36"/>
        <v>1</v>
      </c>
    </row>
    <row r="2340" spans="1:14" ht="16" x14ac:dyDescent="0.2">
      <c r="A2340" s="3">
        <v>43918.559677971571</v>
      </c>
      <c r="B2340" s="1" t="s">
        <v>2640</v>
      </c>
      <c r="C2340" t="s">
        <v>175</v>
      </c>
      <c r="D2340">
        <v>1</v>
      </c>
      <c r="E2340">
        <v>38</v>
      </c>
      <c r="F2340">
        <v>19</v>
      </c>
      <c r="G2340">
        <v>38</v>
      </c>
      <c r="H2340" s="4">
        <v>19</v>
      </c>
      <c r="I2340" s="4">
        <v>19</v>
      </c>
      <c r="J2340" t="s">
        <v>643</v>
      </c>
      <c r="K2340" t="s">
        <v>33</v>
      </c>
      <c r="L2340" s="4">
        <v>12.275875773922367</v>
      </c>
      <c r="M2340" s="1" t="s">
        <v>38</v>
      </c>
      <c r="N2340" s="11">
        <f t="shared" si="36"/>
        <v>5</v>
      </c>
    </row>
    <row r="2341" spans="1:14" ht="16" x14ac:dyDescent="0.2">
      <c r="A2341" s="3">
        <v>43150.134599127334</v>
      </c>
      <c r="B2341" s="1" t="s">
        <v>2641</v>
      </c>
      <c r="C2341" t="s">
        <v>487</v>
      </c>
      <c r="D2341">
        <v>17</v>
      </c>
      <c r="E2341">
        <v>264</v>
      </c>
      <c r="F2341">
        <v>88</v>
      </c>
      <c r="G2341">
        <v>4488</v>
      </c>
      <c r="H2341" s="4">
        <v>1496</v>
      </c>
      <c r="I2341" s="4">
        <v>2992</v>
      </c>
      <c r="J2341" t="s">
        <v>1625</v>
      </c>
      <c r="K2341" t="s">
        <v>86</v>
      </c>
      <c r="L2341" s="4">
        <v>11.238524301148807</v>
      </c>
      <c r="M2341" s="1" t="s">
        <v>38</v>
      </c>
      <c r="N2341" s="11">
        <f t="shared" si="36"/>
        <v>5</v>
      </c>
    </row>
    <row r="2342" spans="1:14" ht="16" x14ac:dyDescent="0.2">
      <c r="A2342" s="3">
        <v>43769.941427723556</v>
      </c>
      <c r="B2342" s="1" t="s">
        <v>2642</v>
      </c>
      <c r="C2342" t="s">
        <v>148</v>
      </c>
      <c r="D2342">
        <v>6</v>
      </c>
      <c r="E2342">
        <v>144</v>
      </c>
      <c r="F2342">
        <v>36</v>
      </c>
      <c r="G2342">
        <v>864</v>
      </c>
      <c r="H2342" s="4">
        <v>216</v>
      </c>
      <c r="I2342" s="4">
        <v>648</v>
      </c>
      <c r="J2342" t="s">
        <v>1065</v>
      </c>
      <c r="K2342" t="s">
        <v>53</v>
      </c>
      <c r="L2342" s="4">
        <v>13.00553764131261</v>
      </c>
      <c r="M2342" s="1" t="s">
        <v>38</v>
      </c>
      <c r="N2342" s="11">
        <f t="shared" si="36"/>
        <v>5</v>
      </c>
    </row>
    <row r="2343" spans="1:14" ht="16" x14ac:dyDescent="0.2">
      <c r="A2343" s="3">
        <v>43621.66635909152</v>
      </c>
      <c r="B2343" s="1" t="s">
        <v>2643</v>
      </c>
      <c r="C2343" t="s">
        <v>592</v>
      </c>
      <c r="D2343">
        <v>17</v>
      </c>
      <c r="E2343">
        <v>312</v>
      </c>
      <c r="F2343">
        <v>78</v>
      </c>
      <c r="G2343">
        <v>5304</v>
      </c>
      <c r="H2343" s="4">
        <v>1326</v>
      </c>
      <c r="I2343" s="4">
        <v>3978</v>
      </c>
      <c r="J2343" t="s">
        <v>1051</v>
      </c>
      <c r="K2343" t="s">
        <v>64</v>
      </c>
      <c r="L2343" s="4">
        <v>12.852414455158604</v>
      </c>
      <c r="M2343" s="1" t="s">
        <v>38</v>
      </c>
      <c r="N2343" s="11">
        <f t="shared" si="36"/>
        <v>5</v>
      </c>
    </row>
    <row r="2344" spans="1:14" ht="16" x14ac:dyDescent="0.2">
      <c r="A2344" s="3">
        <v>44332.064882526094</v>
      </c>
      <c r="B2344" s="1" t="s">
        <v>2644</v>
      </c>
      <c r="C2344" t="s">
        <v>157</v>
      </c>
      <c r="D2344">
        <v>1</v>
      </c>
      <c r="E2344">
        <v>50</v>
      </c>
      <c r="F2344">
        <v>25</v>
      </c>
      <c r="G2344">
        <v>50</v>
      </c>
      <c r="H2344" s="4">
        <v>25</v>
      </c>
      <c r="I2344" s="4">
        <v>25</v>
      </c>
      <c r="J2344" t="s">
        <v>219</v>
      </c>
      <c r="K2344" t="s">
        <v>49</v>
      </c>
      <c r="L2344" s="4">
        <v>13.697485557052493</v>
      </c>
      <c r="M2344" s="1" t="s">
        <v>34</v>
      </c>
      <c r="N2344" s="11">
        <f t="shared" si="36"/>
        <v>1</v>
      </c>
    </row>
    <row r="2345" spans="1:14" ht="16" x14ac:dyDescent="0.2">
      <c r="A2345" s="3">
        <v>44470.449939524027</v>
      </c>
      <c r="B2345" s="1" t="s">
        <v>2645</v>
      </c>
      <c r="C2345" t="s">
        <v>40</v>
      </c>
      <c r="D2345">
        <v>19</v>
      </c>
      <c r="E2345">
        <v>46</v>
      </c>
      <c r="F2345">
        <v>23</v>
      </c>
      <c r="G2345">
        <v>874</v>
      </c>
      <c r="H2345" s="4">
        <v>437</v>
      </c>
      <c r="I2345" s="4">
        <v>437</v>
      </c>
      <c r="J2345" t="s">
        <v>557</v>
      </c>
      <c r="K2345" t="s">
        <v>64</v>
      </c>
      <c r="L2345" s="4">
        <v>10.037135914792184</v>
      </c>
      <c r="M2345" s="1" t="s">
        <v>38</v>
      </c>
      <c r="N2345" s="11">
        <f t="shared" si="36"/>
        <v>5</v>
      </c>
    </row>
    <row r="2346" spans="1:14" ht="16" x14ac:dyDescent="0.2">
      <c r="A2346" s="3">
        <v>43770.634788719879</v>
      </c>
      <c r="B2346" s="1" t="s">
        <v>2646</v>
      </c>
      <c r="C2346" t="s">
        <v>133</v>
      </c>
      <c r="D2346">
        <v>9</v>
      </c>
      <c r="E2346">
        <v>189</v>
      </c>
      <c r="F2346">
        <v>63</v>
      </c>
      <c r="G2346">
        <v>1701</v>
      </c>
      <c r="H2346" s="4">
        <v>567</v>
      </c>
      <c r="I2346" s="4">
        <v>1134</v>
      </c>
      <c r="J2346" t="s">
        <v>1434</v>
      </c>
      <c r="K2346" t="s">
        <v>86</v>
      </c>
      <c r="L2346" s="4">
        <v>10.826646539963521</v>
      </c>
      <c r="M2346" s="1" t="s">
        <v>38</v>
      </c>
      <c r="N2346" s="11">
        <f t="shared" si="36"/>
        <v>5</v>
      </c>
    </row>
    <row r="2347" spans="1:14" ht="16" x14ac:dyDescent="0.2">
      <c r="A2347" s="3">
        <v>43960.387445539694</v>
      </c>
      <c r="B2347" s="1" t="s">
        <v>1727</v>
      </c>
      <c r="C2347" t="s">
        <v>56</v>
      </c>
      <c r="D2347">
        <v>2</v>
      </c>
      <c r="E2347">
        <v>38</v>
      </c>
      <c r="F2347">
        <v>19</v>
      </c>
      <c r="G2347">
        <v>76</v>
      </c>
      <c r="H2347" s="4">
        <v>38</v>
      </c>
      <c r="I2347" s="4">
        <v>38</v>
      </c>
      <c r="J2347" t="s">
        <v>1750</v>
      </c>
      <c r="K2347" t="s">
        <v>58</v>
      </c>
      <c r="L2347" s="4">
        <v>7.9096461399190003</v>
      </c>
      <c r="M2347" s="1" t="s">
        <v>38</v>
      </c>
      <c r="N2347" s="11">
        <f t="shared" si="36"/>
        <v>5</v>
      </c>
    </row>
    <row r="2348" spans="1:14" ht="16" x14ac:dyDescent="0.2">
      <c r="A2348" s="3">
        <v>44167.311428525543</v>
      </c>
      <c r="B2348" s="1" t="s">
        <v>2647</v>
      </c>
      <c r="C2348" t="s">
        <v>538</v>
      </c>
      <c r="D2348">
        <v>12</v>
      </c>
      <c r="E2348">
        <v>261</v>
      </c>
      <c r="F2348">
        <v>87</v>
      </c>
      <c r="G2348">
        <v>3132</v>
      </c>
      <c r="H2348" s="4">
        <v>1044</v>
      </c>
      <c r="I2348" s="4">
        <v>2088</v>
      </c>
      <c r="J2348" t="s">
        <v>1358</v>
      </c>
      <c r="K2348" t="s">
        <v>86</v>
      </c>
      <c r="L2348" s="4">
        <v>13.811876869930865</v>
      </c>
      <c r="M2348" s="1" t="s">
        <v>34</v>
      </c>
      <c r="N2348" s="11">
        <f t="shared" si="36"/>
        <v>1</v>
      </c>
    </row>
    <row r="2349" spans="1:14" ht="16" x14ac:dyDescent="0.2">
      <c r="A2349" s="3">
        <v>44628.534060257312</v>
      </c>
      <c r="B2349" s="1" t="s">
        <v>2648</v>
      </c>
      <c r="C2349" t="s">
        <v>201</v>
      </c>
      <c r="D2349">
        <v>6</v>
      </c>
      <c r="E2349">
        <v>30</v>
      </c>
      <c r="F2349">
        <v>15</v>
      </c>
      <c r="G2349">
        <v>180</v>
      </c>
      <c r="H2349" s="4">
        <v>90</v>
      </c>
      <c r="I2349" s="4">
        <v>90</v>
      </c>
      <c r="J2349" t="s">
        <v>844</v>
      </c>
      <c r="K2349" t="s">
        <v>33</v>
      </c>
      <c r="L2349" s="4">
        <v>11.816654396440285</v>
      </c>
      <c r="M2349" s="1" t="s">
        <v>38</v>
      </c>
      <c r="N2349" s="11">
        <f t="shared" si="36"/>
        <v>5</v>
      </c>
    </row>
    <row r="2350" spans="1:14" ht="16" x14ac:dyDescent="0.2">
      <c r="A2350" s="3">
        <v>43781.015831826393</v>
      </c>
      <c r="B2350" s="1" t="s">
        <v>2649</v>
      </c>
      <c r="C2350" t="s">
        <v>399</v>
      </c>
      <c r="D2350">
        <v>20</v>
      </c>
      <c r="E2350">
        <v>160</v>
      </c>
      <c r="F2350">
        <v>80</v>
      </c>
      <c r="G2350">
        <v>3200</v>
      </c>
      <c r="H2350" s="4">
        <v>1600</v>
      </c>
      <c r="I2350" s="4">
        <v>1600</v>
      </c>
      <c r="J2350" t="s">
        <v>238</v>
      </c>
      <c r="K2350" t="s">
        <v>86</v>
      </c>
      <c r="L2350" s="4">
        <v>14.593670394271927</v>
      </c>
      <c r="M2350" s="1" t="s">
        <v>34</v>
      </c>
      <c r="N2350" s="11">
        <f t="shared" si="36"/>
        <v>1</v>
      </c>
    </row>
    <row r="2351" spans="1:14" ht="16" x14ac:dyDescent="0.2">
      <c r="A2351" s="3">
        <v>44690.38525185304</v>
      </c>
      <c r="B2351" s="1" t="s">
        <v>2650</v>
      </c>
      <c r="C2351" t="s">
        <v>394</v>
      </c>
      <c r="D2351">
        <v>11</v>
      </c>
      <c r="E2351">
        <v>58</v>
      </c>
      <c r="F2351">
        <v>29</v>
      </c>
      <c r="G2351">
        <v>638</v>
      </c>
      <c r="H2351" s="4">
        <v>319</v>
      </c>
      <c r="I2351" s="4">
        <v>319</v>
      </c>
      <c r="J2351" t="s">
        <v>401</v>
      </c>
      <c r="K2351" t="s">
        <v>58</v>
      </c>
      <c r="L2351" s="4">
        <v>11.394777319422785</v>
      </c>
      <c r="M2351" s="1" t="s">
        <v>38</v>
      </c>
      <c r="N2351" s="11">
        <f t="shared" si="36"/>
        <v>5</v>
      </c>
    </row>
    <row r="2352" spans="1:14" ht="16" x14ac:dyDescent="0.2">
      <c r="A2352" s="3">
        <v>43973.501160720196</v>
      </c>
      <c r="B2352" s="1" t="s">
        <v>2651</v>
      </c>
      <c r="C2352" t="s">
        <v>93</v>
      </c>
      <c r="D2352">
        <v>10</v>
      </c>
      <c r="E2352">
        <v>204</v>
      </c>
      <c r="F2352">
        <v>51</v>
      </c>
      <c r="G2352">
        <v>2040</v>
      </c>
      <c r="H2352" s="4">
        <v>510</v>
      </c>
      <c r="I2352" s="4">
        <v>1530</v>
      </c>
      <c r="J2352" t="s">
        <v>426</v>
      </c>
      <c r="K2352" t="s">
        <v>53</v>
      </c>
      <c r="L2352" s="4">
        <v>13.923194761258239</v>
      </c>
      <c r="M2352" s="1" t="s">
        <v>54</v>
      </c>
      <c r="N2352" s="11">
        <f t="shared" si="36"/>
        <v>10</v>
      </c>
    </row>
    <row r="2353" spans="1:14" ht="16" x14ac:dyDescent="0.2">
      <c r="A2353" s="3">
        <v>43768.189478291759</v>
      </c>
      <c r="B2353" s="1" t="s">
        <v>2652</v>
      </c>
      <c r="C2353" t="s">
        <v>81</v>
      </c>
      <c r="D2353">
        <v>7</v>
      </c>
      <c r="E2353">
        <v>166</v>
      </c>
      <c r="F2353">
        <v>83</v>
      </c>
      <c r="G2353">
        <v>1162</v>
      </c>
      <c r="H2353" s="4">
        <v>581</v>
      </c>
      <c r="I2353" s="4">
        <v>581</v>
      </c>
      <c r="J2353" t="s">
        <v>557</v>
      </c>
      <c r="K2353" t="s">
        <v>64</v>
      </c>
      <c r="L2353" s="4">
        <v>10.037135914792184</v>
      </c>
      <c r="M2353" s="1" t="s">
        <v>38</v>
      </c>
      <c r="N2353" s="11">
        <f t="shared" si="36"/>
        <v>5</v>
      </c>
    </row>
    <row r="2354" spans="1:14" ht="16" x14ac:dyDescent="0.2">
      <c r="A2354" s="3">
        <v>43294.530365924016</v>
      </c>
      <c r="B2354" s="1" t="s">
        <v>2653</v>
      </c>
      <c r="C2354" t="s">
        <v>375</v>
      </c>
      <c r="D2354">
        <v>16</v>
      </c>
      <c r="E2354">
        <v>360</v>
      </c>
      <c r="F2354">
        <v>90</v>
      </c>
      <c r="G2354">
        <v>5760</v>
      </c>
      <c r="H2354" s="4">
        <v>1440</v>
      </c>
      <c r="I2354" s="4">
        <v>4320</v>
      </c>
      <c r="J2354" t="s">
        <v>116</v>
      </c>
      <c r="K2354" t="s">
        <v>64</v>
      </c>
      <c r="L2354" s="4">
        <v>14.697745043716761</v>
      </c>
      <c r="M2354" s="1" t="s">
        <v>38</v>
      </c>
      <c r="N2354" s="11">
        <f t="shared" si="36"/>
        <v>5</v>
      </c>
    </row>
    <row r="2355" spans="1:14" ht="16" x14ac:dyDescent="0.2">
      <c r="A2355" s="3">
        <v>43800.864457793105</v>
      </c>
      <c r="B2355" s="1" t="s">
        <v>2654</v>
      </c>
      <c r="C2355" t="s">
        <v>148</v>
      </c>
      <c r="D2355">
        <v>1</v>
      </c>
      <c r="E2355">
        <v>144</v>
      </c>
      <c r="F2355">
        <v>36</v>
      </c>
      <c r="G2355">
        <v>144</v>
      </c>
      <c r="H2355" s="4">
        <v>36</v>
      </c>
      <c r="I2355" s="4">
        <v>108</v>
      </c>
      <c r="J2355" t="s">
        <v>678</v>
      </c>
      <c r="K2355" t="s">
        <v>86</v>
      </c>
      <c r="L2355" s="4">
        <v>12.460490918487697</v>
      </c>
      <c r="M2355" s="1" t="s">
        <v>38</v>
      </c>
      <c r="N2355" s="11">
        <f t="shared" si="36"/>
        <v>5</v>
      </c>
    </row>
    <row r="2356" spans="1:14" ht="16" x14ac:dyDescent="0.2">
      <c r="A2356" s="3">
        <v>44624.422731409344</v>
      </c>
      <c r="B2356" s="1" t="s">
        <v>2655</v>
      </c>
      <c r="C2356" t="s">
        <v>248</v>
      </c>
      <c r="D2356">
        <v>4</v>
      </c>
      <c r="E2356">
        <v>132</v>
      </c>
      <c r="F2356">
        <v>44</v>
      </c>
      <c r="G2356">
        <v>528</v>
      </c>
      <c r="H2356" s="4">
        <v>176</v>
      </c>
      <c r="I2356" s="4">
        <v>352</v>
      </c>
      <c r="J2356" t="s">
        <v>910</v>
      </c>
      <c r="K2356" t="s">
        <v>58</v>
      </c>
      <c r="L2356" s="4">
        <v>11.78346750250795</v>
      </c>
      <c r="M2356" s="1" t="s">
        <v>38</v>
      </c>
      <c r="N2356" s="11">
        <f t="shared" si="36"/>
        <v>5</v>
      </c>
    </row>
    <row r="2357" spans="1:14" ht="16" x14ac:dyDescent="0.2">
      <c r="A2357" s="3">
        <v>43486.353161896863</v>
      </c>
      <c r="B2357" s="1" t="s">
        <v>2656</v>
      </c>
      <c r="C2357" t="s">
        <v>56</v>
      </c>
      <c r="D2357">
        <v>2</v>
      </c>
      <c r="E2357">
        <v>38</v>
      </c>
      <c r="F2357">
        <v>19</v>
      </c>
      <c r="G2357">
        <v>76</v>
      </c>
      <c r="H2357" s="4">
        <v>38</v>
      </c>
      <c r="I2357" s="4">
        <v>38</v>
      </c>
      <c r="J2357" t="s">
        <v>246</v>
      </c>
      <c r="K2357" t="s">
        <v>58</v>
      </c>
      <c r="L2357" s="4">
        <v>15.234329552872023</v>
      </c>
      <c r="M2357" s="1" t="s">
        <v>34</v>
      </c>
      <c r="N2357" s="11">
        <f t="shared" si="36"/>
        <v>1</v>
      </c>
    </row>
    <row r="2358" spans="1:14" ht="16" x14ac:dyDescent="0.2">
      <c r="A2358" s="3">
        <v>43801.363404906238</v>
      </c>
      <c r="B2358" s="1" t="s">
        <v>2657</v>
      </c>
      <c r="C2358" t="s">
        <v>78</v>
      </c>
      <c r="D2358">
        <v>8</v>
      </c>
      <c r="E2358">
        <v>94</v>
      </c>
      <c r="F2358">
        <v>47</v>
      </c>
      <c r="G2358">
        <v>752</v>
      </c>
      <c r="H2358" s="4">
        <v>376</v>
      </c>
      <c r="I2358" s="4">
        <v>376</v>
      </c>
      <c r="J2358" t="s">
        <v>343</v>
      </c>
      <c r="K2358" t="s">
        <v>42</v>
      </c>
      <c r="L2358" s="4">
        <v>9.8928038181361391</v>
      </c>
      <c r="M2358" s="1" t="s">
        <v>34</v>
      </c>
      <c r="N2358" s="11">
        <f t="shared" si="36"/>
        <v>1</v>
      </c>
    </row>
    <row r="2359" spans="1:14" ht="16" x14ac:dyDescent="0.2">
      <c r="A2359" s="3">
        <v>43259.092377121939</v>
      </c>
      <c r="B2359" s="1" t="s">
        <v>2658</v>
      </c>
      <c r="C2359" t="s">
        <v>276</v>
      </c>
      <c r="D2359">
        <v>12</v>
      </c>
      <c r="E2359">
        <v>57</v>
      </c>
      <c r="F2359">
        <v>19</v>
      </c>
      <c r="G2359">
        <v>684</v>
      </c>
      <c r="H2359" s="4">
        <v>228</v>
      </c>
      <c r="I2359" s="4">
        <v>456</v>
      </c>
      <c r="J2359" t="s">
        <v>331</v>
      </c>
      <c r="K2359" t="s">
        <v>58</v>
      </c>
      <c r="L2359" s="4">
        <v>15.18789248529443</v>
      </c>
      <c r="M2359" s="1" t="s">
        <v>38</v>
      </c>
      <c r="N2359" s="11">
        <f t="shared" si="36"/>
        <v>5</v>
      </c>
    </row>
    <row r="2360" spans="1:14" ht="16" x14ac:dyDescent="0.2">
      <c r="A2360" s="3">
        <v>43661.350893428928</v>
      </c>
      <c r="B2360" s="1" t="s">
        <v>2659</v>
      </c>
      <c r="C2360" t="s">
        <v>120</v>
      </c>
      <c r="D2360">
        <v>7</v>
      </c>
      <c r="E2360">
        <v>252</v>
      </c>
      <c r="F2360">
        <v>63</v>
      </c>
      <c r="G2360">
        <v>1764</v>
      </c>
      <c r="H2360" s="4">
        <v>441</v>
      </c>
      <c r="I2360" s="4">
        <v>1323</v>
      </c>
      <c r="J2360" t="s">
        <v>825</v>
      </c>
      <c r="K2360" t="s">
        <v>42</v>
      </c>
      <c r="L2360" s="4">
        <v>14.060995290679429</v>
      </c>
      <c r="M2360" s="1" t="s">
        <v>34</v>
      </c>
      <c r="N2360" s="11">
        <f t="shared" si="36"/>
        <v>1</v>
      </c>
    </row>
    <row r="2361" spans="1:14" ht="16" x14ac:dyDescent="0.2">
      <c r="A2361" s="3">
        <v>44608.205557678062</v>
      </c>
      <c r="B2361" s="1" t="s">
        <v>2660</v>
      </c>
      <c r="C2361" t="s">
        <v>88</v>
      </c>
      <c r="D2361">
        <v>4</v>
      </c>
      <c r="E2361">
        <v>210</v>
      </c>
      <c r="F2361">
        <v>70</v>
      </c>
      <c r="G2361">
        <v>840</v>
      </c>
      <c r="H2361" s="4">
        <v>280</v>
      </c>
      <c r="I2361" s="4">
        <v>560</v>
      </c>
      <c r="J2361" t="s">
        <v>205</v>
      </c>
      <c r="K2361" t="s">
        <v>33</v>
      </c>
      <c r="L2361" s="4">
        <v>12.007834550770397</v>
      </c>
      <c r="M2361" s="1" t="s">
        <v>38</v>
      </c>
      <c r="N2361" s="11">
        <f t="shared" si="36"/>
        <v>5</v>
      </c>
    </row>
    <row r="2362" spans="1:14" ht="16" x14ac:dyDescent="0.2">
      <c r="A2362" s="3">
        <v>44093.526236344325</v>
      </c>
      <c r="B2362" s="1" t="s">
        <v>2661</v>
      </c>
      <c r="C2362" t="s">
        <v>125</v>
      </c>
      <c r="D2362">
        <v>20</v>
      </c>
      <c r="E2362">
        <v>176</v>
      </c>
      <c r="F2362">
        <v>88</v>
      </c>
      <c r="G2362">
        <v>3520</v>
      </c>
      <c r="H2362" s="4">
        <v>1760</v>
      </c>
      <c r="I2362" s="4">
        <v>1760</v>
      </c>
      <c r="J2362" t="s">
        <v>844</v>
      </c>
      <c r="K2362" t="s">
        <v>33</v>
      </c>
      <c r="L2362" s="4">
        <v>11.816654396440285</v>
      </c>
      <c r="M2362" s="1" t="s">
        <v>34</v>
      </c>
      <c r="N2362" s="11">
        <f t="shared" si="36"/>
        <v>1</v>
      </c>
    </row>
    <row r="2363" spans="1:14" ht="16" x14ac:dyDescent="0.2">
      <c r="A2363" s="3">
        <v>44454.509028709093</v>
      </c>
      <c r="B2363" s="1" t="s">
        <v>2662</v>
      </c>
      <c r="C2363" t="s">
        <v>115</v>
      </c>
      <c r="D2363">
        <v>18</v>
      </c>
      <c r="E2363">
        <v>81</v>
      </c>
      <c r="F2363">
        <v>27</v>
      </c>
      <c r="G2363">
        <v>1458</v>
      </c>
      <c r="H2363" s="4">
        <v>486</v>
      </c>
      <c r="I2363" s="4">
        <v>972</v>
      </c>
      <c r="J2363" t="s">
        <v>1136</v>
      </c>
      <c r="K2363" t="s">
        <v>49</v>
      </c>
      <c r="L2363" s="4">
        <v>14.129095302641241</v>
      </c>
      <c r="M2363" s="1" t="s">
        <v>54</v>
      </c>
      <c r="N2363" s="11">
        <f t="shared" si="36"/>
        <v>10</v>
      </c>
    </row>
    <row r="2364" spans="1:14" ht="16" x14ac:dyDescent="0.2">
      <c r="A2364" s="3">
        <v>44555.448623245931</v>
      </c>
      <c r="B2364" s="1" t="s">
        <v>2663</v>
      </c>
      <c r="C2364" t="s">
        <v>538</v>
      </c>
      <c r="D2364">
        <v>8</v>
      </c>
      <c r="E2364">
        <v>261</v>
      </c>
      <c r="F2364">
        <v>87</v>
      </c>
      <c r="G2364">
        <v>2088</v>
      </c>
      <c r="H2364" s="4">
        <v>696</v>
      </c>
      <c r="I2364" s="4">
        <v>1392</v>
      </c>
      <c r="J2364" t="s">
        <v>1157</v>
      </c>
      <c r="K2364" t="s">
        <v>42</v>
      </c>
      <c r="L2364" s="4">
        <v>10.517826055804084</v>
      </c>
      <c r="M2364" s="1" t="s">
        <v>38</v>
      </c>
      <c r="N2364" s="11">
        <f t="shared" si="36"/>
        <v>5</v>
      </c>
    </row>
    <row r="2365" spans="1:14" ht="16" x14ac:dyDescent="0.2">
      <c r="A2365" s="3">
        <v>44846.825951243576</v>
      </c>
      <c r="B2365" s="1" t="s">
        <v>2664</v>
      </c>
      <c r="C2365" t="s">
        <v>36</v>
      </c>
      <c r="D2365">
        <v>10</v>
      </c>
      <c r="E2365">
        <v>102</v>
      </c>
      <c r="F2365">
        <v>51</v>
      </c>
      <c r="G2365">
        <v>1020</v>
      </c>
      <c r="H2365" s="4">
        <v>510</v>
      </c>
      <c r="I2365" s="4">
        <v>510</v>
      </c>
      <c r="J2365" t="s">
        <v>264</v>
      </c>
      <c r="K2365" t="s">
        <v>42</v>
      </c>
      <c r="L2365" s="4">
        <v>12.514998090845811</v>
      </c>
      <c r="M2365" s="1" t="s">
        <v>38</v>
      </c>
      <c r="N2365" s="11">
        <f t="shared" si="36"/>
        <v>5</v>
      </c>
    </row>
    <row r="2366" spans="1:14" ht="16" x14ac:dyDescent="0.2">
      <c r="A2366" s="3">
        <v>44009.011457782799</v>
      </c>
      <c r="B2366" s="1" t="s">
        <v>2665</v>
      </c>
      <c r="C2366" t="s">
        <v>171</v>
      </c>
      <c r="D2366">
        <v>6</v>
      </c>
      <c r="E2366">
        <v>225</v>
      </c>
      <c r="F2366">
        <v>75</v>
      </c>
      <c r="G2366">
        <v>1350</v>
      </c>
      <c r="H2366" s="4">
        <v>450</v>
      </c>
      <c r="I2366" s="4">
        <v>900</v>
      </c>
      <c r="J2366" t="s">
        <v>643</v>
      </c>
      <c r="K2366" t="s">
        <v>33</v>
      </c>
      <c r="L2366" s="4">
        <v>12.275875773922367</v>
      </c>
      <c r="M2366" s="1" t="s">
        <v>54</v>
      </c>
      <c r="N2366" s="11">
        <f t="shared" si="36"/>
        <v>10</v>
      </c>
    </row>
    <row r="2367" spans="1:14" ht="16" x14ac:dyDescent="0.2">
      <c r="A2367" s="3">
        <v>44521.575658353555</v>
      </c>
      <c r="B2367" s="1" t="s">
        <v>2666</v>
      </c>
      <c r="C2367" t="s">
        <v>337</v>
      </c>
      <c r="D2367">
        <v>12</v>
      </c>
      <c r="E2367">
        <v>135</v>
      </c>
      <c r="F2367">
        <v>45</v>
      </c>
      <c r="G2367">
        <v>1620</v>
      </c>
      <c r="H2367" s="4">
        <v>540</v>
      </c>
      <c r="I2367" s="4">
        <v>1080</v>
      </c>
      <c r="J2367" t="s">
        <v>1068</v>
      </c>
      <c r="K2367" t="s">
        <v>42</v>
      </c>
      <c r="L2367" s="4">
        <v>8.1352386075080023</v>
      </c>
      <c r="M2367" s="1" t="s">
        <v>38</v>
      </c>
      <c r="N2367" s="11">
        <f t="shared" si="36"/>
        <v>5</v>
      </c>
    </row>
    <row r="2368" spans="1:14" ht="16" x14ac:dyDescent="0.2">
      <c r="A2368" s="3">
        <v>42967.742113159358</v>
      </c>
      <c r="B2368" s="1" t="s">
        <v>2667</v>
      </c>
      <c r="C2368" t="s">
        <v>62</v>
      </c>
      <c r="D2368">
        <v>3</v>
      </c>
      <c r="E2368">
        <v>80</v>
      </c>
      <c r="F2368">
        <v>20</v>
      </c>
      <c r="G2368">
        <v>240</v>
      </c>
      <c r="H2368" s="4">
        <v>60</v>
      </c>
      <c r="I2368" s="4">
        <v>180</v>
      </c>
      <c r="J2368" t="s">
        <v>856</v>
      </c>
      <c r="K2368" t="s">
        <v>42</v>
      </c>
      <c r="L2368" s="4">
        <v>11.226611755437654</v>
      </c>
      <c r="M2368" s="1" t="s">
        <v>38</v>
      </c>
      <c r="N2368" s="11">
        <f t="shared" si="36"/>
        <v>5</v>
      </c>
    </row>
    <row r="2369" spans="1:14" ht="16" x14ac:dyDescent="0.2">
      <c r="A2369" s="3">
        <v>43578.569671969759</v>
      </c>
      <c r="B2369" s="1" t="s">
        <v>2668</v>
      </c>
      <c r="C2369" t="s">
        <v>193</v>
      </c>
      <c r="D2369">
        <v>12</v>
      </c>
      <c r="E2369">
        <v>348</v>
      </c>
      <c r="F2369">
        <v>87</v>
      </c>
      <c r="G2369">
        <v>4176</v>
      </c>
      <c r="H2369" s="4">
        <v>1044</v>
      </c>
      <c r="I2369" s="4">
        <v>3132</v>
      </c>
      <c r="J2369" t="s">
        <v>455</v>
      </c>
      <c r="K2369" t="s">
        <v>53</v>
      </c>
      <c r="L2369" s="4">
        <v>13.574227261506472</v>
      </c>
      <c r="M2369" s="1" t="s">
        <v>54</v>
      </c>
      <c r="N2369" s="11">
        <f t="shared" si="36"/>
        <v>10</v>
      </c>
    </row>
    <row r="2370" spans="1:14" ht="16" x14ac:dyDescent="0.2">
      <c r="A2370" s="3">
        <v>43126.637145205008</v>
      </c>
      <c r="B2370" s="1" t="s">
        <v>2669</v>
      </c>
      <c r="C2370" t="s">
        <v>257</v>
      </c>
      <c r="D2370">
        <v>6</v>
      </c>
      <c r="E2370">
        <v>160</v>
      </c>
      <c r="F2370">
        <v>80</v>
      </c>
      <c r="G2370">
        <v>960</v>
      </c>
      <c r="H2370" s="4">
        <v>480</v>
      </c>
      <c r="I2370" s="4">
        <v>480</v>
      </c>
      <c r="J2370" t="s">
        <v>134</v>
      </c>
      <c r="K2370" t="s">
        <v>33</v>
      </c>
      <c r="L2370" s="4">
        <v>9.4200113153305907</v>
      </c>
      <c r="M2370" s="1" t="s">
        <v>38</v>
      </c>
      <c r="N2370" s="11">
        <f t="shared" si="36"/>
        <v>5</v>
      </c>
    </row>
    <row r="2371" spans="1:14" ht="16" x14ac:dyDescent="0.2">
      <c r="A2371" s="3">
        <v>44675.380935943809</v>
      </c>
      <c r="B2371" s="1" t="s">
        <v>2670</v>
      </c>
      <c r="C2371" t="s">
        <v>51</v>
      </c>
      <c r="D2371">
        <v>17</v>
      </c>
      <c r="E2371">
        <v>160</v>
      </c>
      <c r="F2371">
        <v>80</v>
      </c>
      <c r="G2371">
        <v>2720</v>
      </c>
      <c r="H2371" s="4">
        <v>1360</v>
      </c>
      <c r="I2371" s="4">
        <v>1360</v>
      </c>
      <c r="J2371" t="s">
        <v>1702</v>
      </c>
      <c r="K2371" t="s">
        <v>42</v>
      </c>
      <c r="L2371" s="4">
        <v>11.375127981841125</v>
      </c>
      <c r="M2371" s="1" t="s">
        <v>54</v>
      </c>
      <c r="N2371" s="11">
        <f t="shared" ref="N2371:N2434" si="37">+IF(M2371="Dissatisfied",1,IF(M2371="Satisfied",10,5))</f>
        <v>10</v>
      </c>
    </row>
    <row r="2372" spans="1:14" ht="16" x14ac:dyDescent="0.2">
      <c r="A2372" s="3">
        <v>44258.951108961883</v>
      </c>
      <c r="B2372" s="1" t="s">
        <v>2671</v>
      </c>
      <c r="C2372" t="s">
        <v>101</v>
      </c>
      <c r="D2372">
        <v>1</v>
      </c>
      <c r="E2372">
        <v>50</v>
      </c>
      <c r="F2372">
        <v>25</v>
      </c>
      <c r="G2372">
        <v>50</v>
      </c>
      <c r="H2372" s="4">
        <v>25</v>
      </c>
      <c r="I2372" s="4">
        <v>25</v>
      </c>
      <c r="J2372" t="s">
        <v>650</v>
      </c>
      <c r="K2372" t="s">
        <v>86</v>
      </c>
      <c r="L2372" s="4">
        <v>12.679725647708608</v>
      </c>
      <c r="M2372" s="1" t="s">
        <v>38</v>
      </c>
      <c r="N2372" s="11">
        <f t="shared" si="37"/>
        <v>5</v>
      </c>
    </row>
    <row r="2373" spans="1:14" ht="16" x14ac:dyDescent="0.2">
      <c r="A2373" s="3">
        <v>43287.310806729249</v>
      </c>
      <c r="B2373" s="1" t="s">
        <v>2672</v>
      </c>
      <c r="C2373" t="s">
        <v>788</v>
      </c>
      <c r="D2373">
        <v>6</v>
      </c>
      <c r="E2373">
        <v>100</v>
      </c>
      <c r="F2373">
        <v>25</v>
      </c>
      <c r="G2373">
        <v>600</v>
      </c>
      <c r="H2373" s="4">
        <v>150</v>
      </c>
      <c r="I2373" s="4">
        <v>450</v>
      </c>
      <c r="J2373" t="s">
        <v>856</v>
      </c>
      <c r="K2373" t="s">
        <v>42</v>
      </c>
      <c r="L2373" s="4">
        <v>11.226611755437654</v>
      </c>
      <c r="M2373" s="1" t="s">
        <v>54</v>
      </c>
      <c r="N2373" s="11">
        <f t="shared" si="37"/>
        <v>10</v>
      </c>
    </row>
    <row r="2374" spans="1:14" ht="16" x14ac:dyDescent="0.2">
      <c r="A2374" s="3">
        <v>44336.6465003345</v>
      </c>
      <c r="B2374" s="1" t="s">
        <v>2673</v>
      </c>
      <c r="C2374" t="s">
        <v>139</v>
      </c>
      <c r="D2374">
        <v>17</v>
      </c>
      <c r="E2374">
        <v>320</v>
      </c>
      <c r="F2374">
        <v>80</v>
      </c>
      <c r="G2374">
        <v>5440</v>
      </c>
      <c r="H2374" s="4">
        <v>1360</v>
      </c>
      <c r="I2374" s="4">
        <v>4080</v>
      </c>
      <c r="J2374" t="s">
        <v>678</v>
      </c>
      <c r="K2374" t="s">
        <v>86</v>
      </c>
      <c r="L2374" s="4">
        <v>12.460490918487697</v>
      </c>
      <c r="M2374" s="1" t="s">
        <v>38</v>
      </c>
      <c r="N2374" s="11">
        <f t="shared" si="37"/>
        <v>5</v>
      </c>
    </row>
    <row r="2375" spans="1:14" ht="16" x14ac:dyDescent="0.2">
      <c r="A2375" s="3">
        <v>43989.187287002569</v>
      </c>
      <c r="B2375" s="1" t="s">
        <v>2674</v>
      </c>
      <c r="C2375" t="s">
        <v>544</v>
      </c>
      <c r="D2375">
        <v>4</v>
      </c>
      <c r="E2375">
        <v>267</v>
      </c>
      <c r="F2375">
        <v>89</v>
      </c>
      <c r="G2375">
        <v>1068</v>
      </c>
      <c r="H2375" s="4">
        <v>356</v>
      </c>
      <c r="I2375" s="4">
        <v>712</v>
      </c>
      <c r="J2375" t="s">
        <v>149</v>
      </c>
      <c r="K2375" t="s">
        <v>58</v>
      </c>
      <c r="L2375" s="4">
        <v>8.1085102757869372</v>
      </c>
      <c r="M2375" s="1" t="s">
        <v>54</v>
      </c>
      <c r="N2375" s="11">
        <f t="shared" si="37"/>
        <v>10</v>
      </c>
    </row>
    <row r="2376" spans="1:14" ht="16" x14ac:dyDescent="0.2">
      <c r="A2376" s="3">
        <v>44861.355285617014</v>
      </c>
      <c r="B2376" s="1" t="s">
        <v>2675</v>
      </c>
      <c r="C2376" t="s">
        <v>151</v>
      </c>
      <c r="D2376">
        <v>19</v>
      </c>
      <c r="E2376">
        <v>153</v>
      </c>
      <c r="F2376">
        <v>51</v>
      </c>
      <c r="G2376">
        <v>2907</v>
      </c>
      <c r="H2376" s="4">
        <v>969</v>
      </c>
      <c r="I2376" s="4">
        <v>1938</v>
      </c>
      <c r="J2376" t="s">
        <v>557</v>
      </c>
      <c r="K2376" t="s">
        <v>64</v>
      </c>
      <c r="L2376" s="4">
        <v>10.037135914792184</v>
      </c>
      <c r="M2376" s="1" t="s">
        <v>54</v>
      </c>
      <c r="N2376" s="11">
        <f t="shared" si="37"/>
        <v>10</v>
      </c>
    </row>
    <row r="2377" spans="1:14" ht="16" x14ac:dyDescent="0.2">
      <c r="A2377" s="3">
        <v>43115.11355802272</v>
      </c>
      <c r="B2377" s="1" t="s">
        <v>2676</v>
      </c>
      <c r="C2377" t="s">
        <v>113</v>
      </c>
      <c r="D2377">
        <v>3</v>
      </c>
      <c r="E2377">
        <v>66</v>
      </c>
      <c r="F2377">
        <v>33</v>
      </c>
      <c r="G2377">
        <v>198</v>
      </c>
      <c r="H2377" s="4">
        <v>99</v>
      </c>
      <c r="I2377" s="4">
        <v>99</v>
      </c>
      <c r="J2377" t="s">
        <v>351</v>
      </c>
      <c r="K2377" t="s">
        <v>33</v>
      </c>
      <c r="L2377" s="4">
        <v>11.070908141213383</v>
      </c>
      <c r="M2377" s="1" t="s">
        <v>38</v>
      </c>
      <c r="N2377" s="11">
        <f t="shared" si="37"/>
        <v>5</v>
      </c>
    </row>
    <row r="2378" spans="1:14" ht="16" x14ac:dyDescent="0.2">
      <c r="A2378" s="3">
        <v>43696.847355741702</v>
      </c>
      <c r="B2378" s="1" t="s">
        <v>2677</v>
      </c>
      <c r="C2378" t="s">
        <v>523</v>
      </c>
      <c r="D2378">
        <v>11</v>
      </c>
      <c r="E2378">
        <v>92</v>
      </c>
      <c r="F2378">
        <v>46</v>
      </c>
      <c r="G2378">
        <v>1012</v>
      </c>
      <c r="H2378" s="4">
        <v>506</v>
      </c>
      <c r="I2378" s="4">
        <v>506</v>
      </c>
      <c r="J2378" t="s">
        <v>455</v>
      </c>
      <c r="K2378" t="s">
        <v>53</v>
      </c>
      <c r="L2378" s="4">
        <v>13.574227261506472</v>
      </c>
      <c r="M2378" s="1" t="s">
        <v>38</v>
      </c>
      <c r="N2378" s="11">
        <f t="shared" si="37"/>
        <v>5</v>
      </c>
    </row>
    <row r="2379" spans="1:14" ht="16" x14ac:dyDescent="0.2">
      <c r="A2379" s="3">
        <v>44121.092295823481</v>
      </c>
      <c r="B2379" s="1" t="s">
        <v>2678</v>
      </c>
      <c r="C2379" t="s">
        <v>105</v>
      </c>
      <c r="D2379">
        <v>8</v>
      </c>
      <c r="E2379">
        <v>201</v>
      </c>
      <c r="F2379">
        <v>67</v>
      </c>
      <c r="G2379">
        <v>1608</v>
      </c>
      <c r="H2379" s="4">
        <v>536</v>
      </c>
      <c r="I2379" s="4">
        <v>1072</v>
      </c>
      <c r="J2379" t="s">
        <v>492</v>
      </c>
      <c r="K2379" t="s">
        <v>33</v>
      </c>
      <c r="L2379" s="4">
        <v>11.799431383856128</v>
      </c>
      <c r="M2379" s="1" t="s">
        <v>54</v>
      </c>
      <c r="N2379" s="11">
        <f t="shared" si="37"/>
        <v>10</v>
      </c>
    </row>
    <row r="2380" spans="1:14" ht="16" x14ac:dyDescent="0.2">
      <c r="A2380" s="3">
        <v>44681.884207187795</v>
      </c>
      <c r="B2380" s="1" t="s">
        <v>2679</v>
      </c>
      <c r="C2380" t="s">
        <v>204</v>
      </c>
      <c r="D2380">
        <v>9</v>
      </c>
      <c r="E2380">
        <v>57</v>
      </c>
      <c r="F2380">
        <v>19</v>
      </c>
      <c r="G2380">
        <v>513</v>
      </c>
      <c r="H2380" s="4">
        <v>171</v>
      </c>
      <c r="I2380" s="4">
        <v>342</v>
      </c>
      <c r="J2380" t="s">
        <v>371</v>
      </c>
      <c r="K2380" t="s">
        <v>58</v>
      </c>
      <c r="L2380" s="4">
        <v>12.004541523616258</v>
      </c>
      <c r="M2380" s="1" t="s">
        <v>38</v>
      </c>
      <c r="N2380" s="11">
        <f t="shared" si="37"/>
        <v>5</v>
      </c>
    </row>
    <row r="2381" spans="1:14" ht="16" x14ac:dyDescent="0.2">
      <c r="A2381" s="3">
        <v>44812.56106163709</v>
      </c>
      <c r="B2381" s="1" t="s">
        <v>2680</v>
      </c>
      <c r="C2381" t="s">
        <v>386</v>
      </c>
      <c r="D2381">
        <v>2</v>
      </c>
      <c r="E2381">
        <v>110</v>
      </c>
      <c r="F2381">
        <v>55</v>
      </c>
      <c r="G2381">
        <v>220</v>
      </c>
      <c r="H2381" s="4">
        <v>110</v>
      </c>
      <c r="I2381" s="4">
        <v>110</v>
      </c>
      <c r="J2381" t="s">
        <v>609</v>
      </c>
      <c r="K2381" t="s">
        <v>64</v>
      </c>
      <c r="L2381" s="4">
        <v>12.564315242820944</v>
      </c>
      <c r="M2381" s="1" t="s">
        <v>38</v>
      </c>
      <c r="N2381" s="11">
        <f t="shared" si="37"/>
        <v>5</v>
      </c>
    </row>
    <row r="2382" spans="1:14" ht="16" x14ac:dyDescent="0.2">
      <c r="A2382" s="3">
        <v>44010.148731327892</v>
      </c>
      <c r="B2382" s="1" t="s">
        <v>766</v>
      </c>
      <c r="C2382" t="s">
        <v>31</v>
      </c>
      <c r="D2382">
        <v>16</v>
      </c>
      <c r="E2382">
        <v>280</v>
      </c>
      <c r="F2382">
        <v>70</v>
      </c>
      <c r="G2382">
        <v>4480</v>
      </c>
      <c r="H2382" s="4">
        <v>1120</v>
      </c>
      <c r="I2382" s="4">
        <v>3360</v>
      </c>
      <c r="J2382" t="s">
        <v>980</v>
      </c>
      <c r="K2382" t="s">
        <v>33</v>
      </c>
      <c r="L2382" s="4">
        <v>8.1743378387804331</v>
      </c>
      <c r="M2382" s="1" t="s">
        <v>34</v>
      </c>
      <c r="N2382" s="11">
        <f t="shared" si="37"/>
        <v>1</v>
      </c>
    </row>
    <row r="2383" spans="1:14" ht="16" x14ac:dyDescent="0.2">
      <c r="A2383" s="3">
        <v>44319.178115540868</v>
      </c>
      <c r="B2383" s="1" t="s">
        <v>2681</v>
      </c>
      <c r="C2383" t="s">
        <v>547</v>
      </c>
      <c r="D2383">
        <v>5</v>
      </c>
      <c r="E2383">
        <v>300</v>
      </c>
      <c r="F2383">
        <v>75</v>
      </c>
      <c r="G2383">
        <v>1500</v>
      </c>
      <c r="H2383" s="4">
        <v>375</v>
      </c>
      <c r="I2383" s="4">
        <v>1125</v>
      </c>
      <c r="J2383" t="s">
        <v>199</v>
      </c>
      <c r="K2383" t="s">
        <v>86</v>
      </c>
      <c r="L2383" s="4">
        <v>13.890275354050972</v>
      </c>
      <c r="M2383" s="1" t="s">
        <v>38</v>
      </c>
      <c r="N2383" s="11">
        <f t="shared" si="37"/>
        <v>5</v>
      </c>
    </row>
    <row r="2384" spans="1:14" ht="16" x14ac:dyDescent="0.2">
      <c r="A2384" s="3">
        <v>43489.560634911082</v>
      </c>
      <c r="B2384" s="1" t="s">
        <v>935</v>
      </c>
      <c r="C2384" t="s">
        <v>410</v>
      </c>
      <c r="D2384">
        <v>18</v>
      </c>
      <c r="E2384">
        <v>84</v>
      </c>
      <c r="F2384">
        <v>21</v>
      </c>
      <c r="G2384">
        <v>1512</v>
      </c>
      <c r="H2384" s="4">
        <v>378</v>
      </c>
      <c r="I2384" s="4">
        <v>1134</v>
      </c>
      <c r="J2384" t="s">
        <v>205</v>
      </c>
      <c r="K2384" t="s">
        <v>33</v>
      </c>
      <c r="L2384" s="4">
        <v>12.007834550770397</v>
      </c>
      <c r="M2384" s="1" t="s">
        <v>38</v>
      </c>
      <c r="N2384" s="11">
        <f t="shared" si="37"/>
        <v>5</v>
      </c>
    </row>
    <row r="2385" spans="1:14" ht="16" x14ac:dyDescent="0.2">
      <c r="A2385" s="3">
        <v>43409.503593359463</v>
      </c>
      <c r="B2385" s="1" t="s">
        <v>2682</v>
      </c>
      <c r="C2385" t="s">
        <v>227</v>
      </c>
      <c r="D2385">
        <v>11</v>
      </c>
      <c r="E2385">
        <v>144</v>
      </c>
      <c r="F2385">
        <v>48</v>
      </c>
      <c r="G2385">
        <v>1584</v>
      </c>
      <c r="H2385" s="4">
        <v>528</v>
      </c>
      <c r="I2385" s="4">
        <v>1056</v>
      </c>
      <c r="J2385" t="s">
        <v>387</v>
      </c>
      <c r="K2385" t="s">
        <v>86</v>
      </c>
      <c r="L2385" s="4">
        <v>15.60430546146185</v>
      </c>
      <c r="M2385" s="1" t="s">
        <v>38</v>
      </c>
      <c r="N2385" s="11">
        <f t="shared" si="37"/>
        <v>5</v>
      </c>
    </row>
    <row r="2386" spans="1:14" ht="16" x14ac:dyDescent="0.2">
      <c r="A2386" s="3">
        <v>43860.050817372896</v>
      </c>
      <c r="B2386" s="1" t="s">
        <v>2683</v>
      </c>
      <c r="C2386" t="s">
        <v>304</v>
      </c>
      <c r="D2386">
        <v>2</v>
      </c>
      <c r="E2386">
        <v>116</v>
      </c>
      <c r="F2386">
        <v>29</v>
      </c>
      <c r="G2386">
        <v>232</v>
      </c>
      <c r="H2386" s="4">
        <v>58</v>
      </c>
      <c r="I2386" s="4">
        <v>174</v>
      </c>
      <c r="J2386" t="s">
        <v>638</v>
      </c>
      <c r="K2386" t="s">
        <v>33</v>
      </c>
      <c r="L2386" s="4">
        <v>12.131375018945562</v>
      </c>
      <c r="M2386" s="1" t="s">
        <v>38</v>
      </c>
      <c r="N2386" s="11">
        <f t="shared" si="37"/>
        <v>5</v>
      </c>
    </row>
    <row r="2387" spans="1:14" ht="16" x14ac:dyDescent="0.2">
      <c r="A2387" s="3">
        <v>43993.661206274846</v>
      </c>
      <c r="B2387" s="1" t="s">
        <v>2684</v>
      </c>
      <c r="C2387" t="s">
        <v>583</v>
      </c>
      <c r="D2387">
        <v>14</v>
      </c>
      <c r="E2387">
        <v>57</v>
      </c>
      <c r="F2387">
        <v>19</v>
      </c>
      <c r="G2387">
        <v>798</v>
      </c>
      <c r="H2387" s="4">
        <v>266</v>
      </c>
      <c r="I2387" s="4">
        <v>532</v>
      </c>
      <c r="J2387" t="s">
        <v>442</v>
      </c>
      <c r="K2387" t="s">
        <v>58</v>
      </c>
      <c r="L2387" s="4">
        <v>16.429355109701351</v>
      </c>
      <c r="M2387" s="1" t="s">
        <v>54</v>
      </c>
      <c r="N2387" s="11">
        <f t="shared" si="37"/>
        <v>10</v>
      </c>
    </row>
    <row r="2388" spans="1:14" ht="16" x14ac:dyDescent="0.2">
      <c r="A2388" s="3">
        <v>43751.66198854379</v>
      </c>
      <c r="B2388" s="1" t="s">
        <v>2685</v>
      </c>
      <c r="C2388" t="s">
        <v>98</v>
      </c>
      <c r="D2388">
        <v>1</v>
      </c>
      <c r="E2388">
        <v>156</v>
      </c>
      <c r="F2388">
        <v>78</v>
      </c>
      <c r="G2388">
        <v>156</v>
      </c>
      <c r="H2388" s="4">
        <v>78</v>
      </c>
      <c r="I2388" s="4">
        <v>78</v>
      </c>
      <c r="J2388" t="s">
        <v>446</v>
      </c>
      <c r="K2388" t="s">
        <v>53</v>
      </c>
      <c r="L2388" s="4">
        <v>12.85215703546821</v>
      </c>
      <c r="M2388" s="1" t="s">
        <v>38</v>
      </c>
      <c r="N2388" s="11">
        <f t="shared" si="37"/>
        <v>5</v>
      </c>
    </row>
    <row r="2389" spans="1:14" ht="16" x14ac:dyDescent="0.2">
      <c r="A2389" s="3">
        <v>43940.951179830234</v>
      </c>
      <c r="B2389" s="1" t="s">
        <v>267</v>
      </c>
      <c r="C2389" t="s">
        <v>209</v>
      </c>
      <c r="D2389">
        <v>9</v>
      </c>
      <c r="E2389">
        <v>150</v>
      </c>
      <c r="F2389">
        <v>75</v>
      </c>
      <c r="G2389">
        <v>1350</v>
      </c>
      <c r="H2389" s="4">
        <v>675</v>
      </c>
      <c r="I2389" s="4">
        <v>675</v>
      </c>
      <c r="J2389" t="s">
        <v>567</v>
      </c>
      <c r="K2389" t="s">
        <v>49</v>
      </c>
      <c r="L2389" s="4">
        <v>12.147202500273634</v>
      </c>
      <c r="M2389" s="1" t="s">
        <v>38</v>
      </c>
      <c r="N2389" s="11">
        <f t="shared" si="37"/>
        <v>5</v>
      </c>
    </row>
    <row r="2390" spans="1:14" ht="16" x14ac:dyDescent="0.2">
      <c r="A2390" s="3">
        <v>43146.258622853195</v>
      </c>
      <c r="B2390" s="1" t="s">
        <v>2686</v>
      </c>
      <c r="C2390" t="s">
        <v>259</v>
      </c>
      <c r="D2390">
        <v>20</v>
      </c>
      <c r="E2390">
        <v>270</v>
      </c>
      <c r="F2390">
        <v>90</v>
      </c>
      <c r="G2390">
        <v>5400</v>
      </c>
      <c r="H2390" s="4">
        <v>1800</v>
      </c>
      <c r="I2390" s="4">
        <v>3600</v>
      </c>
      <c r="J2390" t="s">
        <v>219</v>
      </c>
      <c r="K2390" t="s">
        <v>49</v>
      </c>
      <c r="L2390" s="4">
        <v>13.697485557052493</v>
      </c>
      <c r="M2390" s="1" t="s">
        <v>38</v>
      </c>
      <c r="N2390" s="11">
        <f t="shared" si="37"/>
        <v>5</v>
      </c>
    </row>
    <row r="2391" spans="1:14" ht="16" x14ac:dyDescent="0.2">
      <c r="A2391" s="3">
        <v>43649.31174155925</v>
      </c>
      <c r="B2391" s="1" t="s">
        <v>2687</v>
      </c>
      <c r="C2391" t="s">
        <v>157</v>
      </c>
      <c r="D2391">
        <v>15</v>
      </c>
      <c r="E2391">
        <v>50</v>
      </c>
      <c r="F2391">
        <v>25</v>
      </c>
      <c r="G2391">
        <v>750</v>
      </c>
      <c r="H2391" s="4">
        <v>375</v>
      </c>
      <c r="I2391" s="4">
        <v>375</v>
      </c>
      <c r="J2391" t="s">
        <v>1343</v>
      </c>
      <c r="K2391" t="s">
        <v>49</v>
      </c>
      <c r="L2391" s="4">
        <v>9.1264071155960682</v>
      </c>
      <c r="M2391" s="1" t="s">
        <v>38</v>
      </c>
      <c r="N2391" s="11">
        <f t="shared" si="37"/>
        <v>5</v>
      </c>
    </row>
    <row r="2392" spans="1:14" ht="16" x14ac:dyDescent="0.2">
      <c r="A2392" s="3">
        <v>43926.134176926469</v>
      </c>
      <c r="B2392" s="1" t="s">
        <v>2688</v>
      </c>
      <c r="C2392" t="s">
        <v>561</v>
      </c>
      <c r="D2392">
        <v>10</v>
      </c>
      <c r="E2392">
        <v>384</v>
      </c>
      <c r="F2392">
        <v>96</v>
      </c>
      <c r="G2392">
        <v>3840</v>
      </c>
      <c r="H2392" s="4">
        <v>960</v>
      </c>
      <c r="I2392" s="4">
        <v>2880</v>
      </c>
      <c r="J2392" t="s">
        <v>392</v>
      </c>
      <c r="K2392" t="s">
        <v>49</v>
      </c>
      <c r="L2392" s="4">
        <v>12.456740895640767</v>
      </c>
      <c r="M2392" s="1" t="s">
        <v>38</v>
      </c>
      <c r="N2392" s="11">
        <f t="shared" si="37"/>
        <v>5</v>
      </c>
    </row>
    <row r="2393" spans="1:14" ht="16" x14ac:dyDescent="0.2">
      <c r="A2393" s="3">
        <v>44143.488455137442</v>
      </c>
      <c r="B2393" s="1" t="s">
        <v>2689</v>
      </c>
      <c r="C2393" t="s">
        <v>431</v>
      </c>
      <c r="D2393">
        <v>20</v>
      </c>
      <c r="E2393">
        <v>356</v>
      </c>
      <c r="F2393">
        <v>89</v>
      </c>
      <c r="G2393">
        <v>7120</v>
      </c>
      <c r="H2393" s="4">
        <v>1780</v>
      </c>
      <c r="I2393" s="4">
        <v>5340</v>
      </c>
      <c r="J2393" t="s">
        <v>1157</v>
      </c>
      <c r="K2393" t="s">
        <v>42</v>
      </c>
      <c r="L2393" s="4">
        <v>10.517826055804084</v>
      </c>
      <c r="M2393" s="1" t="s">
        <v>38</v>
      </c>
      <c r="N2393" s="11">
        <f t="shared" si="37"/>
        <v>5</v>
      </c>
    </row>
    <row r="2394" spans="1:14" ht="16" x14ac:dyDescent="0.2">
      <c r="A2394" s="3">
        <v>42957.048812042449</v>
      </c>
      <c r="B2394" s="1" t="s">
        <v>2690</v>
      </c>
      <c r="C2394" t="s">
        <v>130</v>
      </c>
      <c r="D2394">
        <v>20</v>
      </c>
      <c r="E2394">
        <v>144</v>
      </c>
      <c r="F2394">
        <v>48</v>
      </c>
      <c r="G2394">
        <v>2880</v>
      </c>
      <c r="H2394" s="4">
        <v>960</v>
      </c>
      <c r="I2394" s="4">
        <v>1920</v>
      </c>
      <c r="J2394" t="s">
        <v>186</v>
      </c>
      <c r="K2394" t="s">
        <v>58</v>
      </c>
      <c r="L2394" s="4">
        <v>11.31221475547909</v>
      </c>
      <c r="M2394" s="1" t="s">
        <v>38</v>
      </c>
      <c r="N2394" s="11">
        <f t="shared" si="37"/>
        <v>5</v>
      </c>
    </row>
    <row r="2395" spans="1:14" ht="16" x14ac:dyDescent="0.2">
      <c r="A2395" s="3">
        <v>42911.837103963997</v>
      </c>
      <c r="B2395" s="1" t="s">
        <v>2691</v>
      </c>
      <c r="C2395" t="s">
        <v>487</v>
      </c>
      <c r="D2395">
        <v>12</v>
      </c>
      <c r="E2395">
        <v>264</v>
      </c>
      <c r="F2395">
        <v>88</v>
      </c>
      <c r="G2395">
        <v>3168</v>
      </c>
      <c r="H2395" s="4">
        <v>1056</v>
      </c>
      <c r="I2395" s="4">
        <v>2112</v>
      </c>
      <c r="J2395" t="s">
        <v>498</v>
      </c>
      <c r="K2395" t="s">
        <v>58</v>
      </c>
      <c r="L2395" s="4">
        <v>8.0758315802191021</v>
      </c>
      <c r="M2395" s="1" t="s">
        <v>54</v>
      </c>
      <c r="N2395" s="11">
        <f t="shared" si="37"/>
        <v>10</v>
      </c>
    </row>
    <row r="2396" spans="1:14" ht="16" x14ac:dyDescent="0.2">
      <c r="A2396" s="3">
        <v>44178.619810017495</v>
      </c>
      <c r="B2396" s="1" t="s">
        <v>2692</v>
      </c>
      <c r="C2396" t="s">
        <v>133</v>
      </c>
      <c r="D2396">
        <v>1</v>
      </c>
      <c r="E2396">
        <v>189</v>
      </c>
      <c r="F2396">
        <v>63</v>
      </c>
      <c r="G2396">
        <v>189</v>
      </c>
      <c r="H2396" s="4">
        <v>63</v>
      </c>
      <c r="I2396" s="4">
        <v>126</v>
      </c>
      <c r="J2396" t="s">
        <v>444</v>
      </c>
      <c r="K2396" t="s">
        <v>42</v>
      </c>
      <c r="L2396" s="4">
        <v>15.861056998489449</v>
      </c>
      <c r="M2396" s="1" t="s">
        <v>54</v>
      </c>
      <c r="N2396" s="11">
        <f t="shared" si="37"/>
        <v>10</v>
      </c>
    </row>
    <row r="2397" spans="1:14" ht="16" x14ac:dyDescent="0.2">
      <c r="A2397" s="3">
        <v>44134.260771393667</v>
      </c>
      <c r="B2397" s="1" t="s">
        <v>2481</v>
      </c>
      <c r="C2397" t="s">
        <v>473</v>
      </c>
      <c r="D2397">
        <v>13</v>
      </c>
      <c r="E2397">
        <v>72</v>
      </c>
      <c r="F2397">
        <v>36</v>
      </c>
      <c r="G2397">
        <v>936</v>
      </c>
      <c r="H2397" s="4">
        <v>468</v>
      </c>
      <c r="I2397" s="4">
        <v>468</v>
      </c>
      <c r="J2397" t="s">
        <v>474</v>
      </c>
      <c r="K2397" t="s">
        <v>33</v>
      </c>
      <c r="L2397" s="4">
        <v>9.629298039722805</v>
      </c>
      <c r="M2397" s="1" t="s">
        <v>38</v>
      </c>
      <c r="N2397" s="11">
        <f t="shared" si="37"/>
        <v>5</v>
      </c>
    </row>
    <row r="2398" spans="1:14" ht="16" x14ac:dyDescent="0.2">
      <c r="A2398" s="3">
        <v>44645.871297150516</v>
      </c>
      <c r="B2398" s="1" t="s">
        <v>2693</v>
      </c>
      <c r="C2398" t="s">
        <v>81</v>
      </c>
      <c r="D2398">
        <v>8</v>
      </c>
      <c r="E2398">
        <v>166</v>
      </c>
      <c r="F2398">
        <v>83</v>
      </c>
      <c r="G2398">
        <v>1328</v>
      </c>
      <c r="H2398" s="4">
        <v>664</v>
      </c>
      <c r="I2398" s="4">
        <v>664</v>
      </c>
      <c r="J2398" t="s">
        <v>580</v>
      </c>
      <c r="K2398" t="s">
        <v>58</v>
      </c>
      <c r="L2398" s="4">
        <v>14.66147716237918</v>
      </c>
      <c r="M2398" s="1" t="s">
        <v>38</v>
      </c>
      <c r="N2398" s="11">
        <f t="shared" si="37"/>
        <v>5</v>
      </c>
    </row>
    <row r="2399" spans="1:14" ht="16" x14ac:dyDescent="0.2">
      <c r="A2399" s="3">
        <v>44489.623895224147</v>
      </c>
      <c r="B2399" s="1" t="s">
        <v>2694</v>
      </c>
      <c r="C2399" t="s">
        <v>125</v>
      </c>
      <c r="D2399">
        <v>7</v>
      </c>
      <c r="E2399">
        <v>176</v>
      </c>
      <c r="F2399">
        <v>88</v>
      </c>
      <c r="G2399">
        <v>1232</v>
      </c>
      <c r="H2399" s="4">
        <v>616</v>
      </c>
      <c r="I2399" s="4">
        <v>616</v>
      </c>
      <c r="J2399" t="s">
        <v>134</v>
      </c>
      <c r="K2399" t="s">
        <v>33</v>
      </c>
      <c r="L2399" s="4">
        <v>9.4200113153305907</v>
      </c>
      <c r="M2399" s="1" t="s">
        <v>34</v>
      </c>
      <c r="N2399" s="11">
        <f t="shared" si="37"/>
        <v>1</v>
      </c>
    </row>
    <row r="2400" spans="1:14" ht="16" x14ac:dyDescent="0.2">
      <c r="A2400" s="3">
        <v>44010.379623624351</v>
      </c>
      <c r="B2400" s="1" t="s">
        <v>725</v>
      </c>
      <c r="C2400" t="s">
        <v>375</v>
      </c>
      <c r="D2400">
        <v>15</v>
      </c>
      <c r="E2400">
        <v>360</v>
      </c>
      <c r="F2400">
        <v>90</v>
      </c>
      <c r="G2400">
        <v>5400</v>
      </c>
      <c r="H2400" s="4">
        <v>1350</v>
      </c>
      <c r="I2400" s="4">
        <v>4050</v>
      </c>
      <c r="J2400" t="s">
        <v>1721</v>
      </c>
      <c r="K2400" t="s">
        <v>58</v>
      </c>
      <c r="L2400" s="4">
        <v>13.537350739681813</v>
      </c>
      <c r="M2400" s="1" t="s">
        <v>34</v>
      </c>
      <c r="N2400" s="11">
        <f t="shared" si="37"/>
        <v>1</v>
      </c>
    </row>
    <row r="2401" spans="1:14" ht="16" x14ac:dyDescent="0.2">
      <c r="A2401" s="3">
        <v>44068.125012315555</v>
      </c>
      <c r="B2401" s="1" t="s">
        <v>2695</v>
      </c>
      <c r="C2401" t="s">
        <v>93</v>
      </c>
      <c r="D2401">
        <v>11</v>
      </c>
      <c r="E2401">
        <v>204</v>
      </c>
      <c r="F2401">
        <v>51</v>
      </c>
      <c r="G2401">
        <v>2244</v>
      </c>
      <c r="H2401" s="4">
        <v>561</v>
      </c>
      <c r="I2401" s="4">
        <v>1683</v>
      </c>
      <c r="J2401" t="s">
        <v>555</v>
      </c>
      <c r="K2401" t="s">
        <v>53</v>
      </c>
      <c r="L2401" s="4">
        <v>14.341195386574373</v>
      </c>
      <c r="M2401" s="1" t="s">
        <v>54</v>
      </c>
      <c r="N2401" s="11">
        <f t="shared" si="37"/>
        <v>10</v>
      </c>
    </row>
    <row r="2402" spans="1:14" ht="16" x14ac:dyDescent="0.2">
      <c r="A2402" s="3">
        <v>43324.019967174689</v>
      </c>
      <c r="B2402" s="1" t="s">
        <v>2696</v>
      </c>
      <c r="C2402" t="s">
        <v>88</v>
      </c>
      <c r="D2402">
        <v>14</v>
      </c>
      <c r="E2402">
        <v>210</v>
      </c>
      <c r="F2402">
        <v>70</v>
      </c>
      <c r="G2402">
        <v>2940</v>
      </c>
      <c r="H2402" s="4">
        <v>980</v>
      </c>
      <c r="I2402" s="4">
        <v>1960</v>
      </c>
      <c r="J2402" t="s">
        <v>228</v>
      </c>
      <c r="K2402" t="s">
        <v>53</v>
      </c>
      <c r="L2402" s="4">
        <v>14.377134310720955</v>
      </c>
      <c r="M2402" s="1" t="s">
        <v>34</v>
      </c>
      <c r="N2402" s="11">
        <f t="shared" si="37"/>
        <v>1</v>
      </c>
    </row>
    <row r="2403" spans="1:14" ht="16" x14ac:dyDescent="0.2">
      <c r="A2403" s="3">
        <v>43764.237309022385</v>
      </c>
      <c r="B2403" s="1" t="s">
        <v>2697</v>
      </c>
      <c r="C2403" t="s">
        <v>78</v>
      </c>
      <c r="D2403">
        <v>5</v>
      </c>
      <c r="E2403">
        <v>94</v>
      </c>
      <c r="F2403">
        <v>47</v>
      </c>
      <c r="G2403">
        <v>470</v>
      </c>
      <c r="H2403" s="4">
        <v>235</v>
      </c>
      <c r="I2403" s="4">
        <v>235</v>
      </c>
      <c r="J2403" t="s">
        <v>804</v>
      </c>
      <c r="K2403" t="s">
        <v>53</v>
      </c>
      <c r="L2403" s="4">
        <v>9.4608554813364627</v>
      </c>
      <c r="M2403" s="1" t="s">
        <v>34</v>
      </c>
      <c r="N2403" s="11">
        <f t="shared" si="37"/>
        <v>1</v>
      </c>
    </row>
    <row r="2404" spans="1:14" ht="16" x14ac:dyDescent="0.2">
      <c r="A2404" s="3">
        <v>44230.435594173803</v>
      </c>
      <c r="B2404" s="1" t="s">
        <v>2698</v>
      </c>
      <c r="C2404" t="s">
        <v>328</v>
      </c>
      <c r="D2404">
        <v>10</v>
      </c>
      <c r="E2404">
        <v>124</v>
      </c>
      <c r="F2404">
        <v>62</v>
      </c>
      <c r="G2404">
        <v>1240</v>
      </c>
      <c r="H2404" s="4">
        <v>620</v>
      </c>
      <c r="I2404" s="4">
        <v>620</v>
      </c>
      <c r="J2404" t="s">
        <v>716</v>
      </c>
      <c r="K2404" t="s">
        <v>33</v>
      </c>
      <c r="L2404" s="4">
        <v>10.411813357023924</v>
      </c>
      <c r="M2404" s="1" t="s">
        <v>38</v>
      </c>
      <c r="N2404" s="11">
        <f t="shared" si="37"/>
        <v>5</v>
      </c>
    </row>
    <row r="2405" spans="1:14" ht="16" x14ac:dyDescent="0.2">
      <c r="A2405" s="3">
        <v>44630.804377810025</v>
      </c>
      <c r="B2405" s="1" t="s">
        <v>2699</v>
      </c>
      <c r="C2405" t="s">
        <v>204</v>
      </c>
      <c r="D2405">
        <v>19</v>
      </c>
      <c r="E2405">
        <v>57</v>
      </c>
      <c r="F2405">
        <v>19</v>
      </c>
      <c r="G2405">
        <v>1083</v>
      </c>
      <c r="H2405" s="4">
        <v>361</v>
      </c>
      <c r="I2405" s="4">
        <v>722</v>
      </c>
      <c r="J2405" t="s">
        <v>205</v>
      </c>
      <c r="K2405" t="s">
        <v>33</v>
      </c>
      <c r="L2405" s="4">
        <v>12.007834550770397</v>
      </c>
      <c r="M2405" s="1" t="s">
        <v>38</v>
      </c>
      <c r="N2405" s="11">
        <f t="shared" si="37"/>
        <v>5</v>
      </c>
    </row>
    <row r="2406" spans="1:14" ht="16" x14ac:dyDescent="0.2">
      <c r="A2406" s="3">
        <v>43952.301231386868</v>
      </c>
      <c r="B2406" s="1" t="s">
        <v>2513</v>
      </c>
      <c r="C2406" t="s">
        <v>110</v>
      </c>
      <c r="D2406">
        <v>6</v>
      </c>
      <c r="E2406">
        <v>144</v>
      </c>
      <c r="F2406">
        <v>36</v>
      </c>
      <c r="G2406">
        <v>864</v>
      </c>
      <c r="H2406" s="4">
        <v>216</v>
      </c>
      <c r="I2406" s="4">
        <v>648</v>
      </c>
      <c r="J2406" t="s">
        <v>161</v>
      </c>
      <c r="K2406" t="s">
        <v>33</v>
      </c>
      <c r="L2406" s="4">
        <v>14.370283356317486</v>
      </c>
      <c r="M2406" s="1" t="s">
        <v>38</v>
      </c>
      <c r="N2406" s="11">
        <f t="shared" si="37"/>
        <v>5</v>
      </c>
    </row>
    <row r="2407" spans="1:14" ht="16" x14ac:dyDescent="0.2">
      <c r="A2407" s="3">
        <v>44656.542566807257</v>
      </c>
      <c r="B2407" s="1" t="s">
        <v>2700</v>
      </c>
      <c r="C2407" t="s">
        <v>304</v>
      </c>
      <c r="D2407">
        <v>18</v>
      </c>
      <c r="E2407">
        <v>116</v>
      </c>
      <c r="F2407">
        <v>29</v>
      </c>
      <c r="G2407">
        <v>2088</v>
      </c>
      <c r="H2407" s="4">
        <v>522</v>
      </c>
      <c r="I2407" s="4">
        <v>1566</v>
      </c>
      <c r="J2407" t="s">
        <v>806</v>
      </c>
      <c r="K2407" t="s">
        <v>86</v>
      </c>
      <c r="L2407" s="4">
        <v>11.927799225928501</v>
      </c>
      <c r="M2407" s="1" t="s">
        <v>54</v>
      </c>
      <c r="N2407" s="11">
        <f t="shared" si="37"/>
        <v>10</v>
      </c>
    </row>
    <row r="2408" spans="1:14" ht="16" x14ac:dyDescent="0.2">
      <c r="A2408" s="3">
        <v>43757.053110733395</v>
      </c>
      <c r="B2408" s="1" t="s">
        <v>2701</v>
      </c>
      <c r="C2408" t="s">
        <v>40</v>
      </c>
      <c r="D2408">
        <v>17</v>
      </c>
      <c r="E2408">
        <v>46</v>
      </c>
      <c r="F2408">
        <v>23</v>
      </c>
      <c r="G2408">
        <v>782</v>
      </c>
      <c r="H2408" s="4">
        <v>391</v>
      </c>
      <c r="I2408" s="4">
        <v>391</v>
      </c>
      <c r="J2408" t="s">
        <v>498</v>
      </c>
      <c r="K2408" t="s">
        <v>58</v>
      </c>
      <c r="L2408" s="4">
        <v>8.0758315802191021</v>
      </c>
      <c r="M2408" s="1" t="s">
        <v>38</v>
      </c>
      <c r="N2408" s="11">
        <f t="shared" si="37"/>
        <v>5</v>
      </c>
    </row>
    <row r="2409" spans="1:14" ht="16" x14ac:dyDescent="0.2">
      <c r="A2409" s="3">
        <v>44106.895870581146</v>
      </c>
      <c r="B2409" s="1" t="s">
        <v>2702</v>
      </c>
      <c r="C2409" t="s">
        <v>91</v>
      </c>
      <c r="D2409">
        <v>14</v>
      </c>
      <c r="E2409">
        <v>300</v>
      </c>
      <c r="F2409">
        <v>75</v>
      </c>
      <c r="G2409">
        <v>4200</v>
      </c>
      <c r="H2409" s="4">
        <v>1050</v>
      </c>
      <c r="I2409" s="4">
        <v>3150</v>
      </c>
      <c r="J2409" t="s">
        <v>60</v>
      </c>
      <c r="K2409" t="s">
        <v>53</v>
      </c>
      <c r="L2409" s="4">
        <v>11.048444680405545</v>
      </c>
      <c r="M2409" s="1" t="s">
        <v>38</v>
      </c>
      <c r="N2409" s="11">
        <f t="shared" si="37"/>
        <v>5</v>
      </c>
    </row>
    <row r="2410" spans="1:14" ht="16" x14ac:dyDescent="0.2">
      <c r="A2410" s="3">
        <v>44013.208055679519</v>
      </c>
      <c r="B2410" s="1" t="s">
        <v>2703</v>
      </c>
      <c r="C2410" t="s">
        <v>56</v>
      </c>
      <c r="D2410">
        <v>7</v>
      </c>
      <c r="E2410">
        <v>38</v>
      </c>
      <c r="F2410">
        <v>19</v>
      </c>
      <c r="G2410">
        <v>266</v>
      </c>
      <c r="H2410" s="4">
        <v>133</v>
      </c>
      <c r="I2410" s="4">
        <v>133</v>
      </c>
      <c r="J2410" t="s">
        <v>137</v>
      </c>
      <c r="K2410" t="s">
        <v>42</v>
      </c>
      <c r="L2410" s="4">
        <v>11.410471033945758</v>
      </c>
      <c r="M2410" s="1" t="s">
        <v>38</v>
      </c>
      <c r="N2410" s="11">
        <f t="shared" si="37"/>
        <v>5</v>
      </c>
    </row>
    <row r="2411" spans="1:14" ht="16" x14ac:dyDescent="0.2">
      <c r="A2411" s="3">
        <v>43704.3744225841</v>
      </c>
      <c r="B2411" s="1" t="s">
        <v>2704</v>
      </c>
      <c r="C2411" t="s">
        <v>204</v>
      </c>
      <c r="D2411">
        <v>9</v>
      </c>
      <c r="E2411">
        <v>57</v>
      </c>
      <c r="F2411">
        <v>19</v>
      </c>
      <c r="G2411">
        <v>513</v>
      </c>
      <c r="H2411" s="4">
        <v>171</v>
      </c>
      <c r="I2411" s="4">
        <v>342</v>
      </c>
      <c r="J2411" t="s">
        <v>681</v>
      </c>
      <c r="K2411" t="s">
        <v>86</v>
      </c>
      <c r="L2411" s="4">
        <v>8.1628930629234038</v>
      </c>
      <c r="M2411" s="1" t="s">
        <v>38</v>
      </c>
      <c r="N2411" s="11">
        <f t="shared" si="37"/>
        <v>5</v>
      </c>
    </row>
    <row r="2412" spans="1:14" ht="16" x14ac:dyDescent="0.2">
      <c r="A2412" s="3">
        <v>44023.05944710238</v>
      </c>
      <c r="B2412" s="1" t="s">
        <v>2705</v>
      </c>
      <c r="C2412" t="s">
        <v>142</v>
      </c>
      <c r="D2412">
        <v>18</v>
      </c>
      <c r="E2412">
        <v>210</v>
      </c>
      <c r="F2412">
        <v>70</v>
      </c>
      <c r="G2412">
        <v>3780</v>
      </c>
      <c r="H2412" s="4">
        <v>1260</v>
      </c>
      <c r="I2412" s="4">
        <v>2520</v>
      </c>
      <c r="J2412" t="s">
        <v>569</v>
      </c>
      <c r="K2412" t="s">
        <v>33</v>
      </c>
      <c r="L2412" s="4">
        <v>12.921682080641304</v>
      </c>
      <c r="M2412" s="1" t="s">
        <v>38</v>
      </c>
      <c r="N2412" s="11">
        <f t="shared" si="37"/>
        <v>5</v>
      </c>
    </row>
    <row r="2413" spans="1:14" ht="16" x14ac:dyDescent="0.2">
      <c r="A2413" s="3">
        <v>43423.122163450775</v>
      </c>
      <c r="B2413" s="1" t="s">
        <v>2706</v>
      </c>
      <c r="C2413" t="s">
        <v>193</v>
      </c>
      <c r="D2413">
        <v>6</v>
      </c>
      <c r="E2413">
        <v>348</v>
      </c>
      <c r="F2413">
        <v>87</v>
      </c>
      <c r="G2413">
        <v>2088</v>
      </c>
      <c r="H2413" s="4">
        <v>522</v>
      </c>
      <c r="I2413" s="4">
        <v>1566</v>
      </c>
      <c r="J2413" t="s">
        <v>426</v>
      </c>
      <c r="K2413" t="s">
        <v>53</v>
      </c>
      <c r="L2413" s="4">
        <v>13.923194761258239</v>
      </c>
      <c r="M2413" s="1" t="s">
        <v>54</v>
      </c>
      <c r="N2413" s="11">
        <f t="shared" si="37"/>
        <v>10</v>
      </c>
    </row>
    <row r="2414" spans="1:14" ht="16" x14ac:dyDescent="0.2">
      <c r="A2414" s="3">
        <v>44642.474148123882</v>
      </c>
      <c r="B2414" s="1" t="s">
        <v>2707</v>
      </c>
      <c r="C2414" t="s">
        <v>88</v>
      </c>
      <c r="D2414">
        <v>2</v>
      </c>
      <c r="E2414">
        <v>210</v>
      </c>
      <c r="F2414">
        <v>70</v>
      </c>
      <c r="G2414">
        <v>420</v>
      </c>
      <c r="H2414" s="4">
        <v>140</v>
      </c>
      <c r="I2414" s="4">
        <v>280</v>
      </c>
      <c r="J2414" t="s">
        <v>290</v>
      </c>
      <c r="K2414" t="s">
        <v>86</v>
      </c>
      <c r="L2414" s="4">
        <v>12.758430621858414</v>
      </c>
      <c r="M2414" s="1" t="s">
        <v>54</v>
      </c>
      <c r="N2414" s="11">
        <f t="shared" si="37"/>
        <v>10</v>
      </c>
    </row>
    <row r="2415" spans="1:14" ht="16" x14ac:dyDescent="0.2">
      <c r="A2415" s="3">
        <v>44608.864127507564</v>
      </c>
      <c r="B2415" s="1" t="s">
        <v>2708</v>
      </c>
      <c r="C2415" t="s">
        <v>163</v>
      </c>
      <c r="D2415">
        <v>9</v>
      </c>
      <c r="E2415">
        <v>108</v>
      </c>
      <c r="F2415">
        <v>36</v>
      </c>
      <c r="G2415">
        <v>972</v>
      </c>
      <c r="H2415" s="4">
        <v>324</v>
      </c>
      <c r="I2415" s="4">
        <v>648</v>
      </c>
      <c r="J2415" t="s">
        <v>1195</v>
      </c>
      <c r="K2415" t="s">
        <v>33</v>
      </c>
      <c r="L2415" s="4">
        <v>11.971065679104063</v>
      </c>
      <c r="M2415" s="1" t="s">
        <v>38</v>
      </c>
      <c r="N2415" s="11">
        <f t="shared" si="37"/>
        <v>5</v>
      </c>
    </row>
    <row r="2416" spans="1:14" ht="16" x14ac:dyDescent="0.2">
      <c r="A2416" s="3">
        <v>43553.202139656489</v>
      </c>
      <c r="B2416" s="1" t="s">
        <v>1424</v>
      </c>
      <c r="C2416" t="s">
        <v>136</v>
      </c>
      <c r="D2416">
        <v>13</v>
      </c>
      <c r="E2416">
        <v>154</v>
      </c>
      <c r="F2416">
        <v>77</v>
      </c>
      <c r="G2416">
        <v>2002</v>
      </c>
      <c r="H2416" s="4">
        <v>1001</v>
      </c>
      <c r="I2416" s="4">
        <v>1001</v>
      </c>
      <c r="J2416" t="s">
        <v>1253</v>
      </c>
      <c r="K2416" t="s">
        <v>49</v>
      </c>
      <c r="L2416" s="4">
        <v>10.518436853046438</v>
      </c>
      <c r="M2416" s="1" t="s">
        <v>38</v>
      </c>
      <c r="N2416" s="11">
        <f t="shared" si="37"/>
        <v>5</v>
      </c>
    </row>
    <row r="2417" spans="1:14" ht="16" x14ac:dyDescent="0.2">
      <c r="A2417" s="3">
        <v>43735.599244590027</v>
      </c>
      <c r="B2417" s="1" t="s">
        <v>2709</v>
      </c>
      <c r="C2417" t="s">
        <v>356</v>
      </c>
      <c r="D2417">
        <v>2</v>
      </c>
      <c r="E2417">
        <v>356</v>
      </c>
      <c r="F2417">
        <v>89</v>
      </c>
      <c r="G2417">
        <v>712</v>
      </c>
      <c r="H2417" s="4">
        <v>178</v>
      </c>
      <c r="I2417" s="4">
        <v>534</v>
      </c>
      <c r="J2417" t="s">
        <v>626</v>
      </c>
      <c r="K2417" t="s">
        <v>58</v>
      </c>
      <c r="L2417" s="4">
        <v>13.259563298324382</v>
      </c>
      <c r="M2417" s="1" t="s">
        <v>34</v>
      </c>
      <c r="N2417" s="11">
        <f t="shared" si="37"/>
        <v>1</v>
      </c>
    </row>
    <row r="2418" spans="1:14" ht="16" x14ac:dyDescent="0.2">
      <c r="A2418" s="3">
        <v>42974.018575096357</v>
      </c>
      <c r="B2418" s="1" t="s">
        <v>2710</v>
      </c>
      <c r="C2418" t="s">
        <v>113</v>
      </c>
      <c r="D2418">
        <v>8</v>
      </c>
      <c r="E2418">
        <v>66</v>
      </c>
      <c r="F2418">
        <v>33</v>
      </c>
      <c r="G2418">
        <v>528</v>
      </c>
      <c r="H2418" s="4">
        <v>264</v>
      </c>
      <c r="I2418" s="4">
        <v>264</v>
      </c>
      <c r="J2418" t="s">
        <v>191</v>
      </c>
      <c r="K2418" t="s">
        <v>42</v>
      </c>
      <c r="L2418" s="4">
        <v>10.523527521613014</v>
      </c>
      <c r="M2418" s="1" t="s">
        <v>38</v>
      </c>
      <c r="N2418" s="11">
        <f t="shared" si="37"/>
        <v>5</v>
      </c>
    </row>
    <row r="2419" spans="1:14" ht="16" x14ac:dyDescent="0.2">
      <c r="A2419" s="3">
        <v>44088.035263485806</v>
      </c>
      <c r="B2419" s="1" t="s">
        <v>2711</v>
      </c>
      <c r="C2419" t="s">
        <v>160</v>
      </c>
      <c r="D2419">
        <v>20</v>
      </c>
      <c r="E2419">
        <v>132</v>
      </c>
      <c r="F2419">
        <v>33</v>
      </c>
      <c r="G2419">
        <v>2640</v>
      </c>
      <c r="H2419" s="4">
        <v>660</v>
      </c>
      <c r="I2419" s="4">
        <v>1980</v>
      </c>
      <c r="J2419" t="s">
        <v>238</v>
      </c>
      <c r="K2419" t="s">
        <v>86</v>
      </c>
      <c r="L2419" s="4">
        <v>14.593670394271927</v>
      </c>
      <c r="M2419" s="1" t="s">
        <v>34</v>
      </c>
      <c r="N2419" s="11">
        <f t="shared" si="37"/>
        <v>1</v>
      </c>
    </row>
    <row r="2420" spans="1:14" ht="16" x14ac:dyDescent="0.2">
      <c r="A2420" s="3">
        <v>43776.074516718996</v>
      </c>
      <c r="B2420" s="1" t="s">
        <v>2712</v>
      </c>
      <c r="C2420" t="s">
        <v>163</v>
      </c>
      <c r="D2420">
        <v>18</v>
      </c>
      <c r="E2420">
        <v>108</v>
      </c>
      <c r="F2420">
        <v>36</v>
      </c>
      <c r="G2420">
        <v>1944</v>
      </c>
      <c r="H2420" s="4">
        <v>648</v>
      </c>
      <c r="I2420" s="4">
        <v>1296</v>
      </c>
      <c r="J2420" t="s">
        <v>401</v>
      </c>
      <c r="K2420" t="s">
        <v>58</v>
      </c>
      <c r="L2420" s="4">
        <v>11.394777319422785</v>
      </c>
      <c r="M2420" s="1" t="s">
        <v>38</v>
      </c>
      <c r="N2420" s="11">
        <f t="shared" si="37"/>
        <v>5</v>
      </c>
    </row>
    <row r="2421" spans="1:14" ht="16" x14ac:dyDescent="0.2">
      <c r="A2421" s="3">
        <v>43680.99565577857</v>
      </c>
      <c r="B2421" s="1" t="s">
        <v>2713</v>
      </c>
      <c r="C2421" t="s">
        <v>218</v>
      </c>
      <c r="D2421">
        <v>13</v>
      </c>
      <c r="E2421">
        <v>264</v>
      </c>
      <c r="F2421">
        <v>88</v>
      </c>
      <c r="G2421">
        <v>3432</v>
      </c>
      <c r="H2421" s="4">
        <v>1144</v>
      </c>
      <c r="I2421" s="4">
        <v>2288</v>
      </c>
      <c r="J2421" t="s">
        <v>1085</v>
      </c>
      <c r="K2421" t="s">
        <v>49</v>
      </c>
      <c r="L2421" s="4">
        <v>10.818241047231139</v>
      </c>
      <c r="M2421" s="1" t="s">
        <v>38</v>
      </c>
      <c r="N2421" s="11">
        <f t="shared" si="37"/>
        <v>5</v>
      </c>
    </row>
    <row r="2422" spans="1:14" ht="16" x14ac:dyDescent="0.2">
      <c r="A2422" s="3">
        <v>44307.01179014019</v>
      </c>
      <c r="B2422" s="1" t="s">
        <v>2714</v>
      </c>
      <c r="C2422" t="s">
        <v>160</v>
      </c>
      <c r="D2422">
        <v>19</v>
      </c>
      <c r="E2422">
        <v>132</v>
      </c>
      <c r="F2422">
        <v>33</v>
      </c>
      <c r="G2422">
        <v>2508</v>
      </c>
      <c r="H2422" s="4">
        <v>627</v>
      </c>
      <c r="I2422" s="4">
        <v>1881</v>
      </c>
      <c r="J2422" t="s">
        <v>246</v>
      </c>
      <c r="K2422" t="s">
        <v>58</v>
      </c>
      <c r="L2422" s="4">
        <v>15.234329552872023</v>
      </c>
      <c r="M2422" s="1" t="s">
        <v>54</v>
      </c>
      <c r="N2422" s="11">
        <f t="shared" si="37"/>
        <v>10</v>
      </c>
    </row>
    <row r="2423" spans="1:14" ht="16" x14ac:dyDescent="0.2">
      <c r="A2423" s="3">
        <v>43428.642087639302</v>
      </c>
      <c r="B2423" s="1" t="s">
        <v>2715</v>
      </c>
      <c r="C2423" t="s">
        <v>425</v>
      </c>
      <c r="D2423">
        <v>6</v>
      </c>
      <c r="E2423">
        <v>352</v>
      </c>
      <c r="F2423">
        <v>88</v>
      </c>
      <c r="G2423">
        <v>2112</v>
      </c>
      <c r="H2423" s="4">
        <v>528</v>
      </c>
      <c r="I2423" s="4">
        <v>1584</v>
      </c>
      <c r="J2423" t="s">
        <v>1721</v>
      </c>
      <c r="K2423" t="s">
        <v>58</v>
      </c>
      <c r="L2423" s="4">
        <v>13.537350739681813</v>
      </c>
      <c r="M2423" s="1" t="s">
        <v>34</v>
      </c>
      <c r="N2423" s="11">
        <f t="shared" si="37"/>
        <v>1</v>
      </c>
    </row>
    <row r="2424" spans="1:14" ht="16" x14ac:dyDescent="0.2">
      <c r="A2424" s="3">
        <v>43895.917709755595</v>
      </c>
      <c r="B2424" s="1" t="s">
        <v>2716</v>
      </c>
      <c r="C2424" t="s">
        <v>301</v>
      </c>
      <c r="D2424">
        <v>18</v>
      </c>
      <c r="E2424">
        <v>188</v>
      </c>
      <c r="F2424">
        <v>94</v>
      </c>
      <c r="G2424">
        <v>3384</v>
      </c>
      <c r="H2424" s="4">
        <v>1692</v>
      </c>
      <c r="I2424" s="4">
        <v>1692</v>
      </c>
      <c r="J2424" t="s">
        <v>1195</v>
      </c>
      <c r="K2424" t="s">
        <v>33</v>
      </c>
      <c r="L2424" s="4">
        <v>11.971065679104063</v>
      </c>
      <c r="M2424" s="1" t="s">
        <v>54</v>
      </c>
      <c r="N2424" s="11">
        <f t="shared" si="37"/>
        <v>10</v>
      </c>
    </row>
    <row r="2425" spans="1:14" ht="16" x14ac:dyDescent="0.2">
      <c r="A2425" s="3">
        <v>43876.805965769498</v>
      </c>
      <c r="B2425" s="1" t="s">
        <v>2717</v>
      </c>
      <c r="C2425" t="s">
        <v>31</v>
      </c>
      <c r="D2425">
        <v>1</v>
      </c>
      <c r="E2425">
        <v>280</v>
      </c>
      <c r="F2425">
        <v>70</v>
      </c>
      <c r="G2425">
        <v>280</v>
      </c>
      <c r="H2425" s="4">
        <v>70</v>
      </c>
      <c r="I2425" s="4">
        <v>210</v>
      </c>
      <c r="J2425" t="s">
        <v>1379</v>
      </c>
      <c r="K2425" t="s">
        <v>86</v>
      </c>
      <c r="L2425" s="4">
        <v>14.157909724393564</v>
      </c>
      <c r="M2425" s="1" t="s">
        <v>38</v>
      </c>
      <c r="N2425" s="11">
        <f t="shared" si="37"/>
        <v>5</v>
      </c>
    </row>
    <row r="2426" spans="1:14" ht="16" x14ac:dyDescent="0.2">
      <c r="A2426" s="3">
        <v>45041.028701890893</v>
      </c>
      <c r="B2426" s="1" t="s">
        <v>2718</v>
      </c>
      <c r="C2426" t="s">
        <v>91</v>
      </c>
      <c r="D2426">
        <v>5</v>
      </c>
      <c r="E2426">
        <v>300</v>
      </c>
      <c r="F2426">
        <v>75</v>
      </c>
      <c r="G2426">
        <v>1500</v>
      </c>
      <c r="H2426" s="4">
        <v>375</v>
      </c>
      <c r="I2426" s="4">
        <v>1125</v>
      </c>
      <c r="J2426" t="s">
        <v>202</v>
      </c>
      <c r="K2426" t="s">
        <v>58</v>
      </c>
      <c r="L2426" s="4">
        <v>13.765798454641494</v>
      </c>
      <c r="M2426" s="1" t="s">
        <v>34</v>
      </c>
      <c r="N2426" s="11">
        <f t="shared" si="37"/>
        <v>1</v>
      </c>
    </row>
    <row r="2427" spans="1:14" ht="16" x14ac:dyDescent="0.2">
      <c r="A2427" s="3">
        <v>44082.846014049574</v>
      </c>
      <c r="B2427" s="1" t="s">
        <v>2719</v>
      </c>
      <c r="C2427" t="s">
        <v>561</v>
      </c>
      <c r="D2427">
        <v>10</v>
      </c>
      <c r="E2427">
        <v>384</v>
      </c>
      <c r="F2427">
        <v>96</v>
      </c>
      <c r="G2427">
        <v>3840</v>
      </c>
      <c r="H2427" s="4">
        <v>960</v>
      </c>
      <c r="I2427" s="4">
        <v>2880</v>
      </c>
      <c r="J2427" t="s">
        <v>63</v>
      </c>
      <c r="K2427" t="s">
        <v>64</v>
      </c>
      <c r="L2427" s="4">
        <v>10.988762477277161</v>
      </c>
      <c r="M2427" s="1" t="s">
        <v>34</v>
      </c>
      <c r="N2427" s="11">
        <f t="shared" si="37"/>
        <v>1</v>
      </c>
    </row>
    <row r="2428" spans="1:14" ht="16" x14ac:dyDescent="0.2">
      <c r="A2428" s="3">
        <v>43810.876334044508</v>
      </c>
      <c r="B2428" s="1" t="s">
        <v>2720</v>
      </c>
      <c r="C2428" t="s">
        <v>420</v>
      </c>
      <c r="D2428">
        <v>7</v>
      </c>
      <c r="E2428">
        <v>162</v>
      </c>
      <c r="F2428">
        <v>54</v>
      </c>
      <c r="G2428">
        <v>1134</v>
      </c>
      <c r="H2428" s="4">
        <v>378</v>
      </c>
      <c r="I2428" s="4">
        <v>756</v>
      </c>
      <c r="J2428" t="s">
        <v>241</v>
      </c>
      <c r="K2428" t="s">
        <v>33</v>
      </c>
      <c r="L2428" s="4">
        <v>11.274864741138284</v>
      </c>
      <c r="M2428" s="1" t="s">
        <v>38</v>
      </c>
      <c r="N2428" s="11">
        <f t="shared" si="37"/>
        <v>5</v>
      </c>
    </row>
    <row r="2429" spans="1:14" ht="16" x14ac:dyDescent="0.2">
      <c r="A2429" s="3">
        <v>43970.262668332791</v>
      </c>
      <c r="B2429" s="1" t="s">
        <v>2721</v>
      </c>
      <c r="C2429" t="s">
        <v>431</v>
      </c>
      <c r="D2429">
        <v>1</v>
      </c>
      <c r="E2429">
        <v>356</v>
      </c>
      <c r="F2429">
        <v>89</v>
      </c>
      <c r="G2429">
        <v>356</v>
      </c>
      <c r="H2429" s="4">
        <v>89</v>
      </c>
      <c r="I2429" s="4">
        <v>267</v>
      </c>
      <c r="J2429" t="s">
        <v>653</v>
      </c>
      <c r="K2429" t="s">
        <v>86</v>
      </c>
      <c r="L2429" s="4">
        <v>12.869841591513939</v>
      </c>
      <c r="M2429" s="1" t="s">
        <v>54</v>
      </c>
      <c r="N2429" s="11">
        <f t="shared" si="37"/>
        <v>10</v>
      </c>
    </row>
    <row r="2430" spans="1:14" ht="16" x14ac:dyDescent="0.2">
      <c r="A2430" s="3">
        <v>44360.675329460661</v>
      </c>
      <c r="B2430" s="1" t="s">
        <v>2722</v>
      </c>
      <c r="C2430" t="s">
        <v>193</v>
      </c>
      <c r="D2430">
        <v>13</v>
      </c>
      <c r="E2430">
        <v>348</v>
      </c>
      <c r="F2430">
        <v>87</v>
      </c>
      <c r="G2430">
        <v>4524</v>
      </c>
      <c r="H2430" s="4">
        <v>1131</v>
      </c>
      <c r="I2430" s="4">
        <v>3393</v>
      </c>
      <c r="J2430" t="s">
        <v>140</v>
      </c>
      <c r="K2430" t="s">
        <v>53</v>
      </c>
      <c r="L2430" s="4">
        <v>7.1104128275166252</v>
      </c>
      <c r="M2430" s="1" t="s">
        <v>34</v>
      </c>
      <c r="N2430" s="11">
        <f t="shared" si="37"/>
        <v>1</v>
      </c>
    </row>
    <row r="2431" spans="1:14" ht="16" x14ac:dyDescent="0.2">
      <c r="A2431" s="3">
        <v>43849.732959436216</v>
      </c>
      <c r="B2431" s="1" t="s">
        <v>2723</v>
      </c>
      <c r="C2431" t="s">
        <v>163</v>
      </c>
      <c r="D2431">
        <v>6</v>
      </c>
      <c r="E2431">
        <v>108</v>
      </c>
      <c r="F2431">
        <v>36</v>
      </c>
      <c r="G2431">
        <v>648</v>
      </c>
      <c r="H2431" s="4">
        <v>216</v>
      </c>
      <c r="I2431" s="4">
        <v>432</v>
      </c>
      <c r="J2431" t="s">
        <v>488</v>
      </c>
      <c r="K2431" t="s">
        <v>64</v>
      </c>
      <c r="L2431" s="4">
        <v>9.458617986208397</v>
      </c>
      <c r="M2431" s="1" t="s">
        <v>54</v>
      </c>
      <c r="N2431" s="11">
        <f t="shared" si="37"/>
        <v>10</v>
      </c>
    </row>
    <row r="2432" spans="1:14" ht="16" x14ac:dyDescent="0.2">
      <c r="A2432" s="3">
        <v>43938.750458426017</v>
      </c>
      <c r="B2432" s="1" t="s">
        <v>2724</v>
      </c>
      <c r="C2432" t="s">
        <v>538</v>
      </c>
      <c r="D2432">
        <v>18</v>
      </c>
      <c r="E2432">
        <v>261</v>
      </c>
      <c r="F2432">
        <v>87</v>
      </c>
      <c r="G2432">
        <v>4698</v>
      </c>
      <c r="H2432" s="4">
        <v>1566</v>
      </c>
      <c r="I2432" s="4">
        <v>3132</v>
      </c>
      <c r="J2432" t="s">
        <v>199</v>
      </c>
      <c r="K2432" t="s">
        <v>86</v>
      </c>
      <c r="L2432" s="4">
        <v>13.890275354050972</v>
      </c>
      <c r="M2432" s="1" t="s">
        <v>38</v>
      </c>
      <c r="N2432" s="11">
        <f t="shared" si="37"/>
        <v>5</v>
      </c>
    </row>
    <row r="2433" spans="1:14" ht="16" x14ac:dyDescent="0.2">
      <c r="A2433" s="3">
        <v>44639.118283328753</v>
      </c>
      <c r="B2433" s="1" t="s">
        <v>2725</v>
      </c>
      <c r="C2433" t="s">
        <v>157</v>
      </c>
      <c r="D2433">
        <v>15</v>
      </c>
      <c r="E2433">
        <v>50</v>
      </c>
      <c r="F2433">
        <v>25</v>
      </c>
      <c r="G2433">
        <v>750</v>
      </c>
      <c r="H2433" s="4">
        <v>375</v>
      </c>
      <c r="I2433" s="4">
        <v>375</v>
      </c>
      <c r="J2433" t="s">
        <v>290</v>
      </c>
      <c r="K2433" t="s">
        <v>86</v>
      </c>
      <c r="L2433" s="4">
        <v>12.758430621858414</v>
      </c>
      <c r="M2433" s="1" t="s">
        <v>34</v>
      </c>
      <c r="N2433" s="11">
        <f t="shared" si="37"/>
        <v>1</v>
      </c>
    </row>
    <row r="2434" spans="1:14" ht="16" x14ac:dyDescent="0.2">
      <c r="A2434" s="3">
        <v>43801.675719984669</v>
      </c>
      <c r="B2434" s="1" t="s">
        <v>1879</v>
      </c>
      <c r="C2434" t="s">
        <v>320</v>
      </c>
      <c r="D2434">
        <v>14</v>
      </c>
      <c r="E2434">
        <v>280</v>
      </c>
      <c r="F2434">
        <v>70</v>
      </c>
      <c r="G2434">
        <v>3920</v>
      </c>
      <c r="H2434" s="4">
        <v>980</v>
      </c>
      <c r="I2434" s="4">
        <v>2940</v>
      </c>
      <c r="J2434" t="s">
        <v>183</v>
      </c>
      <c r="K2434" t="s">
        <v>58</v>
      </c>
      <c r="L2434" s="4">
        <v>11.939773463335372</v>
      </c>
      <c r="M2434" s="1" t="s">
        <v>54</v>
      </c>
      <c r="N2434" s="11">
        <f t="shared" si="37"/>
        <v>10</v>
      </c>
    </row>
    <row r="2435" spans="1:14" ht="16" x14ac:dyDescent="0.2">
      <c r="A2435" s="3">
        <v>44156.895493202392</v>
      </c>
      <c r="B2435" s="1" t="s">
        <v>2726</v>
      </c>
      <c r="C2435" t="s">
        <v>538</v>
      </c>
      <c r="D2435">
        <v>1</v>
      </c>
      <c r="E2435">
        <v>261</v>
      </c>
      <c r="F2435">
        <v>87</v>
      </c>
      <c r="G2435">
        <v>261</v>
      </c>
      <c r="H2435" s="4">
        <v>87</v>
      </c>
      <c r="I2435" s="4">
        <v>174</v>
      </c>
      <c r="J2435" t="s">
        <v>1138</v>
      </c>
      <c r="K2435" t="s">
        <v>64</v>
      </c>
      <c r="L2435" s="4">
        <v>13.601235361661526</v>
      </c>
      <c r="M2435" s="1" t="s">
        <v>38</v>
      </c>
      <c r="N2435" s="11">
        <f t="shared" ref="N2435:N2498" si="38">+IF(M2435="Dissatisfied",1,IF(M2435="Satisfied",10,5))</f>
        <v>5</v>
      </c>
    </row>
    <row r="2436" spans="1:14" ht="16" x14ac:dyDescent="0.2">
      <c r="A2436" s="3">
        <v>44191.371940560668</v>
      </c>
      <c r="B2436" s="1" t="s">
        <v>2727</v>
      </c>
      <c r="C2436" t="s">
        <v>148</v>
      </c>
      <c r="D2436">
        <v>20</v>
      </c>
      <c r="E2436">
        <v>144</v>
      </c>
      <c r="F2436">
        <v>36</v>
      </c>
      <c r="G2436">
        <v>2880</v>
      </c>
      <c r="H2436" s="4">
        <v>720</v>
      </c>
      <c r="I2436" s="4">
        <v>2160</v>
      </c>
      <c r="J2436" t="s">
        <v>1625</v>
      </c>
      <c r="K2436" t="s">
        <v>86</v>
      </c>
      <c r="L2436" s="4">
        <v>11.238524301148807</v>
      </c>
      <c r="M2436" s="1" t="s">
        <v>54</v>
      </c>
      <c r="N2436" s="11">
        <f t="shared" si="38"/>
        <v>10</v>
      </c>
    </row>
    <row r="2437" spans="1:14" ht="16" x14ac:dyDescent="0.2">
      <c r="A2437" s="3">
        <v>44441.202898008312</v>
      </c>
      <c r="B2437" s="1" t="s">
        <v>2728</v>
      </c>
      <c r="C2437" t="s">
        <v>365</v>
      </c>
      <c r="D2437">
        <v>12</v>
      </c>
      <c r="E2437">
        <v>255</v>
      </c>
      <c r="F2437">
        <v>85</v>
      </c>
      <c r="G2437">
        <v>3060</v>
      </c>
      <c r="H2437" s="4">
        <v>1020</v>
      </c>
      <c r="I2437" s="4">
        <v>2040</v>
      </c>
      <c r="J2437" t="s">
        <v>774</v>
      </c>
      <c r="K2437" t="s">
        <v>49</v>
      </c>
      <c r="L2437" s="4">
        <v>13.392447352247808</v>
      </c>
      <c r="M2437" s="1" t="s">
        <v>38</v>
      </c>
      <c r="N2437" s="11">
        <f t="shared" si="38"/>
        <v>5</v>
      </c>
    </row>
    <row r="2438" spans="1:14" ht="16" x14ac:dyDescent="0.2">
      <c r="A2438" s="3">
        <v>44154.869863759748</v>
      </c>
      <c r="B2438" s="1" t="s">
        <v>2729</v>
      </c>
      <c r="C2438" t="s">
        <v>75</v>
      </c>
      <c r="D2438">
        <v>9</v>
      </c>
      <c r="E2438">
        <v>76</v>
      </c>
      <c r="F2438">
        <v>19</v>
      </c>
      <c r="G2438">
        <v>684</v>
      </c>
      <c r="H2438" s="4">
        <v>171</v>
      </c>
      <c r="I2438" s="4">
        <v>513</v>
      </c>
      <c r="J2438" t="s">
        <v>169</v>
      </c>
      <c r="K2438" t="s">
        <v>33</v>
      </c>
      <c r="L2438" s="4">
        <v>15.121383064708469</v>
      </c>
      <c r="M2438" s="1" t="s">
        <v>38</v>
      </c>
      <c r="N2438" s="11">
        <f t="shared" si="38"/>
        <v>5</v>
      </c>
    </row>
    <row r="2439" spans="1:14" ht="16" x14ac:dyDescent="0.2">
      <c r="A2439" s="3">
        <v>43414.66374329618</v>
      </c>
      <c r="B2439" s="1" t="s">
        <v>749</v>
      </c>
      <c r="C2439" t="s">
        <v>72</v>
      </c>
      <c r="D2439">
        <v>4</v>
      </c>
      <c r="E2439">
        <v>352</v>
      </c>
      <c r="F2439">
        <v>88</v>
      </c>
      <c r="G2439">
        <v>1408</v>
      </c>
      <c r="H2439" s="4">
        <v>352</v>
      </c>
      <c r="I2439" s="4">
        <v>1056</v>
      </c>
      <c r="J2439" t="s">
        <v>635</v>
      </c>
      <c r="K2439" t="s">
        <v>33</v>
      </c>
      <c r="L2439" s="4">
        <v>15.478388039566896</v>
      </c>
      <c r="M2439" s="1" t="s">
        <v>38</v>
      </c>
      <c r="N2439" s="11">
        <f t="shared" si="38"/>
        <v>5</v>
      </c>
    </row>
    <row r="2440" spans="1:14" ht="16" x14ac:dyDescent="0.2">
      <c r="A2440" s="3">
        <v>43674.26522063875</v>
      </c>
      <c r="B2440" s="1" t="s">
        <v>1326</v>
      </c>
      <c r="C2440" t="s">
        <v>240</v>
      </c>
      <c r="D2440">
        <v>16</v>
      </c>
      <c r="E2440">
        <v>108</v>
      </c>
      <c r="F2440">
        <v>54</v>
      </c>
      <c r="G2440">
        <v>1728</v>
      </c>
      <c r="H2440" s="4">
        <v>864</v>
      </c>
      <c r="I2440" s="4">
        <v>864</v>
      </c>
      <c r="J2440" t="s">
        <v>811</v>
      </c>
      <c r="K2440" t="s">
        <v>58</v>
      </c>
      <c r="L2440" s="4">
        <v>14.308257477047373</v>
      </c>
      <c r="M2440" s="1" t="s">
        <v>54</v>
      </c>
      <c r="N2440" s="11">
        <f t="shared" si="38"/>
        <v>10</v>
      </c>
    </row>
    <row r="2441" spans="1:14" ht="16" x14ac:dyDescent="0.2">
      <c r="A2441" s="3">
        <v>44732.985084892876</v>
      </c>
      <c r="B2441" s="1" t="s">
        <v>2730</v>
      </c>
      <c r="C2441" t="s">
        <v>592</v>
      </c>
      <c r="D2441">
        <v>9</v>
      </c>
      <c r="E2441">
        <v>312</v>
      </c>
      <c r="F2441">
        <v>78</v>
      </c>
      <c r="G2441">
        <v>2808</v>
      </c>
      <c r="H2441" s="4">
        <v>702</v>
      </c>
      <c r="I2441" s="4">
        <v>2106</v>
      </c>
      <c r="J2441" t="s">
        <v>442</v>
      </c>
      <c r="K2441" t="s">
        <v>58</v>
      </c>
      <c r="L2441" s="4">
        <v>16.429355109701351</v>
      </c>
      <c r="M2441" s="1" t="s">
        <v>34</v>
      </c>
      <c r="N2441" s="11">
        <f t="shared" si="38"/>
        <v>1</v>
      </c>
    </row>
    <row r="2442" spans="1:14" ht="16" x14ac:dyDescent="0.2">
      <c r="A2442" s="3">
        <v>44309.712961049976</v>
      </c>
      <c r="B2442" s="1" t="s">
        <v>2731</v>
      </c>
      <c r="C2442" t="s">
        <v>779</v>
      </c>
      <c r="D2442">
        <v>9</v>
      </c>
      <c r="E2442">
        <v>120</v>
      </c>
      <c r="F2442">
        <v>30</v>
      </c>
      <c r="G2442">
        <v>1080</v>
      </c>
      <c r="H2442" s="4">
        <v>270</v>
      </c>
      <c r="I2442" s="4">
        <v>810</v>
      </c>
      <c r="J2442" t="s">
        <v>246</v>
      </c>
      <c r="K2442" t="s">
        <v>58</v>
      </c>
      <c r="L2442" s="4">
        <v>15.234329552872023</v>
      </c>
      <c r="M2442" s="1" t="s">
        <v>38</v>
      </c>
      <c r="N2442" s="11">
        <f t="shared" si="38"/>
        <v>5</v>
      </c>
    </row>
    <row r="2443" spans="1:14" ht="16" x14ac:dyDescent="0.2">
      <c r="A2443" s="3">
        <v>44201.59215206153</v>
      </c>
      <c r="B2443" s="1" t="s">
        <v>2732</v>
      </c>
      <c r="C2443" t="s">
        <v>154</v>
      </c>
      <c r="D2443">
        <v>13</v>
      </c>
      <c r="E2443">
        <v>308</v>
      </c>
      <c r="F2443">
        <v>77</v>
      </c>
      <c r="G2443">
        <v>4004</v>
      </c>
      <c r="H2443" s="4">
        <v>1001</v>
      </c>
      <c r="I2443" s="4">
        <v>3003</v>
      </c>
      <c r="J2443" t="s">
        <v>804</v>
      </c>
      <c r="K2443" t="s">
        <v>53</v>
      </c>
      <c r="L2443" s="4">
        <v>9.4608554813364627</v>
      </c>
      <c r="M2443" s="1" t="s">
        <v>38</v>
      </c>
      <c r="N2443" s="11">
        <f t="shared" si="38"/>
        <v>5</v>
      </c>
    </row>
    <row r="2444" spans="1:14" ht="16" x14ac:dyDescent="0.2">
      <c r="A2444" s="3">
        <v>43703.782590974515</v>
      </c>
      <c r="B2444" s="1" t="s">
        <v>2733</v>
      </c>
      <c r="C2444" t="s">
        <v>337</v>
      </c>
      <c r="D2444">
        <v>20</v>
      </c>
      <c r="E2444">
        <v>135</v>
      </c>
      <c r="F2444">
        <v>45</v>
      </c>
      <c r="G2444">
        <v>2700</v>
      </c>
      <c r="H2444" s="4">
        <v>900</v>
      </c>
      <c r="I2444" s="4">
        <v>1800</v>
      </c>
      <c r="J2444" t="s">
        <v>244</v>
      </c>
      <c r="K2444" t="s">
        <v>86</v>
      </c>
      <c r="L2444" s="4">
        <v>15.458859683514467</v>
      </c>
      <c r="M2444" s="1" t="s">
        <v>38</v>
      </c>
      <c r="N2444" s="11">
        <f t="shared" si="38"/>
        <v>5</v>
      </c>
    </row>
    <row r="2445" spans="1:14" ht="16" x14ac:dyDescent="0.2">
      <c r="A2445" s="3">
        <v>44394.649888034946</v>
      </c>
      <c r="B2445" s="1" t="s">
        <v>2734</v>
      </c>
      <c r="C2445" t="s">
        <v>31</v>
      </c>
      <c r="D2445">
        <v>1</v>
      </c>
      <c r="E2445">
        <v>280</v>
      </c>
      <c r="F2445">
        <v>70</v>
      </c>
      <c r="G2445">
        <v>280</v>
      </c>
      <c r="H2445" s="4">
        <v>70</v>
      </c>
      <c r="I2445" s="4">
        <v>210</v>
      </c>
      <c r="J2445" t="s">
        <v>557</v>
      </c>
      <c r="K2445" t="s">
        <v>64</v>
      </c>
      <c r="L2445" s="4">
        <v>10.037135914792184</v>
      </c>
      <c r="M2445" s="1" t="s">
        <v>38</v>
      </c>
      <c r="N2445" s="11">
        <f t="shared" si="38"/>
        <v>5</v>
      </c>
    </row>
    <row r="2446" spans="1:14" ht="16" x14ac:dyDescent="0.2">
      <c r="A2446" s="3">
        <v>43554.865100923671</v>
      </c>
      <c r="B2446" s="1" t="s">
        <v>1326</v>
      </c>
      <c r="C2446" t="s">
        <v>370</v>
      </c>
      <c r="D2446">
        <v>9</v>
      </c>
      <c r="E2446">
        <v>144</v>
      </c>
      <c r="F2446">
        <v>36</v>
      </c>
      <c r="G2446">
        <v>1296</v>
      </c>
      <c r="H2446" s="4">
        <v>324</v>
      </c>
      <c r="I2446" s="4">
        <v>972</v>
      </c>
      <c r="J2446" t="s">
        <v>106</v>
      </c>
      <c r="K2446" t="s">
        <v>42</v>
      </c>
      <c r="L2446" s="4">
        <v>13.717776078041958</v>
      </c>
      <c r="M2446" s="1" t="s">
        <v>38</v>
      </c>
      <c r="N2446" s="11">
        <f t="shared" si="38"/>
        <v>5</v>
      </c>
    </row>
    <row r="2447" spans="1:14" ht="16" x14ac:dyDescent="0.2">
      <c r="A2447" s="3">
        <v>43904.452569822584</v>
      </c>
      <c r="B2447" s="1" t="s">
        <v>2735</v>
      </c>
      <c r="C2447" t="s">
        <v>110</v>
      </c>
      <c r="D2447">
        <v>15</v>
      </c>
      <c r="E2447">
        <v>144</v>
      </c>
      <c r="F2447">
        <v>36</v>
      </c>
      <c r="G2447">
        <v>2160</v>
      </c>
      <c r="H2447" s="4">
        <v>540</v>
      </c>
      <c r="I2447" s="4">
        <v>1620</v>
      </c>
      <c r="J2447" t="s">
        <v>701</v>
      </c>
      <c r="K2447" t="s">
        <v>42</v>
      </c>
      <c r="L2447" s="4">
        <v>10.434860153112215</v>
      </c>
      <c r="M2447" s="1" t="s">
        <v>38</v>
      </c>
      <c r="N2447" s="11">
        <f t="shared" si="38"/>
        <v>5</v>
      </c>
    </row>
    <row r="2448" spans="1:14" ht="16" x14ac:dyDescent="0.2">
      <c r="A2448" s="3">
        <v>44462.987839968337</v>
      </c>
      <c r="B2448" s="1" t="s">
        <v>2736</v>
      </c>
      <c r="C2448" t="s">
        <v>178</v>
      </c>
      <c r="D2448">
        <v>14</v>
      </c>
      <c r="E2448">
        <v>189</v>
      </c>
      <c r="F2448">
        <v>63</v>
      </c>
      <c r="G2448">
        <v>2646</v>
      </c>
      <c r="H2448" s="4">
        <v>882</v>
      </c>
      <c r="I2448" s="4">
        <v>1764</v>
      </c>
      <c r="J2448" t="s">
        <v>752</v>
      </c>
      <c r="K2448" t="s">
        <v>49</v>
      </c>
      <c r="L2448" s="4">
        <v>11.862005526237752</v>
      </c>
      <c r="M2448" s="1" t="s">
        <v>38</v>
      </c>
      <c r="N2448" s="11">
        <f t="shared" si="38"/>
        <v>5</v>
      </c>
    </row>
    <row r="2449" spans="1:14" ht="16" x14ac:dyDescent="0.2">
      <c r="A2449" s="3">
        <v>43531.783922940449</v>
      </c>
      <c r="B2449" s="1" t="s">
        <v>2737</v>
      </c>
      <c r="C2449" t="s">
        <v>145</v>
      </c>
      <c r="D2449">
        <v>14</v>
      </c>
      <c r="E2449">
        <v>207</v>
      </c>
      <c r="F2449">
        <v>69</v>
      </c>
      <c r="G2449">
        <v>2898</v>
      </c>
      <c r="H2449" s="4">
        <v>966</v>
      </c>
      <c r="I2449" s="4">
        <v>1932</v>
      </c>
      <c r="J2449" t="s">
        <v>321</v>
      </c>
      <c r="K2449" t="s">
        <v>42</v>
      </c>
      <c r="L2449" s="4">
        <v>7.7337149713827413</v>
      </c>
      <c r="M2449" s="1" t="s">
        <v>38</v>
      </c>
      <c r="N2449" s="11">
        <f t="shared" si="38"/>
        <v>5</v>
      </c>
    </row>
    <row r="2450" spans="1:14" ht="16" x14ac:dyDescent="0.2">
      <c r="A2450" s="3">
        <v>43907.160651049853</v>
      </c>
      <c r="B2450" s="1" t="s">
        <v>2738</v>
      </c>
      <c r="C2450" t="s">
        <v>261</v>
      </c>
      <c r="D2450">
        <v>20</v>
      </c>
      <c r="E2450">
        <v>92</v>
      </c>
      <c r="F2450">
        <v>46</v>
      </c>
      <c r="G2450">
        <v>1840</v>
      </c>
      <c r="H2450" s="4">
        <v>920</v>
      </c>
      <c r="I2450" s="4">
        <v>920</v>
      </c>
      <c r="J2450" t="s">
        <v>844</v>
      </c>
      <c r="K2450" t="s">
        <v>33</v>
      </c>
      <c r="L2450" s="4">
        <v>11.816654396440285</v>
      </c>
      <c r="M2450" s="1" t="s">
        <v>38</v>
      </c>
      <c r="N2450" s="11">
        <f t="shared" si="38"/>
        <v>5</v>
      </c>
    </row>
    <row r="2451" spans="1:14" ht="16" x14ac:dyDescent="0.2">
      <c r="A2451" s="3">
        <v>44026.098623927239</v>
      </c>
      <c r="B2451" s="1" t="s">
        <v>2739</v>
      </c>
      <c r="C2451" t="s">
        <v>84</v>
      </c>
      <c r="D2451">
        <v>15</v>
      </c>
      <c r="E2451">
        <v>126</v>
      </c>
      <c r="F2451">
        <v>42</v>
      </c>
      <c r="G2451">
        <v>1890</v>
      </c>
      <c r="H2451" s="4">
        <v>630</v>
      </c>
      <c r="I2451" s="4">
        <v>1260</v>
      </c>
      <c r="J2451" t="s">
        <v>238</v>
      </c>
      <c r="K2451" t="s">
        <v>86</v>
      </c>
      <c r="L2451" s="4">
        <v>14.593670394271927</v>
      </c>
      <c r="M2451" s="1" t="s">
        <v>38</v>
      </c>
      <c r="N2451" s="11">
        <f t="shared" si="38"/>
        <v>5</v>
      </c>
    </row>
    <row r="2452" spans="1:14" ht="16" x14ac:dyDescent="0.2">
      <c r="A2452" s="3">
        <v>43675.007780357992</v>
      </c>
      <c r="B2452" s="1" t="s">
        <v>2740</v>
      </c>
      <c r="C2452" t="s">
        <v>386</v>
      </c>
      <c r="D2452">
        <v>10</v>
      </c>
      <c r="E2452">
        <v>110</v>
      </c>
      <c r="F2452">
        <v>55</v>
      </c>
      <c r="G2452">
        <v>1100</v>
      </c>
      <c r="H2452" s="4">
        <v>550</v>
      </c>
      <c r="I2452" s="4">
        <v>550</v>
      </c>
      <c r="J2452" t="s">
        <v>315</v>
      </c>
      <c r="K2452" t="s">
        <v>42</v>
      </c>
      <c r="L2452" s="4">
        <v>10.966283117837653</v>
      </c>
      <c r="M2452" s="1" t="s">
        <v>34</v>
      </c>
      <c r="N2452" s="11">
        <f t="shared" si="38"/>
        <v>1</v>
      </c>
    </row>
    <row r="2453" spans="1:14" ht="16" x14ac:dyDescent="0.2">
      <c r="A2453" s="3">
        <v>43534.452963080243</v>
      </c>
      <c r="B2453" s="1" t="s">
        <v>2741</v>
      </c>
      <c r="C2453" t="s">
        <v>356</v>
      </c>
      <c r="D2453">
        <v>5</v>
      </c>
      <c r="E2453">
        <v>356</v>
      </c>
      <c r="F2453">
        <v>89</v>
      </c>
      <c r="G2453">
        <v>1780</v>
      </c>
      <c r="H2453" s="4">
        <v>445</v>
      </c>
      <c r="I2453" s="4">
        <v>1335</v>
      </c>
      <c r="J2453" t="s">
        <v>378</v>
      </c>
      <c r="K2453" t="s">
        <v>53</v>
      </c>
      <c r="L2453" s="4">
        <v>14.423322704129969</v>
      </c>
      <c r="M2453" s="1" t="s">
        <v>38</v>
      </c>
      <c r="N2453" s="11">
        <f t="shared" si="38"/>
        <v>5</v>
      </c>
    </row>
    <row r="2454" spans="1:14" ht="16" x14ac:dyDescent="0.2">
      <c r="A2454" s="3">
        <v>44212.927977084772</v>
      </c>
      <c r="B2454" s="1" t="s">
        <v>2742</v>
      </c>
      <c r="C2454" t="s">
        <v>160</v>
      </c>
      <c r="D2454">
        <v>10</v>
      </c>
      <c r="E2454">
        <v>132</v>
      </c>
      <c r="F2454">
        <v>33</v>
      </c>
      <c r="G2454">
        <v>1320</v>
      </c>
      <c r="H2454" s="4">
        <v>330</v>
      </c>
      <c r="I2454" s="4">
        <v>990</v>
      </c>
      <c r="J2454" t="s">
        <v>466</v>
      </c>
      <c r="K2454" t="s">
        <v>49</v>
      </c>
      <c r="L2454" s="4">
        <v>16.368863536738775</v>
      </c>
      <c r="M2454" s="1" t="s">
        <v>38</v>
      </c>
      <c r="N2454" s="11">
        <f t="shared" si="38"/>
        <v>5</v>
      </c>
    </row>
    <row r="2455" spans="1:14" ht="16" x14ac:dyDescent="0.2">
      <c r="A2455" s="3">
        <v>44129.024347701539</v>
      </c>
      <c r="B2455" s="1" t="s">
        <v>2743</v>
      </c>
      <c r="C2455" t="s">
        <v>75</v>
      </c>
      <c r="D2455">
        <v>5</v>
      </c>
      <c r="E2455">
        <v>76</v>
      </c>
      <c r="F2455">
        <v>19</v>
      </c>
      <c r="G2455">
        <v>380</v>
      </c>
      <c r="H2455" s="4">
        <v>95</v>
      </c>
      <c r="I2455" s="4">
        <v>285</v>
      </c>
      <c r="J2455" t="s">
        <v>453</v>
      </c>
      <c r="K2455" t="s">
        <v>42</v>
      </c>
      <c r="L2455" s="4">
        <v>13.104576594826185</v>
      </c>
      <c r="M2455" s="1" t="s">
        <v>38</v>
      </c>
      <c r="N2455" s="11">
        <f t="shared" si="38"/>
        <v>5</v>
      </c>
    </row>
    <row r="2456" spans="1:14" ht="16" x14ac:dyDescent="0.2">
      <c r="A2456" s="3">
        <v>43726.360082141684</v>
      </c>
      <c r="B2456" s="1" t="s">
        <v>1823</v>
      </c>
      <c r="C2456" t="s">
        <v>304</v>
      </c>
      <c r="D2456">
        <v>11</v>
      </c>
      <c r="E2456">
        <v>116</v>
      </c>
      <c r="F2456">
        <v>29</v>
      </c>
      <c r="G2456">
        <v>1276</v>
      </c>
      <c r="H2456" s="4">
        <v>319</v>
      </c>
      <c r="I2456" s="4">
        <v>957</v>
      </c>
      <c r="J2456" t="s">
        <v>57</v>
      </c>
      <c r="K2456" t="s">
        <v>58</v>
      </c>
      <c r="L2456" s="4">
        <v>11.749993886708426</v>
      </c>
      <c r="M2456" s="1" t="s">
        <v>34</v>
      </c>
      <c r="N2456" s="11">
        <f t="shared" si="38"/>
        <v>1</v>
      </c>
    </row>
    <row r="2457" spans="1:14" ht="16" x14ac:dyDescent="0.2">
      <c r="A2457" s="3">
        <v>43303.267902567277</v>
      </c>
      <c r="B2457" s="1" t="s">
        <v>2744</v>
      </c>
      <c r="C2457" t="s">
        <v>356</v>
      </c>
      <c r="D2457">
        <v>13</v>
      </c>
      <c r="E2457">
        <v>356</v>
      </c>
      <c r="F2457">
        <v>89</v>
      </c>
      <c r="G2457">
        <v>4628</v>
      </c>
      <c r="H2457" s="4">
        <v>1157</v>
      </c>
      <c r="I2457" s="4">
        <v>3471</v>
      </c>
      <c r="J2457" t="s">
        <v>1702</v>
      </c>
      <c r="K2457" t="s">
        <v>42</v>
      </c>
      <c r="L2457" s="4">
        <v>11.375127981841125</v>
      </c>
      <c r="M2457" s="1" t="s">
        <v>38</v>
      </c>
      <c r="N2457" s="11">
        <f t="shared" si="38"/>
        <v>5</v>
      </c>
    </row>
    <row r="2458" spans="1:14" ht="16" x14ac:dyDescent="0.2">
      <c r="A2458" s="3">
        <v>43069.609572335845</v>
      </c>
      <c r="B2458" s="1" t="s">
        <v>2745</v>
      </c>
      <c r="C2458" t="s">
        <v>47</v>
      </c>
      <c r="D2458">
        <v>3</v>
      </c>
      <c r="E2458">
        <v>231</v>
      </c>
      <c r="F2458">
        <v>77</v>
      </c>
      <c r="G2458">
        <v>693</v>
      </c>
      <c r="H2458" s="4">
        <v>231</v>
      </c>
      <c r="I2458" s="4">
        <v>462</v>
      </c>
      <c r="J2458" t="s">
        <v>1560</v>
      </c>
      <c r="K2458" t="s">
        <v>86</v>
      </c>
      <c r="L2458" s="4">
        <v>14.412865837260112</v>
      </c>
      <c r="M2458" s="1" t="s">
        <v>34</v>
      </c>
      <c r="N2458" s="11">
        <f t="shared" si="38"/>
        <v>1</v>
      </c>
    </row>
    <row r="2459" spans="1:14" ht="16" x14ac:dyDescent="0.2">
      <c r="A2459" s="3">
        <v>43626.732351454302</v>
      </c>
      <c r="B2459" s="1" t="s">
        <v>2746</v>
      </c>
      <c r="C2459" t="s">
        <v>148</v>
      </c>
      <c r="D2459">
        <v>12</v>
      </c>
      <c r="E2459">
        <v>144</v>
      </c>
      <c r="F2459">
        <v>36</v>
      </c>
      <c r="G2459">
        <v>1728</v>
      </c>
      <c r="H2459" s="4">
        <v>432</v>
      </c>
      <c r="I2459" s="4">
        <v>1296</v>
      </c>
      <c r="J2459" t="s">
        <v>79</v>
      </c>
      <c r="K2459" t="s">
        <v>64</v>
      </c>
      <c r="L2459" s="4">
        <v>12.163730387337393</v>
      </c>
      <c r="M2459" s="1" t="s">
        <v>54</v>
      </c>
      <c r="N2459" s="11">
        <f t="shared" si="38"/>
        <v>10</v>
      </c>
    </row>
    <row r="2460" spans="1:14" ht="16" x14ac:dyDescent="0.2">
      <c r="A2460" s="3">
        <v>43684.017577063038</v>
      </c>
      <c r="B2460" s="1" t="s">
        <v>2747</v>
      </c>
      <c r="C2460" t="s">
        <v>259</v>
      </c>
      <c r="D2460">
        <v>4</v>
      </c>
      <c r="E2460">
        <v>270</v>
      </c>
      <c r="F2460">
        <v>90</v>
      </c>
      <c r="G2460">
        <v>1080</v>
      </c>
      <c r="H2460" s="4">
        <v>360</v>
      </c>
      <c r="I2460" s="4">
        <v>720</v>
      </c>
      <c r="J2460" t="s">
        <v>176</v>
      </c>
      <c r="K2460" t="s">
        <v>64</v>
      </c>
      <c r="L2460" s="4">
        <v>12.1334991293512</v>
      </c>
      <c r="M2460" s="1" t="s">
        <v>54</v>
      </c>
      <c r="N2460" s="11">
        <f t="shared" si="38"/>
        <v>10</v>
      </c>
    </row>
    <row r="2461" spans="1:14" ht="16" x14ac:dyDescent="0.2">
      <c r="A2461" s="3">
        <v>43238.79274731718</v>
      </c>
      <c r="B2461" s="1" t="s">
        <v>2748</v>
      </c>
      <c r="C2461" t="s">
        <v>257</v>
      </c>
      <c r="D2461">
        <v>13</v>
      </c>
      <c r="E2461">
        <v>160</v>
      </c>
      <c r="F2461">
        <v>80</v>
      </c>
      <c r="G2461">
        <v>2080</v>
      </c>
      <c r="H2461" s="4">
        <v>1040</v>
      </c>
      <c r="I2461" s="4">
        <v>1040</v>
      </c>
      <c r="J2461" t="s">
        <v>213</v>
      </c>
      <c r="K2461" t="s">
        <v>58</v>
      </c>
      <c r="L2461" s="4">
        <v>10.980884286450312</v>
      </c>
      <c r="M2461" s="1" t="s">
        <v>54</v>
      </c>
      <c r="N2461" s="11">
        <f t="shared" si="38"/>
        <v>10</v>
      </c>
    </row>
    <row r="2462" spans="1:14" ht="16" x14ac:dyDescent="0.2">
      <c r="A2462" s="3">
        <v>43530.919682106243</v>
      </c>
      <c r="B2462" s="1" t="s">
        <v>508</v>
      </c>
      <c r="C2462" t="s">
        <v>425</v>
      </c>
      <c r="D2462">
        <v>7</v>
      </c>
      <c r="E2462">
        <v>352</v>
      </c>
      <c r="F2462">
        <v>88</v>
      </c>
      <c r="G2462">
        <v>2464</v>
      </c>
      <c r="H2462" s="4">
        <v>616</v>
      </c>
      <c r="I2462" s="4">
        <v>1848</v>
      </c>
      <c r="J2462" t="s">
        <v>980</v>
      </c>
      <c r="K2462" t="s">
        <v>33</v>
      </c>
      <c r="L2462" s="4">
        <v>8.1743378387804331</v>
      </c>
      <c r="M2462" s="1" t="s">
        <v>38</v>
      </c>
      <c r="N2462" s="11">
        <f t="shared" si="38"/>
        <v>5</v>
      </c>
    </row>
    <row r="2463" spans="1:14" ht="16" x14ac:dyDescent="0.2">
      <c r="A2463" s="3">
        <v>44126.60566707432</v>
      </c>
      <c r="B2463" s="1" t="s">
        <v>2749</v>
      </c>
      <c r="C2463" t="s">
        <v>592</v>
      </c>
      <c r="D2463">
        <v>14</v>
      </c>
      <c r="E2463">
        <v>312</v>
      </c>
      <c r="F2463">
        <v>78</v>
      </c>
      <c r="G2463">
        <v>4368</v>
      </c>
      <c r="H2463" s="4">
        <v>1092</v>
      </c>
      <c r="I2463" s="4">
        <v>3276</v>
      </c>
      <c r="J2463" t="s">
        <v>892</v>
      </c>
      <c r="K2463" t="s">
        <v>33</v>
      </c>
      <c r="L2463" s="4">
        <v>13.062292798511226</v>
      </c>
      <c r="M2463" s="1" t="s">
        <v>38</v>
      </c>
      <c r="N2463" s="11">
        <f t="shared" si="38"/>
        <v>5</v>
      </c>
    </row>
    <row r="2464" spans="1:14" ht="16" x14ac:dyDescent="0.2">
      <c r="A2464" s="3">
        <v>43197.087970791545</v>
      </c>
      <c r="B2464" s="1" t="s">
        <v>2082</v>
      </c>
      <c r="C2464" t="s">
        <v>204</v>
      </c>
      <c r="D2464">
        <v>2</v>
      </c>
      <c r="E2464">
        <v>57</v>
      </c>
      <c r="F2464">
        <v>19</v>
      </c>
      <c r="G2464">
        <v>114</v>
      </c>
      <c r="H2464" s="4">
        <v>38</v>
      </c>
      <c r="I2464" s="4">
        <v>76</v>
      </c>
      <c r="J2464" t="s">
        <v>482</v>
      </c>
      <c r="K2464" t="s">
        <v>42</v>
      </c>
      <c r="L2464" s="4">
        <v>11.311040680082275</v>
      </c>
      <c r="M2464" s="1" t="s">
        <v>38</v>
      </c>
      <c r="N2464" s="11">
        <f t="shared" si="38"/>
        <v>5</v>
      </c>
    </row>
    <row r="2465" spans="1:14" ht="16" x14ac:dyDescent="0.2">
      <c r="A2465" s="3">
        <v>44408.354539067397</v>
      </c>
      <c r="B2465" s="1" t="s">
        <v>2750</v>
      </c>
      <c r="C2465" t="s">
        <v>98</v>
      </c>
      <c r="D2465">
        <v>4</v>
      </c>
      <c r="E2465">
        <v>156</v>
      </c>
      <c r="F2465">
        <v>78</v>
      </c>
      <c r="G2465">
        <v>624</v>
      </c>
      <c r="H2465" s="4">
        <v>312</v>
      </c>
      <c r="I2465" s="4">
        <v>312</v>
      </c>
      <c r="J2465" t="s">
        <v>914</v>
      </c>
      <c r="K2465" t="s">
        <v>42</v>
      </c>
      <c r="L2465" s="4">
        <v>13.853438793083487</v>
      </c>
      <c r="M2465" s="1" t="s">
        <v>54</v>
      </c>
      <c r="N2465" s="11">
        <f t="shared" si="38"/>
        <v>10</v>
      </c>
    </row>
    <row r="2466" spans="1:14" ht="16" x14ac:dyDescent="0.2">
      <c r="A2466" s="3">
        <v>43842.221776387407</v>
      </c>
      <c r="B2466" s="1" t="s">
        <v>2751</v>
      </c>
      <c r="C2466" t="s">
        <v>69</v>
      </c>
      <c r="D2466">
        <v>15</v>
      </c>
      <c r="E2466">
        <v>184</v>
      </c>
      <c r="F2466">
        <v>92</v>
      </c>
      <c r="G2466">
        <v>2760</v>
      </c>
      <c r="H2466" s="4">
        <v>1380</v>
      </c>
      <c r="I2466" s="4">
        <v>1380</v>
      </c>
      <c r="J2466" t="s">
        <v>513</v>
      </c>
      <c r="K2466" t="s">
        <v>58</v>
      </c>
      <c r="L2466" s="4">
        <v>15.207985888346794</v>
      </c>
      <c r="M2466" s="1" t="s">
        <v>34</v>
      </c>
      <c r="N2466" s="11">
        <f t="shared" si="38"/>
        <v>1</v>
      </c>
    </row>
    <row r="2467" spans="1:14" ht="16" x14ac:dyDescent="0.2">
      <c r="A2467" s="3">
        <v>44379.006062817774</v>
      </c>
      <c r="B2467" s="1" t="s">
        <v>2752</v>
      </c>
      <c r="C2467" t="s">
        <v>386</v>
      </c>
      <c r="D2467">
        <v>5</v>
      </c>
      <c r="E2467">
        <v>110</v>
      </c>
      <c r="F2467">
        <v>55</v>
      </c>
      <c r="G2467">
        <v>550</v>
      </c>
      <c r="H2467" s="4">
        <v>275</v>
      </c>
      <c r="I2467" s="4">
        <v>275</v>
      </c>
      <c r="J2467" t="s">
        <v>161</v>
      </c>
      <c r="K2467" t="s">
        <v>33</v>
      </c>
      <c r="L2467" s="4">
        <v>14.370283356317486</v>
      </c>
      <c r="M2467" s="1" t="s">
        <v>34</v>
      </c>
      <c r="N2467" s="11">
        <f t="shared" si="38"/>
        <v>1</v>
      </c>
    </row>
    <row r="2468" spans="1:14" ht="16" x14ac:dyDescent="0.2">
      <c r="A2468" s="3">
        <v>43911.365686329904</v>
      </c>
      <c r="B2468" s="1" t="s">
        <v>2753</v>
      </c>
      <c r="C2468" t="s">
        <v>283</v>
      </c>
      <c r="D2468">
        <v>10</v>
      </c>
      <c r="E2468">
        <v>144</v>
      </c>
      <c r="F2468">
        <v>36</v>
      </c>
      <c r="G2468">
        <v>1440</v>
      </c>
      <c r="H2468" s="4">
        <v>360</v>
      </c>
      <c r="I2468" s="4">
        <v>1080</v>
      </c>
      <c r="J2468" t="s">
        <v>338</v>
      </c>
      <c r="K2468" t="s">
        <v>64</v>
      </c>
      <c r="L2468" s="4">
        <v>10.132922049221957</v>
      </c>
      <c r="M2468" s="1" t="s">
        <v>38</v>
      </c>
      <c r="N2468" s="11">
        <f t="shared" si="38"/>
        <v>5</v>
      </c>
    </row>
    <row r="2469" spans="1:14" ht="16" x14ac:dyDescent="0.2">
      <c r="A2469" s="3">
        <v>44141.842577376206</v>
      </c>
      <c r="B2469" s="1" t="s">
        <v>2754</v>
      </c>
      <c r="C2469" t="s">
        <v>286</v>
      </c>
      <c r="D2469">
        <v>5</v>
      </c>
      <c r="E2469">
        <v>34</v>
      </c>
      <c r="F2469">
        <v>17</v>
      </c>
      <c r="G2469">
        <v>170</v>
      </c>
      <c r="H2469" s="4">
        <v>85</v>
      </c>
      <c r="I2469" s="4">
        <v>85</v>
      </c>
      <c r="J2469" t="s">
        <v>442</v>
      </c>
      <c r="K2469" t="s">
        <v>58</v>
      </c>
      <c r="L2469" s="4">
        <v>16.429355109701351</v>
      </c>
      <c r="M2469" s="1" t="s">
        <v>34</v>
      </c>
      <c r="N2469" s="11">
        <f t="shared" si="38"/>
        <v>1</v>
      </c>
    </row>
    <row r="2470" spans="1:14" ht="16" x14ac:dyDescent="0.2">
      <c r="A2470" s="3">
        <v>43493.370861148192</v>
      </c>
      <c r="B2470" s="1" t="s">
        <v>2755</v>
      </c>
      <c r="C2470" t="s">
        <v>196</v>
      </c>
      <c r="D2470">
        <v>9</v>
      </c>
      <c r="E2470">
        <v>192</v>
      </c>
      <c r="F2470">
        <v>96</v>
      </c>
      <c r="G2470">
        <v>1728</v>
      </c>
      <c r="H2470" s="4">
        <v>864</v>
      </c>
      <c r="I2470" s="4">
        <v>864</v>
      </c>
      <c r="J2470" t="s">
        <v>933</v>
      </c>
      <c r="K2470" t="s">
        <v>58</v>
      </c>
      <c r="L2470" s="4">
        <v>11.130819205617987</v>
      </c>
      <c r="M2470" s="1" t="s">
        <v>38</v>
      </c>
      <c r="N2470" s="11">
        <f t="shared" si="38"/>
        <v>5</v>
      </c>
    </row>
    <row r="2471" spans="1:14" ht="16" x14ac:dyDescent="0.2">
      <c r="A2471" s="3">
        <v>43835.396378545658</v>
      </c>
      <c r="B2471" s="1" t="s">
        <v>2756</v>
      </c>
      <c r="C2471" t="s">
        <v>473</v>
      </c>
      <c r="D2471">
        <v>1</v>
      </c>
      <c r="E2471">
        <v>72</v>
      </c>
      <c r="F2471">
        <v>36</v>
      </c>
      <c r="G2471">
        <v>72</v>
      </c>
      <c r="H2471" s="4">
        <v>36</v>
      </c>
      <c r="I2471" s="4">
        <v>36</v>
      </c>
      <c r="J2471" t="s">
        <v>429</v>
      </c>
      <c r="K2471" t="s">
        <v>33</v>
      </c>
      <c r="L2471" s="4">
        <v>11.701919153133453</v>
      </c>
      <c r="M2471" s="1" t="s">
        <v>38</v>
      </c>
      <c r="N2471" s="11">
        <f t="shared" si="38"/>
        <v>5</v>
      </c>
    </row>
    <row r="2472" spans="1:14" ht="16" x14ac:dyDescent="0.2">
      <c r="A2472" s="3">
        <v>43543.202815113415</v>
      </c>
      <c r="B2472" s="1" t="s">
        <v>2757</v>
      </c>
      <c r="C2472" t="s">
        <v>204</v>
      </c>
      <c r="D2472">
        <v>11</v>
      </c>
      <c r="E2472">
        <v>57</v>
      </c>
      <c r="F2472">
        <v>19</v>
      </c>
      <c r="G2472">
        <v>627</v>
      </c>
      <c r="H2472" s="4">
        <v>209</v>
      </c>
      <c r="I2472" s="4">
        <v>418</v>
      </c>
      <c r="J2472" t="s">
        <v>962</v>
      </c>
      <c r="K2472" t="s">
        <v>86</v>
      </c>
      <c r="L2472" s="4">
        <v>10.968401424454578</v>
      </c>
      <c r="M2472" s="1" t="s">
        <v>38</v>
      </c>
      <c r="N2472" s="11">
        <f t="shared" si="38"/>
        <v>5</v>
      </c>
    </row>
    <row r="2473" spans="1:14" ht="16" x14ac:dyDescent="0.2">
      <c r="A2473" s="3">
        <v>43962.923068902739</v>
      </c>
      <c r="B2473" s="1" t="s">
        <v>2527</v>
      </c>
      <c r="C2473" t="s">
        <v>160</v>
      </c>
      <c r="D2473">
        <v>12</v>
      </c>
      <c r="E2473">
        <v>132</v>
      </c>
      <c r="F2473">
        <v>33</v>
      </c>
      <c r="G2473">
        <v>1584</v>
      </c>
      <c r="H2473" s="4">
        <v>396</v>
      </c>
      <c r="I2473" s="4">
        <v>1188</v>
      </c>
      <c r="J2473" t="s">
        <v>343</v>
      </c>
      <c r="K2473" t="s">
        <v>42</v>
      </c>
      <c r="L2473" s="4">
        <v>9.8928038181361391</v>
      </c>
      <c r="M2473" s="1" t="s">
        <v>38</v>
      </c>
      <c r="N2473" s="11">
        <f t="shared" si="38"/>
        <v>5</v>
      </c>
    </row>
    <row r="2474" spans="1:14" ht="16" x14ac:dyDescent="0.2">
      <c r="A2474" s="3">
        <v>43570.47905477012</v>
      </c>
      <c r="B2474" s="1" t="s">
        <v>2758</v>
      </c>
      <c r="C2474" t="s">
        <v>288</v>
      </c>
      <c r="D2474">
        <v>2</v>
      </c>
      <c r="E2474">
        <v>48</v>
      </c>
      <c r="F2474">
        <v>24</v>
      </c>
      <c r="G2474">
        <v>96</v>
      </c>
      <c r="H2474" s="4">
        <v>48</v>
      </c>
      <c r="I2474" s="4">
        <v>48</v>
      </c>
      <c r="J2474" t="s">
        <v>741</v>
      </c>
      <c r="K2474" t="s">
        <v>42</v>
      </c>
      <c r="L2474" s="4">
        <v>14.817898176328208</v>
      </c>
      <c r="M2474" s="1" t="s">
        <v>34</v>
      </c>
      <c r="N2474" s="11">
        <f t="shared" si="38"/>
        <v>1</v>
      </c>
    </row>
    <row r="2475" spans="1:14" ht="16" x14ac:dyDescent="0.2">
      <c r="A2475" s="3">
        <v>44110.992354155409</v>
      </c>
      <c r="B2475" s="1" t="s">
        <v>2759</v>
      </c>
      <c r="C2475" t="s">
        <v>320</v>
      </c>
      <c r="D2475">
        <v>15</v>
      </c>
      <c r="E2475">
        <v>280</v>
      </c>
      <c r="F2475">
        <v>70</v>
      </c>
      <c r="G2475">
        <v>4200</v>
      </c>
      <c r="H2475" s="4">
        <v>1050</v>
      </c>
      <c r="I2475" s="4">
        <v>3150</v>
      </c>
      <c r="J2475" t="s">
        <v>378</v>
      </c>
      <c r="K2475" t="s">
        <v>53</v>
      </c>
      <c r="L2475" s="4">
        <v>14.423322704129969</v>
      </c>
      <c r="M2475" s="1" t="s">
        <v>38</v>
      </c>
      <c r="N2475" s="11">
        <f t="shared" si="38"/>
        <v>5</v>
      </c>
    </row>
    <row r="2476" spans="1:14" ht="16" x14ac:dyDescent="0.2">
      <c r="A2476" s="3">
        <v>44197.998311749187</v>
      </c>
      <c r="B2476" s="1" t="s">
        <v>2760</v>
      </c>
      <c r="C2476" t="s">
        <v>312</v>
      </c>
      <c r="D2476">
        <v>7</v>
      </c>
      <c r="E2476">
        <v>240</v>
      </c>
      <c r="F2476">
        <v>80</v>
      </c>
      <c r="G2476">
        <v>1680</v>
      </c>
      <c r="H2476" s="4">
        <v>560</v>
      </c>
      <c r="I2476" s="4">
        <v>1120</v>
      </c>
      <c r="J2476" t="s">
        <v>1022</v>
      </c>
      <c r="K2476" t="s">
        <v>49</v>
      </c>
      <c r="L2476" s="4">
        <v>15.268550004010105</v>
      </c>
      <c r="M2476" s="1" t="s">
        <v>34</v>
      </c>
      <c r="N2476" s="11">
        <f t="shared" si="38"/>
        <v>1</v>
      </c>
    </row>
    <row r="2477" spans="1:14" ht="16" x14ac:dyDescent="0.2">
      <c r="A2477" s="3">
        <v>44125.340808469984</v>
      </c>
      <c r="B2477" s="1" t="s">
        <v>2761</v>
      </c>
      <c r="C2477" t="s">
        <v>56</v>
      </c>
      <c r="D2477">
        <v>12</v>
      </c>
      <c r="E2477">
        <v>38</v>
      </c>
      <c r="F2477">
        <v>19</v>
      </c>
      <c r="G2477">
        <v>456</v>
      </c>
      <c r="H2477" s="4">
        <v>228</v>
      </c>
      <c r="I2477" s="4">
        <v>228</v>
      </c>
      <c r="J2477" t="s">
        <v>729</v>
      </c>
      <c r="K2477" t="s">
        <v>64</v>
      </c>
      <c r="L2477" s="4">
        <v>11.443503623244197</v>
      </c>
      <c r="M2477" s="1" t="s">
        <v>38</v>
      </c>
      <c r="N2477" s="11">
        <f t="shared" si="38"/>
        <v>5</v>
      </c>
    </row>
    <row r="2478" spans="1:14" ht="16" x14ac:dyDescent="0.2">
      <c r="A2478" s="3">
        <v>44227.667679115206</v>
      </c>
      <c r="B2478" s="1" t="s">
        <v>2762</v>
      </c>
      <c r="C2478" t="s">
        <v>420</v>
      </c>
      <c r="D2478">
        <v>2</v>
      </c>
      <c r="E2478">
        <v>162</v>
      </c>
      <c r="F2478">
        <v>54</v>
      </c>
      <c r="G2478">
        <v>324</v>
      </c>
      <c r="H2478" s="4">
        <v>108</v>
      </c>
      <c r="I2478" s="4">
        <v>216</v>
      </c>
      <c r="J2478" t="s">
        <v>343</v>
      </c>
      <c r="K2478" t="s">
        <v>42</v>
      </c>
      <c r="L2478" s="4">
        <v>9.8928038181361391</v>
      </c>
      <c r="M2478" s="1" t="s">
        <v>38</v>
      </c>
      <c r="N2478" s="11">
        <f t="shared" si="38"/>
        <v>5</v>
      </c>
    </row>
    <row r="2479" spans="1:14" ht="16" x14ac:dyDescent="0.2">
      <c r="A2479" s="3">
        <v>42297.388544199472</v>
      </c>
      <c r="B2479" s="1" t="s">
        <v>2763</v>
      </c>
      <c r="C2479" t="s">
        <v>185</v>
      </c>
      <c r="D2479">
        <v>13</v>
      </c>
      <c r="E2479">
        <v>146</v>
      </c>
      <c r="F2479">
        <v>73</v>
      </c>
      <c r="G2479">
        <v>1898</v>
      </c>
      <c r="H2479" s="4">
        <v>949</v>
      </c>
      <c r="I2479" s="4">
        <v>949</v>
      </c>
      <c r="J2479" t="s">
        <v>335</v>
      </c>
      <c r="K2479" t="s">
        <v>53</v>
      </c>
      <c r="L2479" s="4">
        <v>12.148236977735172</v>
      </c>
      <c r="M2479" s="1" t="s">
        <v>38</v>
      </c>
      <c r="N2479" s="11">
        <f t="shared" si="38"/>
        <v>5</v>
      </c>
    </row>
    <row r="2480" spans="1:14" ht="16" x14ac:dyDescent="0.2">
      <c r="A2480" s="3">
        <v>44281.869984982513</v>
      </c>
      <c r="B2480" s="1" t="s">
        <v>2764</v>
      </c>
      <c r="C2480" t="s">
        <v>375</v>
      </c>
      <c r="D2480">
        <v>4</v>
      </c>
      <c r="E2480">
        <v>360</v>
      </c>
      <c r="F2480">
        <v>90</v>
      </c>
      <c r="G2480">
        <v>1440</v>
      </c>
      <c r="H2480" s="4">
        <v>360</v>
      </c>
      <c r="I2480" s="4">
        <v>1080</v>
      </c>
      <c r="J2480" t="s">
        <v>741</v>
      </c>
      <c r="K2480" t="s">
        <v>42</v>
      </c>
      <c r="L2480" s="4">
        <v>14.817898176328208</v>
      </c>
      <c r="M2480" s="1" t="s">
        <v>54</v>
      </c>
      <c r="N2480" s="11">
        <f t="shared" si="38"/>
        <v>10</v>
      </c>
    </row>
    <row r="2481" spans="1:14" ht="16" x14ac:dyDescent="0.2">
      <c r="A2481" s="3">
        <v>43609.927412810481</v>
      </c>
      <c r="B2481" s="1" t="s">
        <v>2765</v>
      </c>
      <c r="C2481" t="s">
        <v>243</v>
      </c>
      <c r="D2481">
        <v>17</v>
      </c>
      <c r="E2481">
        <v>90</v>
      </c>
      <c r="F2481">
        <v>45</v>
      </c>
      <c r="G2481">
        <v>1530</v>
      </c>
      <c r="H2481" s="4">
        <v>765</v>
      </c>
      <c r="I2481" s="4">
        <v>765</v>
      </c>
      <c r="J2481" t="s">
        <v>638</v>
      </c>
      <c r="K2481" t="s">
        <v>33</v>
      </c>
      <c r="L2481" s="4">
        <v>12.131375018945562</v>
      </c>
      <c r="M2481" s="1" t="s">
        <v>38</v>
      </c>
      <c r="N2481" s="11">
        <f t="shared" si="38"/>
        <v>5</v>
      </c>
    </row>
    <row r="2482" spans="1:14" ht="16" x14ac:dyDescent="0.2">
      <c r="A2482" s="3">
        <v>43066.993570016682</v>
      </c>
      <c r="B2482" s="1" t="s">
        <v>2766</v>
      </c>
      <c r="C2482" t="s">
        <v>120</v>
      </c>
      <c r="D2482">
        <v>2</v>
      </c>
      <c r="E2482">
        <v>252</v>
      </c>
      <c r="F2482">
        <v>63</v>
      </c>
      <c r="G2482">
        <v>504</v>
      </c>
      <c r="H2482" s="4">
        <v>126</v>
      </c>
      <c r="I2482" s="4">
        <v>378</v>
      </c>
      <c r="J2482" t="s">
        <v>774</v>
      </c>
      <c r="K2482" t="s">
        <v>49</v>
      </c>
      <c r="L2482" s="4">
        <v>13.392447352247808</v>
      </c>
      <c r="M2482" s="1" t="s">
        <v>54</v>
      </c>
      <c r="N2482" s="11">
        <f t="shared" si="38"/>
        <v>10</v>
      </c>
    </row>
    <row r="2483" spans="1:14" ht="16" x14ac:dyDescent="0.2">
      <c r="A2483" s="3">
        <v>43153.771037608916</v>
      </c>
      <c r="B2483" s="1" t="s">
        <v>2767</v>
      </c>
      <c r="C2483" t="s">
        <v>304</v>
      </c>
      <c r="D2483">
        <v>19</v>
      </c>
      <c r="E2483">
        <v>116</v>
      </c>
      <c r="F2483">
        <v>29</v>
      </c>
      <c r="G2483">
        <v>2204</v>
      </c>
      <c r="H2483" s="4">
        <v>551</v>
      </c>
      <c r="I2483" s="4">
        <v>1653</v>
      </c>
      <c r="J2483" t="s">
        <v>134</v>
      </c>
      <c r="K2483" t="s">
        <v>33</v>
      </c>
      <c r="L2483" s="4">
        <v>9.4200113153305907</v>
      </c>
      <c r="M2483" s="1" t="s">
        <v>38</v>
      </c>
      <c r="N2483" s="11">
        <f t="shared" si="38"/>
        <v>5</v>
      </c>
    </row>
    <row r="2484" spans="1:14" ht="16" x14ac:dyDescent="0.2">
      <c r="A2484" s="3">
        <v>43826.951769211009</v>
      </c>
      <c r="B2484" s="1" t="s">
        <v>2768</v>
      </c>
      <c r="C2484" t="s">
        <v>259</v>
      </c>
      <c r="D2484">
        <v>4</v>
      </c>
      <c r="E2484">
        <v>270</v>
      </c>
      <c r="F2484">
        <v>90</v>
      </c>
      <c r="G2484">
        <v>1080</v>
      </c>
      <c r="H2484" s="4">
        <v>360</v>
      </c>
      <c r="I2484" s="4">
        <v>720</v>
      </c>
      <c r="J2484" t="s">
        <v>589</v>
      </c>
      <c r="K2484" t="s">
        <v>58</v>
      </c>
      <c r="L2484" s="4">
        <v>12.207242573430314</v>
      </c>
      <c r="M2484" s="1" t="s">
        <v>38</v>
      </c>
      <c r="N2484" s="11">
        <f t="shared" si="38"/>
        <v>5</v>
      </c>
    </row>
    <row r="2485" spans="1:14" ht="16" x14ac:dyDescent="0.2">
      <c r="A2485" s="3">
        <v>44362.372829847183</v>
      </c>
      <c r="B2485" s="1" t="s">
        <v>2769</v>
      </c>
      <c r="C2485" t="s">
        <v>243</v>
      </c>
      <c r="D2485">
        <v>9</v>
      </c>
      <c r="E2485">
        <v>90</v>
      </c>
      <c r="F2485">
        <v>45</v>
      </c>
      <c r="G2485">
        <v>810</v>
      </c>
      <c r="H2485" s="4">
        <v>405</v>
      </c>
      <c r="I2485" s="4">
        <v>405</v>
      </c>
      <c r="J2485" t="s">
        <v>1432</v>
      </c>
      <c r="K2485" t="s">
        <v>53</v>
      </c>
      <c r="L2485" s="4">
        <v>13.2671922973198</v>
      </c>
      <c r="M2485" s="1" t="s">
        <v>38</v>
      </c>
      <c r="N2485" s="11">
        <f t="shared" si="38"/>
        <v>5</v>
      </c>
    </row>
    <row r="2486" spans="1:14" ht="16" x14ac:dyDescent="0.2">
      <c r="A2486" s="3">
        <v>44071.755411145277</v>
      </c>
      <c r="B2486" s="1" t="s">
        <v>2770</v>
      </c>
      <c r="C2486" t="s">
        <v>125</v>
      </c>
      <c r="D2486">
        <v>13</v>
      </c>
      <c r="E2486">
        <v>176</v>
      </c>
      <c r="F2486">
        <v>88</v>
      </c>
      <c r="G2486">
        <v>2288</v>
      </c>
      <c r="H2486" s="4">
        <v>1144</v>
      </c>
      <c r="I2486" s="4">
        <v>1144</v>
      </c>
      <c r="J2486" t="s">
        <v>225</v>
      </c>
      <c r="K2486" t="s">
        <v>33</v>
      </c>
      <c r="L2486" s="4">
        <v>11.083482342133532</v>
      </c>
      <c r="M2486" s="1" t="s">
        <v>38</v>
      </c>
      <c r="N2486" s="11">
        <f t="shared" si="38"/>
        <v>5</v>
      </c>
    </row>
    <row r="2487" spans="1:14" ht="16" x14ac:dyDescent="0.2">
      <c r="A2487" s="3">
        <v>44815.824887431074</v>
      </c>
      <c r="B2487" s="1" t="s">
        <v>2771</v>
      </c>
      <c r="C2487" t="s">
        <v>125</v>
      </c>
      <c r="D2487">
        <v>8</v>
      </c>
      <c r="E2487">
        <v>176</v>
      </c>
      <c r="F2487">
        <v>88</v>
      </c>
      <c r="G2487">
        <v>1408</v>
      </c>
      <c r="H2487" s="4">
        <v>704</v>
      </c>
      <c r="I2487" s="4">
        <v>704</v>
      </c>
      <c r="J2487" t="s">
        <v>446</v>
      </c>
      <c r="K2487" t="s">
        <v>53</v>
      </c>
      <c r="L2487" s="4">
        <v>12.85215703546821</v>
      </c>
      <c r="M2487" s="1" t="s">
        <v>54</v>
      </c>
      <c r="N2487" s="11">
        <f t="shared" si="38"/>
        <v>10</v>
      </c>
    </row>
    <row r="2488" spans="1:14" ht="16" x14ac:dyDescent="0.2">
      <c r="A2488" s="3">
        <v>43168.590013178298</v>
      </c>
      <c r="B2488" s="1" t="s">
        <v>2772</v>
      </c>
      <c r="C2488" t="s">
        <v>130</v>
      </c>
      <c r="D2488">
        <v>4</v>
      </c>
      <c r="E2488">
        <v>144</v>
      </c>
      <c r="F2488">
        <v>48</v>
      </c>
      <c r="G2488">
        <v>576</v>
      </c>
      <c r="H2488" s="4">
        <v>192</v>
      </c>
      <c r="I2488" s="4">
        <v>384</v>
      </c>
      <c r="J2488" t="s">
        <v>167</v>
      </c>
      <c r="K2488" t="s">
        <v>86</v>
      </c>
      <c r="L2488" s="4">
        <v>10.216282609482219</v>
      </c>
      <c r="M2488" s="1" t="s">
        <v>34</v>
      </c>
      <c r="N2488" s="11">
        <f t="shared" si="38"/>
        <v>1</v>
      </c>
    </row>
    <row r="2489" spans="1:14" ht="16" x14ac:dyDescent="0.2">
      <c r="A2489" s="3">
        <v>43864.687137613648</v>
      </c>
      <c r="B2489" s="1" t="s">
        <v>2773</v>
      </c>
      <c r="C2489" t="s">
        <v>98</v>
      </c>
      <c r="D2489">
        <v>4</v>
      </c>
      <c r="E2489">
        <v>156</v>
      </c>
      <c r="F2489">
        <v>78</v>
      </c>
      <c r="G2489">
        <v>624</v>
      </c>
      <c r="H2489" s="4">
        <v>312</v>
      </c>
      <c r="I2489" s="4">
        <v>312</v>
      </c>
      <c r="J2489" t="s">
        <v>1414</v>
      </c>
      <c r="K2489" t="s">
        <v>42</v>
      </c>
      <c r="L2489" s="4">
        <v>8.6625575824723242</v>
      </c>
      <c r="M2489" s="1" t="s">
        <v>38</v>
      </c>
      <c r="N2489" s="11">
        <f t="shared" si="38"/>
        <v>5</v>
      </c>
    </row>
    <row r="2490" spans="1:14" ht="16" x14ac:dyDescent="0.2">
      <c r="A2490" s="3">
        <v>43943.75532289064</v>
      </c>
      <c r="B2490" s="1" t="s">
        <v>2774</v>
      </c>
      <c r="C2490" t="s">
        <v>148</v>
      </c>
      <c r="D2490">
        <v>2</v>
      </c>
      <c r="E2490">
        <v>144</v>
      </c>
      <c r="F2490">
        <v>36</v>
      </c>
      <c r="G2490">
        <v>288</v>
      </c>
      <c r="H2490" s="4">
        <v>72</v>
      </c>
      <c r="I2490" s="4">
        <v>216</v>
      </c>
      <c r="J2490" t="s">
        <v>542</v>
      </c>
      <c r="K2490" t="s">
        <v>58</v>
      </c>
      <c r="L2490" s="4">
        <v>13.929237493388955</v>
      </c>
      <c r="M2490" s="1" t="s">
        <v>54</v>
      </c>
      <c r="N2490" s="11">
        <f t="shared" si="38"/>
        <v>10</v>
      </c>
    </row>
    <row r="2491" spans="1:14" ht="16" x14ac:dyDescent="0.2">
      <c r="A2491" s="3">
        <v>44460.933225487141</v>
      </c>
      <c r="B2491" s="1" t="s">
        <v>2775</v>
      </c>
      <c r="C2491" t="s">
        <v>56</v>
      </c>
      <c r="D2491">
        <v>9</v>
      </c>
      <c r="E2491">
        <v>38</v>
      </c>
      <c r="F2491">
        <v>19</v>
      </c>
      <c r="G2491">
        <v>342</v>
      </c>
      <c r="H2491" s="4">
        <v>171</v>
      </c>
      <c r="I2491" s="4">
        <v>171</v>
      </c>
      <c r="J2491" t="s">
        <v>236</v>
      </c>
      <c r="K2491" t="s">
        <v>53</v>
      </c>
      <c r="L2491" s="4">
        <v>9.3014286057233697</v>
      </c>
      <c r="M2491" s="1" t="s">
        <v>54</v>
      </c>
      <c r="N2491" s="11">
        <f t="shared" si="38"/>
        <v>10</v>
      </c>
    </row>
    <row r="2492" spans="1:14" ht="16" x14ac:dyDescent="0.2">
      <c r="A2492" s="3">
        <v>44380.508305511488</v>
      </c>
      <c r="B2492" s="1" t="s">
        <v>2776</v>
      </c>
      <c r="C2492" t="s">
        <v>31</v>
      </c>
      <c r="D2492">
        <v>18</v>
      </c>
      <c r="E2492">
        <v>280</v>
      </c>
      <c r="F2492">
        <v>70</v>
      </c>
      <c r="G2492">
        <v>5040</v>
      </c>
      <c r="H2492" s="4">
        <v>1260</v>
      </c>
      <c r="I2492" s="4">
        <v>3780</v>
      </c>
      <c r="J2492" t="s">
        <v>442</v>
      </c>
      <c r="K2492" t="s">
        <v>58</v>
      </c>
      <c r="L2492" s="4">
        <v>16.429355109701351</v>
      </c>
      <c r="M2492" s="1" t="s">
        <v>38</v>
      </c>
      <c r="N2492" s="11">
        <f t="shared" si="38"/>
        <v>5</v>
      </c>
    </row>
    <row r="2493" spans="1:14" ht="16" x14ac:dyDescent="0.2">
      <c r="A2493" s="3">
        <v>43601.572021523338</v>
      </c>
      <c r="B2493" s="1" t="s">
        <v>1201</v>
      </c>
      <c r="C2493" t="s">
        <v>317</v>
      </c>
      <c r="D2493">
        <v>4</v>
      </c>
      <c r="E2493">
        <v>352</v>
      </c>
      <c r="F2493">
        <v>88</v>
      </c>
      <c r="G2493">
        <v>1408</v>
      </c>
      <c r="H2493" s="4">
        <v>352</v>
      </c>
      <c r="I2493" s="4">
        <v>1056</v>
      </c>
      <c r="J2493" t="s">
        <v>552</v>
      </c>
      <c r="K2493" t="s">
        <v>53</v>
      </c>
      <c r="L2493" s="4">
        <v>9.74650548941427</v>
      </c>
      <c r="M2493" s="1" t="s">
        <v>38</v>
      </c>
      <c r="N2493" s="11">
        <f t="shared" si="38"/>
        <v>5</v>
      </c>
    </row>
    <row r="2494" spans="1:14" ht="16" x14ac:dyDescent="0.2">
      <c r="A2494" s="3">
        <v>44190.846697201276</v>
      </c>
      <c r="B2494" s="1" t="s">
        <v>2777</v>
      </c>
      <c r="C2494" t="s">
        <v>356</v>
      </c>
      <c r="D2494">
        <v>7</v>
      </c>
      <c r="E2494">
        <v>356</v>
      </c>
      <c r="F2494">
        <v>89</v>
      </c>
      <c r="G2494">
        <v>2492</v>
      </c>
      <c r="H2494" s="4">
        <v>623</v>
      </c>
      <c r="I2494" s="4">
        <v>1869</v>
      </c>
      <c r="J2494" t="s">
        <v>1091</v>
      </c>
      <c r="K2494" t="s">
        <v>33</v>
      </c>
      <c r="L2494" s="4">
        <v>12.55774399806273</v>
      </c>
      <c r="M2494" s="1" t="s">
        <v>34</v>
      </c>
      <c r="N2494" s="11">
        <f t="shared" si="38"/>
        <v>1</v>
      </c>
    </row>
    <row r="2495" spans="1:14" ht="16" x14ac:dyDescent="0.2">
      <c r="A2495" s="3">
        <v>43950.054766345129</v>
      </c>
      <c r="B2495" s="1" t="s">
        <v>551</v>
      </c>
      <c r="C2495" t="s">
        <v>157</v>
      </c>
      <c r="D2495">
        <v>7</v>
      </c>
      <c r="E2495">
        <v>50</v>
      </c>
      <c r="F2495">
        <v>25</v>
      </c>
      <c r="G2495">
        <v>350</v>
      </c>
      <c r="H2495" s="4">
        <v>175</v>
      </c>
      <c r="I2495" s="4">
        <v>175</v>
      </c>
      <c r="J2495" t="s">
        <v>1091</v>
      </c>
      <c r="K2495" t="s">
        <v>33</v>
      </c>
      <c r="L2495" s="4">
        <v>12.55774399806273</v>
      </c>
      <c r="M2495" s="1" t="s">
        <v>38</v>
      </c>
      <c r="N2495" s="11">
        <f t="shared" si="38"/>
        <v>5</v>
      </c>
    </row>
    <row r="2496" spans="1:14" ht="16" x14ac:dyDescent="0.2">
      <c r="A2496" s="3">
        <v>44090.739175898882</v>
      </c>
      <c r="B2496" s="1" t="s">
        <v>2778</v>
      </c>
      <c r="C2496" t="s">
        <v>188</v>
      </c>
      <c r="D2496">
        <v>11</v>
      </c>
      <c r="E2496">
        <v>368</v>
      </c>
      <c r="F2496">
        <v>92</v>
      </c>
      <c r="G2496">
        <v>4048</v>
      </c>
      <c r="H2496" s="4">
        <v>1012</v>
      </c>
      <c r="I2496" s="4">
        <v>3036</v>
      </c>
      <c r="J2496" t="s">
        <v>207</v>
      </c>
      <c r="K2496" t="s">
        <v>42</v>
      </c>
      <c r="L2496" s="4">
        <v>12.177709716438097</v>
      </c>
      <c r="M2496" s="1" t="s">
        <v>38</v>
      </c>
      <c r="N2496" s="11">
        <f t="shared" si="38"/>
        <v>5</v>
      </c>
    </row>
    <row r="2497" spans="1:14" ht="16" x14ac:dyDescent="0.2">
      <c r="A2497" s="3">
        <v>43501.762919502115</v>
      </c>
      <c r="B2497" s="1" t="s">
        <v>2779</v>
      </c>
      <c r="C2497" t="s">
        <v>125</v>
      </c>
      <c r="D2497">
        <v>9</v>
      </c>
      <c r="E2497">
        <v>176</v>
      </c>
      <c r="F2497">
        <v>88</v>
      </c>
      <c r="G2497">
        <v>1584</v>
      </c>
      <c r="H2497" s="4">
        <v>792</v>
      </c>
      <c r="I2497" s="4">
        <v>792</v>
      </c>
      <c r="J2497" t="s">
        <v>638</v>
      </c>
      <c r="K2497" t="s">
        <v>33</v>
      </c>
      <c r="L2497" s="4">
        <v>12.131375018945562</v>
      </c>
      <c r="M2497" s="1" t="s">
        <v>38</v>
      </c>
      <c r="N2497" s="11">
        <f t="shared" si="38"/>
        <v>5</v>
      </c>
    </row>
    <row r="2498" spans="1:14" ht="16" x14ac:dyDescent="0.2">
      <c r="A2498" s="3">
        <v>44735.493128021728</v>
      </c>
      <c r="B2498" s="1" t="s">
        <v>2780</v>
      </c>
      <c r="C2498" t="s">
        <v>583</v>
      </c>
      <c r="D2498">
        <v>17</v>
      </c>
      <c r="E2498">
        <v>57</v>
      </c>
      <c r="F2498">
        <v>19</v>
      </c>
      <c r="G2498">
        <v>969</v>
      </c>
      <c r="H2498" s="4">
        <v>323</v>
      </c>
      <c r="I2498" s="4">
        <v>646</v>
      </c>
      <c r="J2498" t="s">
        <v>448</v>
      </c>
      <c r="K2498" t="s">
        <v>58</v>
      </c>
      <c r="L2498" s="4">
        <v>15.770846827234339</v>
      </c>
      <c r="M2498" s="1" t="s">
        <v>34</v>
      </c>
      <c r="N2498" s="11">
        <f t="shared" si="38"/>
        <v>1</v>
      </c>
    </row>
    <row r="2499" spans="1:14" ht="16" x14ac:dyDescent="0.2">
      <c r="A2499" s="3">
        <v>43775.919448609042</v>
      </c>
      <c r="B2499" s="1" t="s">
        <v>2781</v>
      </c>
      <c r="C2499" t="s">
        <v>240</v>
      </c>
      <c r="D2499">
        <v>7</v>
      </c>
      <c r="E2499">
        <v>108</v>
      </c>
      <c r="F2499">
        <v>54</v>
      </c>
      <c r="G2499">
        <v>756</v>
      </c>
      <c r="H2499" s="4">
        <v>378</v>
      </c>
      <c r="I2499" s="4">
        <v>378</v>
      </c>
      <c r="J2499" t="s">
        <v>253</v>
      </c>
      <c r="K2499" t="s">
        <v>53</v>
      </c>
      <c r="L2499" s="4">
        <v>13.918153610259502</v>
      </c>
      <c r="M2499" s="1" t="s">
        <v>34</v>
      </c>
      <c r="N2499" s="11">
        <f t="shared" ref="N2499:N2562" si="39">+IF(M2499="Dissatisfied",1,IF(M2499="Satisfied",10,5))</f>
        <v>1</v>
      </c>
    </row>
    <row r="2500" spans="1:14" ht="16" x14ac:dyDescent="0.2">
      <c r="A2500" s="3">
        <v>44103.535244311563</v>
      </c>
      <c r="B2500" s="1" t="s">
        <v>2782</v>
      </c>
      <c r="C2500" t="s">
        <v>133</v>
      </c>
      <c r="D2500">
        <v>8</v>
      </c>
      <c r="E2500">
        <v>189</v>
      </c>
      <c r="F2500">
        <v>63</v>
      </c>
      <c r="G2500">
        <v>1512</v>
      </c>
      <c r="H2500" s="4">
        <v>504</v>
      </c>
      <c r="I2500" s="4">
        <v>1008</v>
      </c>
      <c r="J2500" t="s">
        <v>378</v>
      </c>
      <c r="K2500" t="s">
        <v>53</v>
      </c>
      <c r="L2500" s="4">
        <v>14.423322704129969</v>
      </c>
      <c r="M2500" s="1" t="s">
        <v>38</v>
      </c>
      <c r="N2500" s="11">
        <f t="shared" si="39"/>
        <v>5</v>
      </c>
    </row>
    <row r="2501" spans="1:14" ht="16" x14ac:dyDescent="0.2">
      <c r="A2501" s="3">
        <v>44129.220476073489</v>
      </c>
      <c r="B2501" s="1" t="s">
        <v>2783</v>
      </c>
      <c r="C2501" t="s">
        <v>340</v>
      </c>
      <c r="D2501">
        <v>11</v>
      </c>
      <c r="E2501">
        <v>180</v>
      </c>
      <c r="F2501">
        <v>45</v>
      </c>
      <c r="G2501">
        <v>1980</v>
      </c>
      <c r="H2501" s="4">
        <v>495</v>
      </c>
      <c r="I2501" s="4">
        <v>1485</v>
      </c>
      <c r="J2501" t="s">
        <v>52</v>
      </c>
      <c r="K2501" t="s">
        <v>53</v>
      </c>
      <c r="L2501" s="4">
        <v>12.169266722245851</v>
      </c>
      <c r="M2501" s="1" t="s">
        <v>38</v>
      </c>
      <c r="N2501" s="11">
        <f t="shared" si="39"/>
        <v>5</v>
      </c>
    </row>
    <row r="2502" spans="1:14" ht="16" x14ac:dyDescent="0.2">
      <c r="A2502" s="3">
        <v>43784.697260820976</v>
      </c>
      <c r="B2502" s="1" t="s">
        <v>2784</v>
      </c>
      <c r="C2502" t="s">
        <v>157</v>
      </c>
      <c r="D2502">
        <v>16</v>
      </c>
      <c r="E2502">
        <v>50</v>
      </c>
      <c r="F2502">
        <v>25</v>
      </c>
      <c r="G2502">
        <v>800</v>
      </c>
      <c r="H2502" s="4">
        <v>400</v>
      </c>
      <c r="I2502" s="4">
        <v>400</v>
      </c>
      <c r="J2502" t="s">
        <v>270</v>
      </c>
      <c r="K2502" t="s">
        <v>42</v>
      </c>
      <c r="L2502" s="4">
        <v>12.661538237835474</v>
      </c>
      <c r="M2502" s="1" t="s">
        <v>38</v>
      </c>
      <c r="N2502" s="11">
        <f t="shared" si="39"/>
        <v>5</v>
      </c>
    </row>
    <row r="2503" spans="1:14" ht="16" x14ac:dyDescent="0.2">
      <c r="A2503" s="3">
        <v>43972.289310591506</v>
      </c>
      <c r="B2503" s="1" t="s">
        <v>2785</v>
      </c>
      <c r="C2503" t="s">
        <v>91</v>
      </c>
      <c r="D2503">
        <v>18</v>
      </c>
      <c r="E2503">
        <v>300</v>
      </c>
      <c r="F2503">
        <v>75</v>
      </c>
      <c r="G2503">
        <v>5400</v>
      </c>
      <c r="H2503" s="4">
        <v>1350</v>
      </c>
      <c r="I2503" s="4">
        <v>4050</v>
      </c>
      <c r="J2503" t="s">
        <v>70</v>
      </c>
      <c r="K2503" t="s">
        <v>49</v>
      </c>
      <c r="L2503" s="4">
        <v>12.957303170959879</v>
      </c>
      <c r="M2503" s="1" t="s">
        <v>38</v>
      </c>
      <c r="N2503" s="11">
        <f t="shared" si="39"/>
        <v>5</v>
      </c>
    </row>
    <row r="2504" spans="1:14" ht="16" x14ac:dyDescent="0.2">
      <c r="A2504" s="3">
        <v>44266.231910615323</v>
      </c>
      <c r="B2504" s="1" t="s">
        <v>2786</v>
      </c>
      <c r="C2504" t="s">
        <v>592</v>
      </c>
      <c r="D2504">
        <v>2</v>
      </c>
      <c r="E2504">
        <v>312</v>
      </c>
      <c r="F2504">
        <v>78</v>
      </c>
      <c r="G2504">
        <v>624</v>
      </c>
      <c r="H2504" s="4">
        <v>156</v>
      </c>
      <c r="I2504" s="4">
        <v>468</v>
      </c>
      <c r="J2504" t="s">
        <v>318</v>
      </c>
      <c r="K2504" t="s">
        <v>33</v>
      </c>
      <c r="L2504" s="4">
        <v>9.0350666811770921</v>
      </c>
      <c r="M2504" s="1" t="s">
        <v>38</v>
      </c>
      <c r="N2504" s="11">
        <f t="shared" si="39"/>
        <v>5</v>
      </c>
    </row>
    <row r="2505" spans="1:14" ht="16" x14ac:dyDescent="0.2">
      <c r="A2505" s="3">
        <v>43872.763767188502</v>
      </c>
      <c r="B2505" s="1" t="s">
        <v>2787</v>
      </c>
      <c r="C2505" t="s">
        <v>788</v>
      </c>
      <c r="D2505">
        <v>14</v>
      </c>
      <c r="E2505">
        <v>100</v>
      </c>
      <c r="F2505">
        <v>25</v>
      </c>
      <c r="G2505">
        <v>1400</v>
      </c>
      <c r="H2505" s="4">
        <v>350</v>
      </c>
      <c r="I2505" s="4">
        <v>1050</v>
      </c>
      <c r="J2505" t="s">
        <v>854</v>
      </c>
      <c r="K2505" t="s">
        <v>58</v>
      </c>
      <c r="L2505" s="4">
        <v>12.990345718839325</v>
      </c>
      <c r="M2505" s="1" t="s">
        <v>38</v>
      </c>
      <c r="N2505" s="11">
        <f t="shared" si="39"/>
        <v>5</v>
      </c>
    </row>
    <row r="2506" spans="1:14" ht="16" x14ac:dyDescent="0.2">
      <c r="A2506" s="3">
        <v>43178.15862643539</v>
      </c>
      <c r="B2506" s="1" t="s">
        <v>2788</v>
      </c>
      <c r="C2506" t="s">
        <v>125</v>
      </c>
      <c r="D2506">
        <v>11</v>
      </c>
      <c r="E2506">
        <v>176</v>
      </c>
      <c r="F2506">
        <v>88</v>
      </c>
      <c r="G2506">
        <v>1936</v>
      </c>
      <c r="H2506" s="4">
        <v>968</v>
      </c>
      <c r="I2506" s="4">
        <v>968</v>
      </c>
      <c r="J2506" t="s">
        <v>856</v>
      </c>
      <c r="K2506" t="s">
        <v>42</v>
      </c>
      <c r="L2506" s="4">
        <v>11.226611755437654</v>
      </c>
      <c r="M2506" s="1" t="s">
        <v>54</v>
      </c>
      <c r="N2506" s="11">
        <f t="shared" si="39"/>
        <v>10</v>
      </c>
    </row>
    <row r="2507" spans="1:14" ht="16" x14ac:dyDescent="0.2">
      <c r="A2507" s="3">
        <v>43429.83142626589</v>
      </c>
      <c r="B2507" s="1" t="s">
        <v>2789</v>
      </c>
      <c r="C2507" t="s">
        <v>257</v>
      </c>
      <c r="D2507">
        <v>12</v>
      </c>
      <c r="E2507">
        <v>160</v>
      </c>
      <c r="F2507">
        <v>80</v>
      </c>
      <c r="G2507">
        <v>1920</v>
      </c>
      <c r="H2507" s="4">
        <v>960</v>
      </c>
      <c r="I2507" s="4">
        <v>960</v>
      </c>
      <c r="J2507" t="s">
        <v>681</v>
      </c>
      <c r="K2507" t="s">
        <v>86</v>
      </c>
      <c r="L2507" s="4">
        <v>8.1628930629234038</v>
      </c>
      <c r="M2507" s="1" t="s">
        <v>38</v>
      </c>
      <c r="N2507" s="11">
        <f t="shared" si="39"/>
        <v>5</v>
      </c>
    </row>
    <row r="2508" spans="1:14" ht="16" x14ac:dyDescent="0.2">
      <c r="A2508" s="3">
        <v>42178.710616596683</v>
      </c>
      <c r="B2508" s="1" t="s">
        <v>2790</v>
      </c>
      <c r="C2508" t="s">
        <v>375</v>
      </c>
      <c r="D2508">
        <v>8</v>
      </c>
      <c r="E2508">
        <v>360</v>
      </c>
      <c r="F2508">
        <v>90</v>
      </c>
      <c r="G2508">
        <v>2880</v>
      </c>
      <c r="H2508" s="4">
        <v>720</v>
      </c>
      <c r="I2508" s="4">
        <v>2160</v>
      </c>
      <c r="J2508" t="s">
        <v>892</v>
      </c>
      <c r="K2508" t="s">
        <v>33</v>
      </c>
      <c r="L2508" s="4">
        <v>13.062292798511226</v>
      </c>
      <c r="M2508" s="1" t="s">
        <v>38</v>
      </c>
      <c r="N2508" s="11">
        <f t="shared" si="39"/>
        <v>5</v>
      </c>
    </row>
    <row r="2509" spans="1:14" ht="16" x14ac:dyDescent="0.2">
      <c r="A2509" s="3">
        <v>44641.978064552473</v>
      </c>
      <c r="B2509" s="1" t="s">
        <v>2791</v>
      </c>
      <c r="C2509" t="s">
        <v>337</v>
      </c>
      <c r="D2509">
        <v>10</v>
      </c>
      <c r="E2509">
        <v>135</v>
      </c>
      <c r="F2509">
        <v>45</v>
      </c>
      <c r="G2509">
        <v>1350</v>
      </c>
      <c r="H2509" s="4">
        <v>450</v>
      </c>
      <c r="I2509" s="4">
        <v>900</v>
      </c>
      <c r="J2509" t="s">
        <v>253</v>
      </c>
      <c r="K2509" t="s">
        <v>53</v>
      </c>
      <c r="L2509" s="4">
        <v>13.918153610259502</v>
      </c>
      <c r="M2509" s="1" t="s">
        <v>54</v>
      </c>
      <c r="N2509" s="11">
        <f t="shared" si="39"/>
        <v>10</v>
      </c>
    </row>
    <row r="2510" spans="1:14" ht="16" x14ac:dyDescent="0.2">
      <c r="A2510" s="3">
        <v>44699.834558305214</v>
      </c>
      <c r="B2510" s="1" t="s">
        <v>2792</v>
      </c>
      <c r="C2510" t="s">
        <v>276</v>
      </c>
      <c r="D2510">
        <v>17</v>
      </c>
      <c r="E2510">
        <v>57</v>
      </c>
      <c r="F2510">
        <v>19</v>
      </c>
      <c r="G2510">
        <v>969</v>
      </c>
      <c r="H2510" s="4">
        <v>323</v>
      </c>
      <c r="I2510" s="4">
        <v>646</v>
      </c>
      <c r="J2510" t="s">
        <v>279</v>
      </c>
      <c r="K2510" t="s">
        <v>64</v>
      </c>
      <c r="L2510" s="4">
        <v>11.504886852416154</v>
      </c>
      <c r="M2510" s="1" t="s">
        <v>38</v>
      </c>
      <c r="N2510" s="11">
        <f t="shared" si="39"/>
        <v>5</v>
      </c>
    </row>
    <row r="2511" spans="1:14" ht="16" x14ac:dyDescent="0.2">
      <c r="A2511" s="3">
        <v>43038.144305652524</v>
      </c>
      <c r="B2511" s="1" t="s">
        <v>2793</v>
      </c>
      <c r="C2511" t="s">
        <v>196</v>
      </c>
      <c r="D2511">
        <v>2</v>
      </c>
      <c r="E2511">
        <v>192</v>
      </c>
      <c r="F2511">
        <v>96</v>
      </c>
      <c r="G2511">
        <v>384</v>
      </c>
      <c r="H2511" s="4">
        <v>192</v>
      </c>
      <c r="I2511" s="4">
        <v>192</v>
      </c>
      <c r="J2511" t="s">
        <v>513</v>
      </c>
      <c r="K2511" t="s">
        <v>58</v>
      </c>
      <c r="L2511" s="4">
        <v>15.207985888346794</v>
      </c>
      <c r="M2511" s="1" t="s">
        <v>38</v>
      </c>
      <c r="N2511" s="11">
        <f t="shared" si="39"/>
        <v>5</v>
      </c>
    </row>
    <row r="2512" spans="1:14" ht="16" x14ac:dyDescent="0.2">
      <c r="A2512" s="3">
        <v>43872.673628596058</v>
      </c>
      <c r="B2512" s="1" t="s">
        <v>2794</v>
      </c>
      <c r="C2512" t="s">
        <v>151</v>
      </c>
      <c r="D2512">
        <v>3</v>
      </c>
      <c r="E2512">
        <v>153</v>
      </c>
      <c r="F2512">
        <v>51</v>
      </c>
      <c r="G2512">
        <v>459</v>
      </c>
      <c r="H2512" s="4">
        <v>153</v>
      </c>
      <c r="I2512" s="4">
        <v>306</v>
      </c>
      <c r="J2512" t="s">
        <v>67</v>
      </c>
      <c r="K2512" t="s">
        <v>64</v>
      </c>
      <c r="L2512" s="4">
        <v>15.602184182549776</v>
      </c>
      <c r="M2512" s="1" t="s">
        <v>54</v>
      </c>
      <c r="N2512" s="11">
        <f t="shared" si="39"/>
        <v>10</v>
      </c>
    </row>
    <row r="2513" spans="1:14" ht="16" x14ac:dyDescent="0.2">
      <c r="A2513" s="3">
        <v>45107.870386159644</v>
      </c>
      <c r="B2513" s="1" t="s">
        <v>2795</v>
      </c>
      <c r="C2513" t="s">
        <v>196</v>
      </c>
      <c r="D2513">
        <v>4</v>
      </c>
      <c r="E2513">
        <v>192</v>
      </c>
      <c r="F2513">
        <v>96</v>
      </c>
      <c r="G2513">
        <v>768</v>
      </c>
      <c r="H2513" s="4">
        <v>384</v>
      </c>
      <c r="I2513" s="4">
        <v>384</v>
      </c>
      <c r="J2513" t="s">
        <v>32</v>
      </c>
      <c r="K2513" t="s">
        <v>33</v>
      </c>
      <c r="L2513" s="4">
        <v>10.278063859084313</v>
      </c>
      <c r="M2513" s="1" t="s">
        <v>54</v>
      </c>
      <c r="N2513" s="11">
        <f t="shared" si="39"/>
        <v>10</v>
      </c>
    </row>
    <row r="2514" spans="1:14" ht="16" x14ac:dyDescent="0.2">
      <c r="A2514" s="3">
        <v>44812.931165668859</v>
      </c>
      <c r="B2514" s="1" t="s">
        <v>2796</v>
      </c>
      <c r="C2514" t="s">
        <v>175</v>
      </c>
      <c r="D2514">
        <v>3</v>
      </c>
      <c r="E2514">
        <v>38</v>
      </c>
      <c r="F2514">
        <v>19</v>
      </c>
      <c r="G2514">
        <v>114</v>
      </c>
      <c r="H2514" s="4">
        <v>57</v>
      </c>
      <c r="I2514" s="4">
        <v>57</v>
      </c>
      <c r="J2514" t="s">
        <v>111</v>
      </c>
      <c r="K2514" t="s">
        <v>53</v>
      </c>
      <c r="L2514" s="4">
        <v>13.407340878370247</v>
      </c>
      <c r="M2514" s="1" t="s">
        <v>34</v>
      </c>
      <c r="N2514" s="11">
        <f t="shared" si="39"/>
        <v>1</v>
      </c>
    </row>
    <row r="2515" spans="1:14" ht="16" x14ac:dyDescent="0.2">
      <c r="A2515" s="3">
        <v>44163.636912064758</v>
      </c>
      <c r="B2515" s="1" t="s">
        <v>2214</v>
      </c>
      <c r="C2515" t="s">
        <v>356</v>
      </c>
      <c r="D2515">
        <v>12</v>
      </c>
      <c r="E2515">
        <v>356</v>
      </c>
      <c r="F2515">
        <v>89</v>
      </c>
      <c r="G2515">
        <v>4272</v>
      </c>
      <c r="H2515" s="4">
        <v>1068</v>
      </c>
      <c r="I2515" s="4">
        <v>3204</v>
      </c>
      <c r="J2515" t="s">
        <v>67</v>
      </c>
      <c r="K2515" t="s">
        <v>64</v>
      </c>
      <c r="L2515" s="4">
        <v>15.602184182549776</v>
      </c>
      <c r="M2515" s="1" t="s">
        <v>38</v>
      </c>
      <c r="N2515" s="11">
        <f t="shared" si="39"/>
        <v>5</v>
      </c>
    </row>
    <row r="2516" spans="1:14" ht="16" x14ac:dyDescent="0.2">
      <c r="A2516" s="3">
        <v>44246.625233823775</v>
      </c>
      <c r="B2516" s="1" t="s">
        <v>2339</v>
      </c>
      <c r="C2516" t="s">
        <v>386</v>
      </c>
      <c r="D2516">
        <v>16</v>
      </c>
      <c r="E2516">
        <v>110</v>
      </c>
      <c r="F2516">
        <v>55</v>
      </c>
      <c r="G2516">
        <v>1760</v>
      </c>
      <c r="H2516" s="4">
        <v>880</v>
      </c>
      <c r="I2516" s="4">
        <v>880</v>
      </c>
      <c r="J2516" t="s">
        <v>264</v>
      </c>
      <c r="K2516" t="s">
        <v>42</v>
      </c>
      <c r="L2516" s="4">
        <v>12.514998090845811</v>
      </c>
      <c r="M2516" s="1" t="s">
        <v>38</v>
      </c>
      <c r="N2516" s="11">
        <f t="shared" si="39"/>
        <v>5</v>
      </c>
    </row>
    <row r="2517" spans="1:14" ht="16" x14ac:dyDescent="0.2">
      <c r="A2517" s="3">
        <v>44156.553937338278</v>
      </c>
      <c r="B2517" s="1" t="s">
        <v>2797</v>
      </c>
      <c r="C2517" t="s">
        <v>340</v>
      </c>
      <c r="D2517">
        <v>15</v>
      </c>
      <c r="E2517">
        <v>180</v>
      </c>
      <c r="F2517">
        <v>45</v>
      </c>
      <c r="G2517">
        <v>2700</v>
      </c>
      <c r="H2517" s="4">
        <v>675</v>
      </c>
      <c r="I2517" s="4">
        <v>2025</v>
      </c>
      <c r="J2517" t="s">
        <v>504</v>
      </c>
      <c r="K2517" t="s">
        <v>53</v>
      </c>
      <c r="L2517" s="4">
        <v>12.801144805697081</v>
      </c>
      <c r="M2517" s="1" t="s">
        <v>54</v>
      </c>
      <c r="N2517" s="11">
        <f t="shared" si="39"/>
        <v>10</v>
      </c>
    </row>
    <row r="2518" spans="1:14" ht="16" x14ac:dyDescent="0.2">
      <c r="A2518" s="3">
        <v>42851.022296208655</v>
      </c>
      <c r="B2518" s="1" t="s">
        <v>2798</v>
      </c>
      <c r="C2518" t="s">
        <v>160</v>
      </c>
      <c r="D2518">
        <v>3</v>
      </c>
      <c r="E2518">
        <v>132</v>
      </c>
      <c r="F2518">
        <v>33</v>
      </c>
      <c r="G2518">
        <v>396</v>
      </c>
      <c r="H2518" s="4">
        <v>99</v>
      </c>
      <c r="I2518" s="4">
        <v>297</v>
      </c>
      <c r="J2518" t="s">
        <v>767</v>
      </c>
      <c r="K2518" t="s">
        <v>42</v>
      </c>
      <c r="L2518" s="4">
        <v>11.289144410898391</v>
      </c>
      <c r="M2518" s="1" t="s">
        <v>38</v>
      </c>
      <c r="N2518" s="11">
        <f t="shared" si="39"/>
        <v>5</v>
      </c>
    </row>
    <row r="2519" spans="1:14" ht="16" x14ac:dyDescent="0.2">
      <c r="A2519" s="3">
        <v>44698.120567782673</v>
      </c>
      <c r="B2519" s="1" t="s">
        <v>2799</v>
      </c>
      <c r="C2519" t="s">
        <v>218</v>
      </c>
      <c r="D2519">
        <v>14</v>
      </c>
      <c r="E2519">
        <v>264</v>
      </c>
      <c r="F2519">
        <v>88</v>
      </c>
      <c r="G2519">
        <v>3696</v>
      </c>
      <c r="H2519" s="4">
        <v>1232</v>
      </c>
      <c r="I2519" s="4">
        <v>2464</v>
      </c>
      <c r="J2519" t="s">
        <v>555</v>
      </c>
      <c r="K2519" t="s">
        <v>53</v>
      </c>
      <c r="L2519" s="4">
        <v>14.341195386574373</v>
      </c>
      <c r="M2519" s="1" t="s">
        <v>38</v>
      </c>
      <c r="N2519" s="11">
        <f t="shared" si="39"/>
        <v>5</v>
      </c>
    </row>
    <row r="2520" spans="1:14" ht="16" x14ac:dyDescent="0.2">
      <c r="A2520" s="3">
        <v>43888.942463086329</v>
      </c>
      <c r="B2520" s="1" t="s">
        <v>2800</v>
      </c>
      <c r="C2520" t="s">
        <v>110</v>
      </c>
      <c r="D2520">
        <v>5</v>
      </c>
      <c r="E2520">
        <v>144</v>
      </c>
      <c r="F2520">
        <v>36</v>
      </c>
      <c r="G2520">
        <v>720</v>
      </c>
      <c r="H2520" s="4">
        <v>180</v>
      </c>
      <c r="I2520" s="4">
        <v>540</v>
      </c>
      <c r="J2520" t="s">
        <v>1414</v>
      </c>
      <c r="K2520" t="s">
        <v>42</v>
      </c>
      <c r="L2520" s="4">
        <v>8.6625575824723242</v>
      </c>
      <c r="M2520" s="1" t="s">
        <v>54</v>
      </c>
      <c r="N2520" s="11">
        <f t="shared" si="39"/>
        <v>10</v>
      </c>
    </row>
    <row r="2521" spans="1:14" ht="16" x14ac:dyDescent="0.2">
      <c r="A2521" s="3">
        <v>44763.387620370078</v>
      </c>
      <c r="B2521" s="1" t="s">
        <v>2801</v>
      </c>
      <c r="C2521" t="s">
        <v>375</v>
      </c>
      <c r="D2521">
        <v>11</v>
      </c>
      <c r="E2521">
        <v>360</v>
      </c>
      <c r="F2521">
        <v>90</v>
      </c>
      <c r="G2521">
        <v>3960</v>
      </c>
      <c r="H2521" s="4">
        <v>990</v>
      </c>
      <c r="I2521" s="4">
        <v>2970</v>
      </c>
      <c r="J2521" t="s">
        <v>854</v>
      </c>
      <c r="K2521" t="s">
        <v>58</v>
      </c>
      <c r="L2521" s="4">
        <v>12.990345718839325</v>
      </c>
      <c r="M2521" s="1" t="s">
        <v>38</v>
      </c>
      <c r="N2521" s="11">
        <f t="shared" si="39"/>
        <v>5</v>
      </c>
    </row>
    <row r="2522" spans="1:14" ht="16" x14ac:dyDescent="0.2">
      <c r="A2522" s="3">
        <v>43908.04623050298</v>
      </c>
      <c r="B2522" s="1" t="s">
        <v>2802</v>
      </c>
      <c r="C2522" t="s">
        <v>299</v>
      </c>
      <c r="D2522">
        <v>15</v>
      </c>
      <c r="E2522">
        <v>225</v>
      </c>
      <c r="F2522">
        <v>75</v>
      </c>
      <c r="G2522">
        <v>3375</v>
      </c>
      <c r="H2522" s="4">
        <v>1125</v>
      </c>
      <c r="I2522" s="4">
        <v>2250</v>
      </c>
      <c r="J2522" t="s">
        <v>310</v>
      </c>
      <c r="K2522" t="s">
        <v>58</v>
      </c>
      <c r="L2522" s="4">
        <v>11.03324198943719</v>
      </c>
      <c r="M2522" s="1" t="s">
        <v>34</v>
      </c>
      <c r="N2522" s="11">
        <f t="shared" si="39"/>
        <v>1</v>
      </c>
    </row>
    <row r="2523" spans="1:14" ht="16" x14ac:dyDescent="0.2">
      <c r="A2523" s="3">
        <v>43904.329777706145</v>
      </c>
      <c r="B2523" s="1" t="s">
        <v>2803</v>
      </c>
      <c r="C2523" t="s">
        <v>544</v>
      </c>
      <c r="D2523">
        <v>7</v>
      </c>
      <c r="E2523">
        <v>267</v>
      </c>
      <c r="F2523">
        <v>89</v>
      </c>
      <c r="G2523">
        <v>1869</v>
      </c>
      <c r="H2523" s="4">
        <v>623</v>
      </c>
      <c r="I2523" s="4">
        <v>1246</v>
      </c>
      <c r="J2523" t="s">
        <v>776</v>
      </c>
      <c r="K2523" t="s">
        <v>86</v>
      </c>
      <c r="L2523" s="4">
        <v>13.611804647345796</v>
      </c>
      <c r="M2523" s="1" t="s">
        <v>38</v>
      </c>
      <c r="N2523" s="11">
        <f t="shared" si="39"/>
        <v>5</v>
      </c>
    </row>
    <row r="2524" spans="1:14" ht="16" x14ac:dyDescent="0.2">
      <c r="A2524" s="3">
        <v>44549.43495943139</v>
      </c>
      <c r="B2524" s="1" t="s">
        <v>2714</v>
      </c>
      <c r="C2524" t="s">
        <v>299</v>
      </c>
      <c r="D2524">
        <v>17</v>
      </c>
      <c r="E2524">
        <v>225</v>
      </c>
      <c r="F2524">
        <v>75</v>
      </c>
      <c r="G2524">
        <v>3825</v>
      </c>
      <c r="H2524" s="4">
        <v>1275</v>
      </c>
      <c r="I2524" s="4">
        <v>2550</v>
      </c>
      <c r="J2524" t="s">
        <v>152</v>
      </c>
      <c r="K2524" t="s">
        <v>33</v>
      </c>
      <c r="L2524" s="4">
        <v>11.749038185128619</v>
      </c>
      <c r="M2524" s="1" t="s">
        <v>38</v>
      </c>
      <c r="N2524" s="11">
        <f t="shared" si="39"/>
        <v>5</v>
      </c>
    </row>
    <row r="2525" spans="1:14" ht="16" x14ac:dyDescent="0.2">
      <c r="A2525" s="3">
        <v>43834.287469910865</v>
      </c>
      <c r="B2525" s="1" t="s">
        <v>2804</v>
      </c>
      <c r="C2525" t="s">
        <v>538</v>
      </c>
      <c r="D2525">
        <v>13</v>
      </c>
      <c r="E2525">
        <v>261</v>
      </c>
      <c r="F2525">
        <v>87</v>
      </c>
      <c r="G2525">
        <v>3393</v>
      </c>
      <c r="H2525" s="4">
        <v>1131</v>
      </c>
      <c r="I2525" s="4">
        <v>2262</v>
      </c>
      <c r="J2525" t="s">
        <v>343</v>
      </c>
      <c r="K2525" t="s">
        <v>42</v>
      </c>
      <c r="L2525" s="4">
        <v>9.8928038181361391</v>
      </c>
      <c r="M2525" s="1" t="s">
        <v>54</v>
      </c>
      <c r="N2525" s="11">
        <f t="shared" si="39"/>
        <v>10</v>
      </c>
    </row>
    <row r="2526" spans="1:14" ht="16" x14ac:dyDescent="0.2">
      <c r="A2526" s="3">
        <v>44171.293996452339</v>
      </c>
      <c r="B2526" s="1" t="s">
        <v>2805</v>
      </c>
      <c r="C2526" t="s">
        <v>425</v>
      </c>
      <c r="D2526">
        <v>2</v>
      </c>
      <c r="E2526">
        <v>352</v>
      </c>
      <c r="F2526">
        <v>88</v>
      </c>
      <c r="G2526">
        <v>704</v>
      </c>
      <c r="H2526" s="4">
        <v>176</v>
      </c>
      <c r="I2526" s="4">
        <v>528</v>
      </c>
      <c r="J2526" t="s">
        <v>1012</v>
      </c>
      <c r="K2526" t="s">
        <v>33</v>
      </c>
      <c r="L2526" s="4">
        <v>14.538471643780088</v>
      </c>
      <c r="M2526" s="1" t="s">
        <v>38</v>
      </c>
      <c r="N2526" s="11">
        <f t="shared" si="39"/>
        <v>5</v>
      </c>
    </row>
    <row r="2527" spans="1:14" ht="16" x14ac:dyDescent="0.2">
      <c r="A2527" s="3">
        <v>43219.240851404669</v>
      </c>
      <c r="B2527" s="1" t="s">
        <v>2806</v>
      </c>
      <c r="C2527" t="s">
        <v>583</v>
      </c>
      <c r="D2527">
        <v>17</v>
      </c>
      <c r="E2527">
        <v>57</v>
      </c>
      <c r="F2527">
        <v>19</v>
      </c>
      <c r="G2527">
        <v>969</v>
      </c>
      <c r="H2527" s="4">
        <v>323</v>
      </c>
      <c r="I2527" s="4">
        <v>646</v>
      </c>
      <c r="J2527" t="s">
        <v>241</v>
      </c>
      <c r="K2527" t="s">
        <v>33</v>
      </c>
      <c r="L2527" s="4">
        <v>11.274864741138284</v>
      </c>
      <c r="M2527" s="1" t="s">
        <v>34</v>
      </c>
      <c r="N2527" s="11">
        <f t="shared" si="39"/>
        <v>1</v>
      </c>
    </row>
    <row r="2528" spans="1:14" ht="16" x14ac:dyDescent="0.2">
      <c r="A2528" s="3">
        <v>43516.69427266618</v>
      </c>
      <c r="B2528" s="1" t="s">
        <v>2545</v>
      </c>
      <c r="C2528" t="s">
        <v>130</v>
      </c>
      <c r="D2528">
        <v>11</v>
      </c>
      <c r="E2528">
        <v>144</v>
      </c>
      <c r="F2528">
        <v>48</v>
      </c>
      <c r="G2528">
        <v>1584</v>
      </c>
      <c r="H2528" s="4">
        <v>528</v>
      </c>
      <c r="I2528" s="4">
        <v>1056</v>
      </c>
      <c r="J2528" t="s">
        <v>371</v>
      </c>
      <c r="K2528" t="s">
        <v>58</v>
      </c>
      <c r="L2528" s="4">
        <v>12.004541523616258</v>
      </c>
      <c r="M2528" s="1" t="s">
        <v>38</v>
      </c>
      <c r="N2528" s="11">
        <f t="shared" si="39"/>
        <v>5</v>
      </c>
    </row>
    <row r="2529" spans="1:14" ht="16" x14ac:dyDescent="0.2">
      <c r="A2529" s="3">
        <v>42472.851606595395</v>
      </c>
      <c r="B2529" s="1" t="s">
        <v>2807</v>
      </c>
      <c r="C2529" t="s">
        <v>196</v>
      </c>
      <c r="D2529">
        <v>8</v>
      </c>
      <c r="E2529">
        <v>192</v>
      </c>
      <c r="F2529">
        <v>96</v>
      </c>
      <c r="G2529">
        <v>1536</v>
      </c>
      <c r="H2529" s="4">
        <v>768</v>
      </c>
      <c r="I2529" s="4">
        <v>768</v>
      </c>
      <c r="J2529" t="s">
        <v>504</v>
      </c>
      <c r="K2529" t="s">
        <v>53</v>
      </c>
      <c r="L2529" s="4">
        <v>12.801144805697081</v>
      </c>
      <c r="M2529" s="1" t="s">
        <v>54</v>
      </c>
      <c r="N2529" s="11">
        <f t="shared" si="39"/>
        <v>10</v>
      </c>
    </row>
    <row r="2530" spans="1:14" ht="16" x14ac:dyDescent="0.2">
      <c r="A2530" s="3">
        <v>43767.697322348984</v>
      </c>
      <c r="B2530" s="1" t="s">
        <v>2808</v>
      </c>
      <c r="C2530" t="s">
        <v>337</v>
      </c>
      <c r="D2530">
        <v>18</v>
      </c>
      <c r="E2530">
        <v>135</v>
      </c>
      <c r="F2530">
        <v>45</v>
      </c>
      <c r="G2530">
        <v>2430</v>
      </c>
      <c r="H2530" s="4">
        <v>810</v>
      </c>
      <c r="I2530" s="4">
        <v>1620</v>
      </c>
      <c r="J2530" t="s">
        <v>146</v>
      </c>
      <c r="K2530" t="s">
        <v>64</v>
      </c>
      <c r="L2530" s="4">
        <v>12.487915239531313</v>
      </c>
      <c r="M2530" s="1" t="s">
        <v>54</v>
      </c>
      <c r="N2530" s="11">
        <f t="shared" si="39"/>
        <v>10</v>
      </c>
    </row>
    <row r="2531" spans="1:14" ht="16" x14ac:dyDescent="0.2">
      <c r="A2531" s="3">
        <v>43809.105465083623</v>
      </c>
      <c r="B2531" s="1" t="s">
        <v>2809</v>
      </c>
      <c r="C2531" t="s">
        <v>547</v>
      </c>
      <c r="D2531">
        <v>8</v>
      </c>
      <c r="E2531">
        <v>300</v>
      </c>
      <c r="F2531">
        <v>75</v>
      </c>
      <c r="G2531">
        <v>2400</v>
      </c>
      <c r="H2531" s="4">
        <v>600</v>
      </c>
      <c r="I2531" s="4">
        <v>1800</v>
      </c>
      <c r="J2531" t="s">
        <v>1022</v>
      </c>
      <c r="K2531" t="s">
        <v>49</v>
      </c>
      <c r="L2531" s="4">
        <v>15.268550004010105</v>
      </c>
      <c r="M2531" s="1" t="s">
        <v>38</v>
      </c>
      <c r="N2531" s="11">
        <f t="shared" si="39"/>
        <v>5</v>
      </c>
    </row>
    <row r="2532" spans="1:14" ht="16" x14ac:dyDescent="0.2">
      <c r="A2532" s="3">
        <v>43850.867042915335</v>
      </c>
      <c r="B2532" s="1" t="s">
        <v>2810</v>
      </c>
      <c r="C2532" t="s">
        <v>261</v>
      </c>
      <c r="D2532">
        <v>15</v>
      </c>
      <c r="E2532">
        <v>92</v>
      </c>
      <c r="F2532">
        <v>46</v>
      </c>
      <c r="G2532">
        <v>1380</v>
      </c>
      <c r="H2532" s="4">
        <v>690</v>
      </c>
      <c r="I2532" s="4">
        <v>690</v>
      </c>
      <c r="J2532" t="s">
        <v>384</v>
      </c>
      <c r="K2532" t="s">
        <v>33</v>
      </c>
      <c r="L2532" s="4">
        <v>11.687634894637348</v>
      </c>
      <c r="M2532" s="1" t="s">
        <v>54</v>
      </c>
      <c r="N2532" s="11">
        <f t="shared" si="39"/>
        <v>10</v>
      </c>
    </row>
    <row r="2533" spans="1:14" ht="16" x14ac:dyDescent="0.2">
      <c r="A2533" s="3">
        <v>43675.30958132149</v>
      </c>
      <c r="B2533" s="1" t="s">
        <v>2811</v>
      </c>
      <c r="C2533" t="s">
        <v>69</v>
      </c>
      <c r="D2533">
        <v>10</v>
      </c>
      <c r="E2533">
        <v>184</v>
      </c>
      <c r="F2533">
        <v>92</v>
      </c>
      <c r="G2533">
        <v>1840</v>
      </c>
      <c r="H2533" s="4">
        <v>920</v>
      </c>
      <c r="I2533" s="4">
        <v>920</v>
      </c>
      <c r="J2533" t="s">
        <v>933</v>
      </c>
      <c r="K2533" t="s">
        <v>58</v>
      </c>
      <c r="L2533" s="4">
        <v>11.130819205617987</v>
      </c>
      <c r="M2533" s="1" t="s">
        <v>34</v>
      </c>
      <c r="N2533" s="11">
        <f t="shared" si="39"/>
        <v>1</v>
      </c>
    </row>
    <row r="2534" spans="1:14" ht="16" x14ac:dyDescent="0.2">
      <c r="A2534" s="3">
        <v>43910.655575823082</v>
      </c>
      <c r="B2534" s="1" t="s">
        <v>2812</v>
      </c>
      <c r="C2534" t="s">
        <v>356</v>
      </c>
      <c r="D2534">
        <v>20</v>
      </c>
      <c r="E2534">
        <v>356</v>
      </c>
      <c r="F2534">
        <v>89</v>
      </c>
      <c r="G2534">
        <v>7120</v>
      </c>
      <c r="H2534" s="4">
        <v>1780</v>
      </c>
      <c r="I2534" s="4">
        <v>5340</v>
      </c>
      <c r="J2534" t="s">
        <v>806</v>
      </c>
      <c r="K2534" t="s">
        <v>86</v>
      </c>
      <c r="L2534" s="4">
        <v>11.927799225928501</v>
      </c>
      <c r="M2534" s="1" t="s">
        <v>34</v>
      </c>
      <c r="N2534" s="11">
        <f t="shared" si="39"/>
        <v>1</v>
      </c>
    </row>
    <row r="2535" spans="1:14" ht="16" x14ac:dyDescent="0.2">
      <c r="A2535" s="3">
        <v>43061.960631330148</v>
      </c>
      <c r="B2535" s="1" t="s">
        <v>2813</v>
      </c>
      <c r="C2535" t="s">
        <v>178</v>
      </c>
      <c r="D2535">
        <v>6</v>
      </c>
      <c r="E2535">
        <v>189</v>
      </c>
      <c r="F2535">
        <v>63</v>
      </c>
      <c r="G2535">
        <v>1134</v>
      </c>
      <c r="H2535" s="4">
        <v>378</v>
      </c>
      <c r="I2535" s="4">
        <v>756</v>
      </c>
      <c r="J2535" t="s">
        <v>595</v>
      </c>
      <c r="K2535" t="s">
        <v>86</v>
      </c>
      <c r="L2535" s="4">
        <v>12.045339240427111</v>
      </c>
      <c r="M2535" s="1" t="s">
        <v>54</v>
      </c>
      <c r="N2535" s="11">
        <f t="shared" si="39"/>
        <v>10</v>
      </c>
    </row>
    <row r="2536" spans="1:14" ht="16" x14ac:dyDescent="0.2">
      <c r="A2536" s="3">
        <v>44319.233695099181</v>
      </c>
      <c r="B2536" s="1" t="s">
        <v>2814</v>
      </c>
      <c r="C2536" t="s">
        <v>386</v>
      </c>
      <c r="D2536">
        <v>16</v>
      </c>
      <c r="E2536">
        <v>110</v>
      </c>
      <c r="F2536">
        <v>55</v>
      </c>
      <c r="G2536">
        <v>1760</v>
      </c>
      <c r="H2536" s="4">
        <v>880</v>
      </c>
      <c r="I2536" s="4">
        <v>880</v>
      </c>
      <c r="J2536" t="s">
        <v>752</v>
      </c>
      <c r="K2536" t="s">
        <v>49</v>
      </c>
      <c r="L2536" s="4">
        <v>11.862005526237752</v>
      </c>
      <c r="M2536" s="1" t="s">
        <v>38</v>
      </c>
      <c r="N2536" s="11">
        <f t="shared" si="39"/>
        <v>5</v>
      </c>
    </row>
    <row r="2537" spans="1:14" ht="16" x14ac:dyDescent="0.2">
      <c r="A2537" s="3">
        <v>43960.721670593288</v>
      </c>
      <c r="B2537" s="1" t="s">
        <v>2815</v>
      </c>
      <c r="C2537" t="s">
        <v>84</v>
      </c>
      <c r="D2537">
        <v>7</v>
      </c>
      <c r="E2537">
        <v>126</v>
      </c>
      <c r="F2537">
        <v>42</v>
      </c>
      <c r="G2537">
        <v>882</v>
      </c>
      <c r="H2537" s="4">
        <v>294</v>
      </c>
      <c r="I2537" s="4">
        <v>588</v>
      </c>
      <c r="J2537" t="s">
        <v>348</v>
      </c>
      <c r="K2537" t="s">
        <v>42</v>
      </c>
      <c r="L2537" s="4">
        <v>11.769293993029555</v>
      </c>
      <c r="M2537" s="1" t="s">
        <v>38</v>
      </c>
      <c r="N2537" s="11">
        <f t="shared" si="39"/>
        <v>5</v>
      </c>
    </row>
    <row r="2538" spans="1:14" ht="16" x14ac:dyDescent="0.2">
      <c r="A2538" s="3">
        <v>43494.719378520691</v>
      </c>
      <c r="B2538" s="1" t="s">
        <v>2816</v>
      </c>
      <c r="C2538" t="s">
        <v>62</v>
      </c>
      <c r="D2538">
        <v>11</v>
      </c>
      <c r="E2538">
        <v>80</v>
      </c>
      <c r="F2538">
        <v>20</v>
      </c>
      <c r="G2538">
        <v>880</v>
      </c>
      <c r="H2538" s="4">
        <v>220</v>
      </c>
      <c r="I2538" s="4">
        <v>660</v>
      </c>
      <c r="J2538" t="s">
        <v>704</v>
      </c>
      <c r="K2538" t="s">
        <v>86</v>
      </c>
      <c r="L2538" s="4">
        <v>12.699042739101285</v>
      </c>
      <c r="M2538" s="1" t="s">
        <v>38</v>
      </c>
      <c r="N2538" s="11">
        <f t="shared" si="39"/>
        <v>5</v>
      </c>
    </row>
    <row r="2539" spans="1:14" ht="16" x14ac:dyDescent="0.2">
      <c r="A2539" s="3">
        <v>44144.976868394901</v>
      </c>
      <c r="B2539" s="1" t="s">
        <v>2647</v>
      </c>
      <c r="C2539" t="s">
        <v>31</v>
      </c>
      <c r="D2539">
        <v>17</v>
      </c>
      <c r="E2539">
        <v>280</v>
      </c>
      <c r="F2539">
        <v>70</v>
      </c>
      <c r="G2539">
        <v>4760</v>
      </c>
      <c r="H2539" s="4">
        <v>1190</v>
      </c>
      <c r="I2539" s="4">
        <v>3570</v>
      </c>
      <c r="J2539" t="s">
        <v>359</v>
      </c>
      <c r="K2539" t="s">
        <v>64</v>
      </c>
      <c r="L2539" s="4">
        <v>11.970975110943924</v>
      </c>
      <c r="M2539" s="1" t="s">
        <v>38</v>
      </c>
      <c r="N2539" s="11">
        <f t="shared" si="39"/>
        <v>5</v>
      </c>
    </row>
    <row r="2540" spans="1:14" ht="16" x14ac:dyDescent="0.2">
      <c r="A2540" s="3">
        <v>43493.90428854138</v>
      </c>
      <c r="B2540" s="1" t="s">
        <v>1304</v>
      </c>
      <c r="C2540" t="s">
        <v>240</v>
      </c>
      <c r="D2540">
        <v>7</v>
      </c>
      <c r="E2540">
        <v>108</v>
      </c>
      <c r="F2540">
        <v>54</v>
      </c>
      <c r="G2540">
        <v>756</v>
      </c>
      <c r="H2540" s="4">
        <v>378</v>
      </c>
      <c r="I2540" s="4">
        <v>378</v>
      </c>
      <c r="J2540" t="s">
        <v>123</v>
      </c>
      <c r="K2540" t="s">
        <v>53</v>
      </c>
      <c r="L2540" s="4">
        <v>10.42743035829395</v>
      </c>
      <c r="M2540" s="1" t="s">
        <v>38</v>
      </c>
      <c r="N2540" s="11">
        <f t="shared" si="39"/>
        <v>5</v>
      </c>
    </row>
    <row r="2541" spans="1:14" ht="16" x14ac:dyDescent="0.2">
      <c r="A2541" s="3">
        <v>44603.167450265042</v>
      </c>
      <c r="B2541" s="1" t="s">
        <v>2817</v>
      </c>
      <c r="C2541" t="s">
        <v>248</v>
      </c>
      <c r="D2541">
        <v>3</v>
      </c>
      <c r="E2541">
        <v>132</v>
      </c>
      <c r="F2541">
        <v>44</v>
      </c>
      <c r="G2541">
        <v>396</v>
      </c>
      <c r="H2541" s="4">
        <v>132</v>
      </c>
      <c r="I2541" s="4">
        <v>264</v>
      </c>
      <c r="J2541" t="s">
        <v>962</v>
      </c>
      <c r="K2541" t="s">
        <v>86</v>
      </c>
      <c r="L2541" s="4">
        <v>10.968401424454578</v>
      </c>
      <c r="M2541" s="1" t="s">
        <v>38</v>
      </c>
      <c r="N2541" s="11">
        <f t="shared" si="39"/>
        <v>5</v>
      </c>
    </row>
    <row r="2542" spans="1:14" ht="16" x14ac:dyDescent="0.2">
      <c r="A2542" s="3">
        <v>44430.35742394589</v>
      </c>
      <c r="B2542" s="1" t="s">
        <v>2818</v>
      </c>
      <c r="C2542" t="s">
        <v>209</v>
      </c>
      <c r="D2542">
        <v>1</v>
      </c>
      <c r="E2542">
        <v>150</v>
      </c>
      <c r="F2542">
        <v>75</v>
      </c>
      <c r="G2542">
        <v>150</v>
      </c>
      <c r="H2542" s="4">
        <v>75</v>
      </c>
      <c r="I2542" s="4">
        <v>75</v>
      </c>
      <c r="J2542" t="s">
        <v>270</v>
      </c>
      <c r="K2542" t="s">
        <v>42</v>
      </c>
      <c r="L2542" s="4">
        <v>12.661538237835474</v>
      </c>
      <c r="M2542" s="1" t="s">
        <v>38</v>
      </c>
      <c r="N2542" s="11">
        <f t="shared" si="39"/>
        <v>5</v>
      </c>
    </row>
    <row r="2543" spans="1:14" ht="16" x14ac:dyDescent="0.2">
      <c r="A2543" s="3">
        <v>44025.915726474894</v>
      </c>
      <c r="B2543" s="1" t="s">
        <v>2819</v>
      </c>
      <c r="C2543" t="s">
        <v>115</v>
      </c>
      <c r="D2543">
        <v>7</v>
      </c>
      <c r="E2543">
        <v>81</v>
      </c>
      <c r="F2543">
        <v>27</v>
      </c>
      <c r="G2543">
        <v>567</v>
      </c>
      <c r="H2543" s="4">
        <v>189</v>
      </c>
      <c r="I2543" s="4">
        <v>378</v>
      </c>
      <c r="J2543" t="s">
        <v>1008</v>
      </c>
      <c r="K2543" t="s">
        <v>58</v>
      </c>
      <c r="L2543" s="4">
        <v>9.9471686551317795</v>
      </c>
      <c r="M2543" s="1" t="s">
        <v>34</v>
      </c>
      <c r="N2543" s="11">
        <f t="shared" si="39"/>
        <v>1</v>
      </c>
    </row>
    <row r="2544" spans="1:14" ht="16" x14ac:dyDescent="0.2">
      <c r="A2544" s="3">
        <v>44829.2731257739</v>
      </c>
      <c r="B2544" s="1" t="s">
        <v>2820</v>
      </c>
      <c r="C2544" t="s">
        <v>204</v>
      </c>
      <c r="D2544">
        <v>8</v>
      </c>
      <c r="E2544">
        <v>57</v>
      </c>
      <c r="F2544">
        <v>19</v>
      </c>
      <c r="G2544">
        <v>456</v>
      </c>
      <c r="H2544" s="4">
        <v>152</v>
      </c>
      <c r="I2544" s="4">
        <v>304</v>
      </c>
      <c r="J2544" t="s">
        <v>194</v>
      </c>
      <c r="K2544" t="s">
        <v>42</v>
      </c>
      <c r="L2544" s="4">
        <v>14.573178107544177</v>
      </c>
      <c r="M2544" s="1" t="s">
        <v>34</v>
      </c>
      <c r="N2544" s="11">
        <f t="shared" si="39"/>
        <v>1</v>
      </c>
    </row>
    <row r="2545" spans="1:14" ht="16" x14ac:dyDescent="0.2">
      <c r="A2545" s="3">
        <v>44240.338568753381</v>
      </c>
      <c r="B2545" s="1" t="s">
        <v>2821</v>
      </c>
      <c r="C2545" t="s">
        <v>178</v>
      </c>
      <c r="D2545">
        <v>3</v>
      </c>
      <c r="E2545">
        <v>189</v>
      </c>
      <c r="F2545">
        <v>63</v>
      </c>
      <c r="G2545">
        <v>567</v>
      </c>
      <c r="H2545" s="4">
        <v>189</v>
      </c>
      <c r="I2545" s="4">
        <v>378</v>
      </c>
      <c r="J2545" t="s">
        <v>767</v>
      </c>
      <c r="K2545" t="s">
        <v>42</v>
      </c>
      <c r="L2545" s="4">
        <v>11.289144410898391</v>
      </c>
      <c r="M2545" s="1" t="s">
        <v>54</v>
      </c>
      <c r="N2545" s="11">
        <f t="shared" si="39"/>
        <v>10</v>
      </c>
    </row>
    <row r="2546" spans="1:14" ht="16" x14ac:dyDescent="0.2">
      <c r="A2546" s="3">
        <v>43988.581761964982</v>
      </c>
      <c r="B2546" s="1" t="s">
        <v>2822</v>
      </c>
      <c r="C2546" t="s">
        <v>44</v>
      </c>
      <c r="D2546">
        <v>10</v>
      </c>
      <c r="E2546">
        <v>114</v>
      </c>
      <c r="F2546">
        <v>57</v>
      </c>
      <c r="G2546">
        <v>1140</v>
      </c>
      <c r="H2546" s="4">
        <v>570</v>
      </c>
      <c r="I2546" s="4">
        <v>570</v>
      </c>
      <c r="J2546" t="s">
        <v>562</v>
      </c>
      <c r="K2546" t="s">
        <v>49</v>
      </c>
      <c r="L2546" s="4">
        <v>11.808681852148307</v>
      </c>
      <c r="M2546" s="1" t="s">
        <v>38</v>
      </c>
      <c r="N2546" s="11">
        <f t="shared" si="39"/>
        <v>5</v>
      </c>
    </row>
    <row r="2547" spans="1:14" ht="16" x14ac:dyDescent="0.2">
      <c r="A2547" s="3">
        <v>43852.459228692671</v>
      </c>
      <c r="B2547" s="1" t="s">
        <v>1829</v>
      </c>
      <c r="C2547" t="s">
        <v>561</v>
      </c>
      <c r="D2547">
        <v>14</v>
      </c>
      <c r="E2547">
        <v>384</v>
      </c>
      <c r="F2547">
        <v>96</v>
      </c>
      <c r="G2547">
        <v>5376</v>
      </c>
      <c r="H2547" s="4">
        <v>1344</v>
      </c>
      <c r="I2547" s="4">
        <v>4032</v>
      </c>
      <c r="J2547" t="s">
        <v>60</v>
      </c>
      <c r="K2547" t="s">
        <v>53</v>
      </c>
      <c r="L2547" s="4">
        <v>11.048444680405545</v>
      </c>
      <c r="M2547" s="1" t="s">
        <v>38</v>
      </c>
      <c r="N2547" s="11">
        <f t="shared" si="39"/>
        <v>5</v>
      </c>
    </row>
    <row r="2548" spans="1:14" ht="16" x14ac:dyDescent="0.2">
      <c r="A2548" s="3">
        <v>43468.972734569754</v>
      </c>
      <c r="B2548" s="1" t="s">
        <v>2823</v>
      </c>
      <c r="C2548" t="s">
        <v>47</v>
      </c>
      <c r="D2548">
        <v>8</v>
      </c>
      <c r="E2548">
        <v>231</v>
      </c>
      <c r="F2548">
        <v>77</v>
      </c>
      <c r="G2548">
        <v>1848</v>
      </c>
      <c r="H2548" s="4">
        <v>616</v>
      </c>
      <c r="I2548" s="4">
        <v>1232</v>
      </c>
      <c r="J2548" t="s">
        <v>96</v>
      </c>
      <c r="K2548" t="s">
        <v>64</v>
      </c>
      <c r="L2548" s="4">
        <v>12.072414596936037</v>
      </c>
      <c r="M2548" s="1" t="s">
        <v>54</v>
      </c>
      <c r="N2548" s="11">
        <f t="shared" si="39"/>
        <v>10</v>
      </c>
    </row>
    <row r="2549" spans="1:14" ht="16" x14ac:dyDescent="0.2">
      <c r="A2549" s="3">
        <v>43617.512740284583</v>
      </c>
      <c r="B2549" s="1" t="s">
        <v>2824</v>
      </c>
      <c r="C2549" t="s">
        <v>547</v>
      </c>
      <c r="D2549">
        <v>10</v>
      </c>
      <c r="E2549">
        <v>300</v>
      </c>
      <c r="F2549">
        <v>75</v>
      </c>
      <c r="G2549">
        <v>3000</v>
      </c>
      <c r="H2549" s="4">
        <v>750</v>
      </c>
      <c r="I2549" s="4">
        <v>2250</v>
      </c>
      <c r="J2549" t="s">
        <v>408</v>
      </c>
      <c r="K2549" t="s">
        <v>42</v>
      </c>
      <c r="L2549" s="4">
        <v>9.1877733607656964</v>
      </c>
      <c r="M2549" s="1" t="s">
        <v>38</v>
      </c>
      <c r="N2549" s="11">
        <f t="shared" si="39"/>
        <v>5</v>
      </c>
    </row>
    <row r="2550" spans="1:14" ht="16" x14ac:dyDescent="0.2">
      <c r="A2550" s="3">
        <v>44196.525215248847</v>
      </c>
      <c r="B2550" s="1" t="s">
        <v>2825</v>
      </c>
      <c r="C2550" t="s">
        <v>178</v>
      </c>
      <c r="D2550">
        <v>8</v>
      </c>
      <c r="E2550">
        <v>189</v>
      </c>
      <c r="F2550">
        <v>63</v>
      </c>
      <c r="G2550">
        <v>1512</v>
      </c>
      <c r="H2550" s="4">
        <v>504</v>
      </c>
      <c r="I2550" s="4">
        <v>1008</v>
      </c>
      <c r="J2550" t="s">
        <v>137</v>
      </c>
      <c r="K2550" t="s">
        <v>42</v>
      </c>
      <c r="L2550" s="4">
        <v>11.410471033945758</v>
      </c>
      <c r="M2550" s="1" t="s">
        <v>54</v>
      </c>
      <c r="N2550" s="11">
        <f t="shared" si="39"/>
        <v>10</v>
      </c>
    </row>
    <row r="2551" spans="1:14" ht="16" x14ac:dyDescent="0.2">
      <c r="A2551" s="3">
        <v>44865.203725129097</v>
      </c>
      <c r="B2551" s="1" t="s">
        <v>2826</v>
      </c>
      <c r="C2551" t="s">
        <v>261</v>
      </c>
      <c r="D2551">
        <v>15</v>
      </c>
      <c r="E2551">
        <v>92</v>
      </c>
      <c r="F2551">
        <v>46</v>
      </c>
      <c r="G2551">
        <v>1380</v>
      </c>
      <c r="H2551" s="4">
        <v>690</v>
      </c>
      <c r="I2551" s="4">
        <v>690</v>
      </c>
      <c r="J2551" t="s">
        <v>183</v>
      </c>
      <c r="K2551" t="s">
        <v>58</v>
      </c>
      <c r="L2551" s="4">
        <v>11.939773463335372</v>
      </c>
      <c r="M2551" s="1" t="s">
        <v>38</v>
      </c>
      <c r="N2551" s="11">
        <f t="shared" si="39"/>
        <v>5</v>
      </c>
    </row>
    <row r="2552" spans="1:14" ht="16" x14ac:dyDescent="0.2">
      <c r="A2552" s="3">
        <v>43081.341790427949</v>
      </c>
      <c r="B2552" s="1" t="s">
        <v>2827</v>
      </c>
      <c r="C2552" t="s">
        <v>538</v>
      </c>
      <c r="D2552">
        <v>6</v>
      </c>
      <c r="E2552">
        <v>261</v>
      </c>
      <c r="F2552">
        <v>87</v>
      </c>
      <c r="G2552">
        <v>1566</v>
      </c>
      <c r="H2552" s="4">
        <v>522</v>
      </c>
      <c r="I2552" s="4">
        <v>1044</v>
      </c>
      <c r="J2552" t="s">
        <v>910</v>
      </c>
      <c r="K2552" t="s">
        <v>58</v>
      </c>
      <c r="L2552" s="4">
        <v>11.78346750250795</v>
      </c>
      <c r="M2552" s="1" t="s">
        <v>34</v>
      </c>
      <c r="N2552" s="11">
        <f t="shared" si="39"/>
        <v>1</v>
      </c>
    </row>
    <row r="2553" spans="1:14" ht="16" x14ac:dyDescent="0.2">
      <c r="A2553" s="3">
        <v>43842.509634991067</v>
      </c>
      <c r="B2553" s="1" t="s">
        <v>2828</v>
      </c>
      <c r="C2553" t="s">
        <v>420</v>
      </c>
      <c r="D2553">
        <v>17</v>
      </c>
      <c r="E2553">
        <v>162</v>
      </c>
      <c r="F2553">
        <v>54</v>
      </c>
      <c r="G2553">
        <v>2754</v>
      </c>
      <c r="H2553" s="4">
        <v>918</v>
      </c>
      <c r="I2553" s="4">
        <v>1836</v>
      </c>
      <c r="J2553" t="s">
        <v>490</v>
      </c>
      <c r="K2553" t="s">
        <v>64</v>
      </c>
      <c r="L2553" s="4">
        <v>11.249825090458803</v>
      </c>
      <c r="M2553" s="1" t="s">
        <v>54</v>
      </c>
      <c r="N2553" s="11">
        <f t="shared" si="39"/>
        <v>10</v>
      </c>
    </row>
    <row r="2554" spans="1:14" ht="16" x14ac:dyDescent="0.2">
      <c r="A2554" s="3">
        <v>44105.57523449813</v>
      </c>
      <c r="B2554" s="1" t="s">
        <v>2518</v>
      </c>
      <c r="C2554" t="s">
        <v>215</v>
      </c>
      <c r="D2554">
        <v>17</v>
      </c>
      <c r="E2554">
        <v>176</v>
      </c>
      <c r="F2554">
        <v>88</v>
      </c>
      <c r="G2554">
        <v>2992</v>
      </c>
      <c r="H2554" s="4">
        <v>1496</v>
      </c>
      <c r="I2554" s="4">
        <v>1496</v>
      </c>
      <c r="J2554" t="s">
        <v>179</v>
      </c>
      <c r="K2554" t="s">
        <v>53</v>
      </c>
      <c r="L2554" s="4">
        <v>11.36085047138285</v>
      </c>
      <c r="M2554" s="1" t="s">
        <v>38</v>
      </c>
      <c r="N2554" s="11">
        <f t="shared" si="39"/>
        <v>5</v>
      </c>
    </row>
    <row r="2555" spans="1:14" ht="16" x14ac:dyDescent="0.2">
      <c r="A2555" s="3">
        <v>43587.835425473349</v>
      </c>
      <c r="B2555" s="1" t="s">
        <v>2829</v>
      </c>
      <c r="C2555" t="s">
        <v>175</v>
      </c>
      <c r="D2555">
        <v>10</v>
      </c>
      <c r="E2555">
        <v>38</v>
      </c>
      <c r="F2555">
        <v>19</v>
      </c>
      <c r="G2555">
        <v>380</v>
      </c>
      <c r="H2555" s="4">
        <v>190</v>
      </c>
      <c r="I2555" s="4">
        <v>190</v>
      </c>
      <c r="J2555" t="s">
        <v>854</v>
      </c>
      <c r="K2555" t="s">
        <v>58</v>
      </c>
      <c r="L2555" s="4">
        <v>12.990345718839325</v>
      </c>
      <c r="M2555" s="1" t="s">
        <v>38</v>
      </c>
      <c r="N2555" s="11">
        <f t="shared" si="39"/>
        <v>5</v>
      </c>
    </row>
    <row r="2556" spans="1:14" ht="16" x14ac:dyDescent="0.2">
      <c r="A2556" s="3">
        <v>43291.445208205099</v>
      </c>
      <c r="B2556" s="1" t="s">
        <v>2830</v>
      </c>
      <c r="C2556" t="s">
        <v>88</v>
      </c>
      <c r="D2556">
        <v>3</v>
      </c>
      <c r="E2556">
        <v>210</v>
      </c>
      <c r="F2556">
        <v>70</v>
      </c>
      <c r="G2556">
        <v>630</v>
      </c>
      <c r="H2556" s="4">
        <v>210</v>
      </c>
      <c r="I2556" s="4">
        <v>420</v>
      </c>
      <c r="J2556" t="s">
        <v>681</v>
      </c>
      <c r="K2556" t="s">
        <v>86</v>
      </c>
      <c r="L2556" s="4">
        <v>8.1628930629234038</v>
      </c>
      <c r="M2556" s="1" t="s">
        <v>38</v>
      </c>
      <c r="N2556" s="11">
        <f t="shared" si="39"/>
        <v>5</v>
      </c>
    </row>
    <row r="2557" spans="1:14" ht="16" x14ac:dyDescent="0.2">
      <c r="A2557" s="3">
        <v>43243.72697986976</v>
      </c>
      <c r="B2557" s="1" t="s">
        <v>2831</v>
      </c>
      <c r="C2557" t="s">
        <v>391</v>
      </c>
      <c r="D2557">
        <v>9</v>
      </c>
      <c r="E2557">
        <v>72</v>
      </c>
      <c r="F2557">
        <v>36</v>
      </c>
      <c r="G2557">
        <v>648</v>
      </c>
      <c r="H2557" s="4">
        <v>324</v>
      </c>
      <c r="I2557" s="4">
        <v>324</v>
      </c>
      <c r="J2557" t="s">
        <v>548</v>
      </c>
      <c r="K2557" t="s">
        <v>53</v>
      </c>
      <c r="L2557" s="4">
        <v>16.695690968264284</v>
      </c>
      <c r="M2557" s="1" t="s">
        <v>54</v>
      </c>
      <c r="N2557" s="11">
        <f t="shared" si="39"/>
        <v>10</v>
      </c>
    </row>
    <row r="2558" spans="1:14" ht="16" x14ac:dyDescent="0.2">
      <c r="A2558" s="3">
        <v>44630.102019417071</v>
      </c>
      <c r="B2558" s="1" t="s">
        <v>2832</v>
      </c>
      <c r="C2558" t="s">
        <v>81</v>
      </c>
      <c r="D2558">
        <v>14</v>
      </c>
      <c r="E2558">
        <v>166</v>
      </c>
      <c r="F2558">
        <v>83</v>
      </c>
      <c r="G2558">
        <v>2324</v>
      </c>
      <c r="H2558" s="4">
        <v>1162</v>
      </c>
      <c r="I2558" s="4">
        <v>1162</v>
      </c>
      <c r="J2558" t="s">
        <v>521</v>
      </c>
      <c r="K2558" t="s">
        <v>58</v>
      </c>
      <c r="L2558" s="4">
        <v>8.8514729234790472</v>
      </c>
      <c r="M2558" s="1" t="s">
        <v>34</v>
      </c>
      <c r="N2558" s="11">
        <f t="shared" si="39"/>
        <v>1</v>
      </c>
    </row>
    <row r="2559" spans="1:14" ht="16" x14ac:dyDescent="0.2">
      <c r="A2559" s="3">
        <v>44193.95672314999</v>
      </c>
      <c r="B2559" s="1" t="s">
        <v>2833</v>
      </c>
      <c r="C2559" t="s">
        <v>788</v>
      </c>
      <c r="D2559">
        <v>9</v>
      </c>
      <c r="E2559">
        <v>100</v>
      </c>
      <c r="F2559">
        <v>25</v>
      </c>
      <c r="G2559">
        <v>900</v>
      </c>
      <c r="H2559" s="4">
        <v>225</v>
      </c>
      <c r="I2559" s="4">
        <v>675</v>
      </c>
      <c r="J2559" t="s">
        <v>442</v>
      </c>
      <c r="K2559" t="s">
        <v>58</v>
      </c>
      <c r="L2559" s="4">
        <v>16.429355109701351</v>
      </c>
      <c r="M2559" s="1" t="s">
        <v>38</v>
      </c>
      <c r="N2559" s="11">
        <f t="shared" si="39"/>
        <v>5</v>
      </c>
    </row>
    <row r="2560" spans="1:14" ht="16" x14ac:dyDescent="0.2">
      <c r="A2560" s="3">
        <v>44314.248179954622</v>
      </c>
      <c r="B2560" s="1" t="s">
        <v>2645</v>
      </c>
      <c r="C2560" t="s">
        <v>297</v>
      </c>
      <c r="D2560">
        <v>3</v>
      </c>
      <c r="E2560">
        <v>108</v>
      </c>
      <c r="F2560">
        <v>36</v>
      </c>
      <c r="G2560">
        <v>324</v>
      </c>
      <c r="H2560" s="4">
        <v>108</v>
      </c>
      <c r="I2560" s="4">
        <v>216</v>
      </c>
      <c r="J2560" t="s">
        <v>96</v>
      </c>
      <c r="K2560" t="s">
        <v>64</v>
      </c>
      <c r="L2560" s="4">
        <v>12.072414596936037</v>
      </c>
      <c r="M2560" s="1" t="s">
        <v>38</v>
      </c>
      <c r="N2560" s="11">
        <f t="shared" si="39"/>
        <v>5</v>
      </c>
    </row>
    <row r="2561" spans="1:14" ht="16" x14ac:dyDescent="0.2">
      <c r="A2561" s="3">
        <v>44845.826421525722</v>
      </c>
      <c r="B2561" s="1" t="s">
        <v>2834</v>
      </c>
      <c r="C2561" t="s">
        <v>607</v>
      </c>
      <c r="D2561">
        <v>14</v>
      </c>
      <c r="E2561">
        <v>225</v>
      </c>
      <c r="F2561">
        <v>75</v>
      </c>
      <c r="G2561">
        <v>3150</v>
      </c>
      <c r="H2561" s="4">
        <v>1050</v>
      </c>
      <c r="I2561" s="4">
        <v>2100</v>
      </c>
      <c r="J2561" t="s">
        <v>321</v>
      </c>
      <c r="K2561" t="s">
        <v>42</v>
      </c>
      <c r="L2561" s="4">
        <v>7.7337149713827413</v>
      </c>
      <c r="M2561" s="1" t="s">
        <v>54</v>
      </c>
      <c r="N2561" s="11">
        <f t="shared" si="39"/>
        <v>10</v>
      </c>
    </row>
    <row r="2562" spans="1:14" ht="16" x14ac:dyDescent="0.2">
      <c r="A2562" s="3">
        <v>42368.548632834179</v>
      </c>
      <c r="B2562" s="1" t="s">
        <v>2835</v>
      </c>
      <c r="C2562" t="s">
        <v>252</v>
      </c>
      <c r="D2562">
        <v>9</v>
      </c>
      <c r="E2562">
        <v>252</v>
      </c>
      <c r="F2562">
        <v>63</v>
      </c>
      <c r="G2562">
        <v>2268</v>
      </c>
      <c r="H2562" s="4">
        <v>567</v>
      </c>
      <c r="I2562" s="4">
        <v>1701</v>
      </c>
      <c r="J2562" t="s">
        <v>997</v>
      </c>
      <c r="K2562" t="s">
        <v>58</v>
      </c>
      <c r="L2562" s="4">
        <v>12.173451788225162</v>
      </c>
      <c r="M2562" s="1" t="s">
        <v>54</v>
      </c>
      <c r="N2562" s="11">
        <f t="shared" si="39"/>
        <v>10</v>
      </c>
    </row>
    <row r="2563" spans="1:14" ht="16" x14ac:dyDescent="0.2">
      <c r="A2563" s="3">
        <v>43718.290547809265</v>
      </c>
      <c r="B2563" s="1" t="s">
        <v>2836</v>
      </c>
      <c r="C2563" t="s">
        <v>288</v>
      </c>
      <c r="D2563">
        <v>2</v>
      </c>
      <c r="E2563">
        <v>48</v>
      </c>
      <c r="F2563">
        <v>24</v>
      </c>
      <c r="G2563">
        <v>96</v>
      </c>
      <c r="H2563" s="4">
        <v>48</v>
      </c>
      <c r="I2563" s="4">
        <v>48</v>
      </c>
      <c r="J2563" t="s">
        <v>57</v>
      </c>
      <c r="K2563" t="s">
        <v>58</v>
      </c>
      <c r="L2563" s="4">
        <v>11.749993886708426</v>
      </c>
      <c r="M2563" s="1" t="s">
        <v>54</v>
      </c>
      <c r="N2563" s="11">
        <f t="shared" ref="N2563:N2626" si="40">+IF(M2563="Dissatisfied",1,IF(M2563="Satisfied",10,5))</f>
        <v>10</v>
      </c>
    </row>
    <row r="2564" spans="1:14" ht="16" x14ac:dyDescent="0.2">
      <c r="A2564" s="3">
        <v>43614.034870265779</v>
      </c>
      <c r="B2564" s="1" t="s">
        <v>2837</v>
      </c>
      <c r="C2564" t="s">
        <v>561</v>
      </c>
      <c r="D2564">
        <v>2</v>
      </c>
      <c r="E2564">
        <v>384</v>
      </c>
      <c r="F2564">
        <v>96</v>
      </c>
      <c r="G2564">
        <v>768</v>
      </c>
      <c r="H2564" s="4">
        <v>192</v>
      </c>
      <c r="I2564" s="4">
        <v>576</v>
      </c>
      <c r="J2564" t="s">
        <v>89</v>
      </c>
      <c r="K2564" t="s">
        <v>64</v>
      </c>
      <c r="L2564" s="4">
        <v>12.865074657680612</v>
      </c>
      <c r="M2564" s="1" t="s">
        <v>38</v>
      </c>
      <c r="N2564" s="11">
        <f t="shared" si="40"/>
        <v>5</v>
      </c>
    </row>
    <row r="2565" spans="1:14" ht="16" x14ac:dyDescent="0.2">
      <c r="A2565" s="3">
        <v>44036.884665785889</v>
      </c>
      <c r="B2565" s="1" t="s">
        <v>2838</v>
      </c>
      <c r="C2565" t="s">
        <v>209</v>
      </c>
      <c r="D2565">
        <v>13</v>
      </c>
      <c r="E2565">
        <v>150</v>
      </c>
      <c r="F2565">
        <v>75</v>
      </c>
      <c r="G2565">
        <v>1950</v>
      </c>
      <c r="H2565" s="4">
        <v>975</v>
      </c>
      <c r="I2565" s="4">
        <v>975</v>
      </c>
      <c r="J2565" t="s">
        <v>210</v>
      </c>
      <c r="K2565" t="s">
        <v>58</v>
      </c>
      <c r="L2565" s="4">
        <v>11.995406972581796</v>
      </c>
      <c r="M2565" s="1" t="s">
        <v>54</v>
      </c>
      <c r="N2565" s="11">
        <f t="shared" si="40"/>
        <v>10</v>
      </c>
    </row>
    <row r="2566" spans="1:14" ht="16" x14ac:dyDescent="0.2">
      <c r="A2566" s="3">
        <v>43264.939474887105</v>
      </c>
      <c r="B2566" s="1" t="s">
        <v>2839</v>
      </c>
      <c r="C2566" t="s">
        <v>75</v>
      </c>
      <c r="D2566">
        <v>8</v>
      </c>
      <c r="E2566">
        <v>76</v>
      </c>
      <c r="F2566">
        <v>19</v>
      </c>
      <c r="G2566">
        <v>608</v>
      </c>
      <c r="H2566" s="4">
        <v>152</v>
      </c>
      <c r="I2566" s="4">
        <v>456</v>
      </c>
      <c r="J2566" t="s">
        <v>686</v>
      </c>
      <c r="K2566" t="s">
        <v>86</v>
      </c>
      <c r="L2566" s="4">
        <v>8.1595626482464514</v>
      </c>
      <c r="M2566" s="1" t="s">
        <v>34</v>
      </c>
      <c r="N2566" s="11">
        <f t="shared" si="40"/>
        <v>1</v>
      </c>
    </row>
    <row r="2567" spans="1:14" ht="16" x14ac:dyDescent="0.2">
      <c r="A2567" s="3">
        <v>44221.140486590935</v>
      </c>
      <c r="B2567" s="1" t="s">
        <v>2840</v>
      </c>
      <c r="C2567" t="s">
        <v>779</v>
      </c>
      <c r="D2567">
        <v>17</v>
      </c>
      <c r="E2567">
        <v>120</v>
      </c>
      <c r="F2567">
        <v>30</v>
      </c>
      <c r="G2567">
        <v>2040</v>
      </c>
      <c r="H2567" s="4">
        <v>510</v>
      </c>
      <c r="I2567" s="4">
        <v>1530</v>
      </c>
      <c r="J2567" t="s">
        <v>521</v>
      </c>
      <c r="K2567" t="s">
        <v>58</v>
      </c>
      <c r="L2567" s="4">
        <v>8.8514729234790472</v>
      </c>
      <c r="M2567" s="1" t="s">
        <v>38</v>
      </c>
      <c r="N2567" s="11">
        <f t="shared" si="40"/>
        <v>5</v>
      </c>
    </row>
    <row r="2568" spans="1:14" ht="16" x14ac:dyDescent="0.2">
      <c r="A2568" s="3">
        <v>44279.482057250309</v>
      </c>
      <c r="B2568" s="1" t="s">
        <v>2841</v>
      </c>
      <c r="C2568" t="s">
        <v>66</v>
      </c>
      <c r="D2568">
        <v>2</v>
      </c>
      <c r="E2568">
        <v>144</v>
      </c>
      <c r="F2568">
        <v>48</v>
      </c>
      <c r="G2568">
        <v>288</v>
      </c>
      <c r="H2568" s="4">
        <v>96</v>
      </c>
      <c r="I2568" s="4">
        <v>192</v>
      </c>
      <c r="J2568" t="s">
        <v>453</v>
      </c>
      <c r="K2568" t="s">
        <v>42</v>
      </c>
      <c r="L2568" s="4">
        <v>13.104576594826185</v>
      </c>
      <c r="M2568" s="1" t="s">
        <v>54</v>
      </c>
      <c r="N2568" s="11">
        <f t="shared" si="40"/>
        <v>10</v>
      </c>
    </row>
    <row r="2569" spans="1:14" ht="16" x14ac:dyDescent="0.2">
      <c r="A2569" s="3">
        <v>43710.001090854181</v>
      </c>
      <c r="B2569" s="1" t="s">
        <v>2842</v>
      </c>
      <c r="C2569" t="s">
        <v>375</v>
      </c>
      <c r="D2569">
        <v>8</v>
      </c>
      <c r="E2569">
        <v>360</v>
      </c>
      <c r="F2569">
        <v>90</v>
      </c>
      <c r="G2569">
        <v>2880</v>
      </c>
      <c r="H2569" s="4">
        <v>720</v>
      </c>
      <c r="I2569" s="4">
        <v>2160</v>
      </c>
      <c r="J2569" t="s">
        <v>528</v>
      </c>
      <c r="K2569" t="s">
        <v>33</v>
      </c>
      <c r="L2569" s="4">
        <v>11.003496633574638</v>
      </c>
      <c r="M2569" s="1" t="s">
        <v>54</v>
      </c>
      <c r="N2569" s="11">
        <f t="shared" si="40"/>
        <v>10</v>
      </c>
    </row>
    <row r="2570" spans="1:14" ht="16" x14ac:dyDescent="0.2">
      <c r="A2570" s="3">
        <v>43373.588029620754</v>
      </c>
      <c r="B2570" s="1" t="s">
        <v>2843</v>
      </c>
      <c r="C2570" t="s">
        <v>788</v>
      </c>
      <c r="D2570">
        <v>7</v>
      </c>
      <c r="E2570">
        <v>100</v>
      </c>
      <c r="F2570">
        <v>25</v>
      </c>
      <c r="G2570">
        <v>700</v>
      </c>
      <c r="H2570" s="4">
        <v>175</v>
      </c>
      <c r="I2570" s="4">
        <v>525</v>
      </c>
      <c r="J2570" t="s">
        <v>310</v>
      </c>
      <c r="K2570" t="s">
        <v>58</v>
      </c>
      <c r="L2570" s="4">
        <v>11.03324198943719</v>
      </c>
      <c r="M2570" s="1" t="s">
        <v>38</v>
      </c>
      <c r="N2570" s="11">
        <f t="shared" si="40"/>
        <v>5</v>
      </c>
    </row>
    <row r="2571" spans="1:14" ht="16" x14ac:dyDescent="0.2">
      <c r="A2571" s="3">
        <v>43390.475611081012</v>
      </c>
      <c r="B2571" s="1" t="s">
        <v>2844</v>
      </c>
      <c r="C2571" t="s">
        <v>113</v>
      </c>
      <c r="D2571">
        <v>7</v>
      </c>
      <c r="E2571">
        <v>66</v>
      </c>
      <c r="F2571">
        <v>33</v>
      </c>
      <c r="G2571">
        <v>462</v>
      </c>
      <c r="H2571" s="4">
        <v>231</v>
      </c>
      <c r="I2571" s="4">
        <v>231</v>
      </c>
      <c r="J2571" t="s">
        <v>650</v>
      </c>
      <c r="K2571" t="s">
        <v>86</v>
      </c>
      <c r="L2571" s="4">
        <v>12.679725647708608</v>
      </c>
      <c r="M2571" s="1" t="s">
        <v>54</v>
      </c>
      <c r="N2571" s="11">
        <f t="shared" si="40"/>
        <v>10</v>
      </c>
    </row>
    <row r="2572" spans="1:14" ht="16" x14ac:dyDescent="0.2">
      <c r="A2572" s="3">
        <v>43068.672573284886</v>
      </c>
      <c r="B2572" s="1" t="s">
        <v>2845</v>
      </c>
      <c r="C2572" t="s">
        <v>75</v>
      </c>
      <c r="D2572">
        <v>14</v>
      </c>
      <c r="E2572">
        <v>76</v>
      </c>
      <c r="F2572">
        <v>19</v>
      </c>
      <c r="G2572">
        <v>1064</v>
      </c>
      <c r="H2572" s="4">
        <v>266</v>
      </c>
      <c r="I2572" s="4">
        <v>798</v>
      </c>
      <c r="J2572" t="s">
        <v>815</v>
      </c>
      <c r="K2572" t="s">
        <v>33</v>
      </c>
      <c r="L2572" s="4">
        <v>16.254955391951082</v>
      </c>
      <c r="M2572" s="1" t="s">
        <v>54</v>
      </c>
      <c r="N2572" s="11">
        <f t="shared" si="40"/>
        <v>10</v>
      </c>
    </row>
    <row r="2573" spans="1:14" ht="16" x14ac:dyDescent="0.2">
      <c r="A2573" s="3">
        <v>43423.58663670221</v>
      </c>
      <c r="B2573" s="1" t="s">
        <v>2846</v>
      </c>
      <c r="C2573" t="s">
        <v>252</v>
      </c>
      <c r="D2573">
        <v>20</v>
      </c>
      <c r="E2573">
        <v>252</v>
      </c>
      <c r="F2573">
        <v>63</v>
      </c>
      <c r="G2573">
        <v>5040</v>
      </c>
      <c r="H2573" s="4">
        <v>1260</v>
      </c>
      <c r="I2573" s="4">
        <v>3780</v>
      </c>
      <c r="J2573" t="s">
        <v>557</v>
      </c>
      <c r="K2573" t="s">
        <v>64</v>
      </c>
      <c r="L2573" s="4">
        <v>10.037135914792184</v>
      </c>
      <c r="M2573" s="1" t="s">
        <v>38</v>
      </c>
      <c r="N2573" s="11">
        <f t="shared" si="40"/>
        <v>5</v>
      </c>
    </row>
    <row r="2574" spans="1:14" ht="16" x14ac:dyDescent="0.2">
      <c r="A2574" s="3">
        <v>43830.644266088602</v>
      </c>
      <c r="B2574" s="1" t="s">
        <v>2847</v>
      </c>
      <c r="C2574" t="s">
        <v>252</v>
      </c>
      <c r="D2574">
        <v>18</v>
      </c>
      <c r="E2574">
        <v>252</v>
      </c>
      <c r="F2574">
        <v>63</v>
      </c>
      <c r="G2574">
        <v>4536</v>
      </c>
      <c r="H2574" s="4">
        <v>1134</v>
      </c>
      <c r="I2574" s="4">
        <v>3402</v>
      </c>
      <c r="J2574" t="s">
        <v>469</v>
      </c>
      <c r="K2574" t="s">
        <v>64</v>
      </c>
      <c r="L2574" s="4">
        <v>7.9963422143733238</v>
      </c>
      <c r="M2574" s="1" t="s">
        <v>54</v>
      </c>
      <c r="N2574" s="11">
        <f t="shared" si="40"/>
        <v>10</v>
      </c>
    </row>
    <row r="2575" spans="1:14" ht="16" x14ac:dyDescent="0.2">
      <c r="A2575" s="3">
        <v>43856.617232700111</v>
      </c>
      <c r="B2575" s="1" t="s">
        <v>2848</v>
      </c>
      <c r="C2575" t="s">
        <v>320</v>
      </c>
      <c r="D2575">
        <v>19</v>
      </c>
      <c r="E2575">
        <v>280</v>
      </c>
      <c r="F2575">
        <v>70</v>
      </c>
      <c r="G2575">
        <v>5320</v>
      </c>
      <c r="H2575" s="4">
        <v>1330</v>
      </c>
      <c r="I2575" s="4">
        <v>3990</v>
      </c>
      <c r="J2575" t="s">
        <v>477</v>
      </c>
      <c r="K2575" t="s">
        <v>53</v>
      </c>
      <c r="L2575" s="4">
        <v>14.845213075061906</v>
      </c>
      <c r="M2575" s="1" t="s">
        <v>38</v>
      </c>
      <c r="N2575" s="11">
        <f t="shared" si="40"/>
        <v>5</v>
      </c>
    </row>
    <row r="2576" spans="1:14" ht="16" x14ac:dyDescent="0.2">
      <c r="A2576" s="3">
        <v>44080.890083361883</v>
      </c>
      <c r="B2576" s="1" t="s">
        <v>2849</v>
      </c>
      <c r="C2576" t="s">
        <v>779</v>
      </c>
      <c r="D2576">
        <v>5</v>
      </c>
      <c r="E2576">
        <v>120</v>
      </c>
      <c r="F2576">
        <v>30</v>
      </c>
      <c r="G2576">
        <v>600</v>
      </c>
      <c r="H2576" s="4">
        <v>150</v>
      </c>
      <c r="I2576" s="4">
        <v>450</v>
      </c>
      <c r="J2576" t="s">
        <v>1273</v>
      </c>
      <c r="K2576" t="s">
        <v>42</v>
      </c>
      <c r="L2576" s="4">
        <v>12.427459362224146</v>
      </c>
      <c r="M2576" s="1" t="s">
        <v>38</v>
      </c>
      <c r="N2576" s="11">
        <f t="shared" si="40"/>
        <v>5</v>
      </c>
    </row>
    <row r="2577" spans="1:14" ht="16" x14ac:dyDescent="0.2">
      <c r="A2577" s="3">
        <v>44491.644303680696</v>
      </c>
      <c r="B2577" s="1" t="s">
        <v>2850</v>
      </c>
      <c r="C2577" t="s">
        <v>259</v>
      </c>
      <c r="D2577">
        <v>19</v>
      </c>
      <c r="E2577">
        <v>270</v>
      </c>
      <c r="F2577">
        <v>90</v>
      </c>
      <c r="G2577">
        <v>5130</v>
      </c>
      <c r="H2577" s="4">
        <v>1710</v>
      </c>
      <c r="I2577" s="4">
        <v>3420</v>
      </c>
      <c r="J2577" t="s">
        <v>875</v>
      </c>
      <c r="K2577" t="s">
        <v>58</v>
      </c>
      <c r="L2577" s="4">
        <v>11.485823039755857</v>
      </c>
      <c r="M2577" s="1" t="s">
        <v>38</v>
      </c>
      <c r="N2577" s="11">
        <f t="shared" si="40"/>
        <v>5</v>
      </c>
    </row>
    <row r="2578" spans="1:14" ht="16" x14ac:dyDescent="0.2">
      <c r="A2578" s="3">
        <v>45267.754842208466</v>
      </c>
      <c r="B2578" s="1" t="s">
        <v>2851</v>
      </c>
      <c r="C2578" t="s">
        <v>110</v>
      </c>
      <c r="D2578">
        <v>18</v>
      </c>
      <c r="E2578">
        <v>144</v>
      </c>
      <c r="F2578">
        <v>36</v>
      </c>
      <c r="G2578">
        <v>2592</v>
      </c>
      <c r="H2578" s="4">
        <v>648</v>
      </c>
      <c r="I2578" s="4">
        <v>1944</v>
      </c>
      <c r="J2578" t="s">
        <v>387</v>
      </c>
      <c r="K2578" t="s">
        <v>86</v>
      </c>
      <c r="L2578" s="4">
        <v>15.60430546146185</v>
      </c>
      <c r="M2578" s="1" t="s">
        <v>38</v>
      </c>
      <c r="N2578" s="11">
        <f t="shared" si="40"/>
        <v>5</v>
      </c>
    </row>
    <row r="2579" spans="1:14" ht="16" x14ac:dyDescent="0.2">
      <c r="A2579" s="3">
        <v>44025.219807551483</v>
      </c>
      <c r="B2579" s="1" t="s">
        <v>2852</v>
      </c>
      <c r="C2579" t="s">
        <v>78</v>
      </c>
      <c r="D2579">
        <v>11</v>
      </c>
      <c r="E2579">
        <v>94</v>
      </c>
      <c r="F2579">
        <v>47</v>
      </c>
      <c r="G2579">
        <v>1034</v>
      </c>
      <c r="H2579" s="4">
        <v>517</v>
      </c>
      <c r="I2579" s="4">
        <v>517</v>
      </c>
      <c r="J2579" t="s">
        <v>482</v>
      </c>
      <c r="K2579" t="s">
        <v>42</v>
      </c>
      <c r="L2579" s="4">
        <v>11.311040680082275</v>
      </c>
      <c r="M2579" s="1" t="s">
        <v>38</v>
      </c>
      <c r="N2579" s="11">
        <f t="shared" si="40"/>
        <v>5</v>
      </c>
    </row>
    <row r="2580" spans="1:14" ht="16" x14ac:dyDescent="0.2">
      <c r="A2580" s="3">
        <v>43699.294544456527</v>
      </c>
      <c r="B2580" s="1" t="s">
        <v>2853</v>
      </c>
      <c r="C2580" t="s">
        <v>142</v>
      </c>
      <c r="D2580">
        <v>11</v>
      </c>
      <c r="E2580">
        <v>210</v>
      </c>
      <c r="F2580">
        <v>70</v>
      </c>
      <c r="G2580">
        <v>2310</v>
      </c>
      <c r="H2580" s="4">
        <v>770</v>
      </c>
      <c r="I2580" s="4">
        <v>1540</v>
      </c>
      <c r="J2580" t="s">
        <v>57</v>
      </c>
      <c r="K2580" t="s">
        <v>58</v>
      </c>
      <c r="L2580" s="4">
        <v>11.749993886708426</v>
      </c>
      <c r="M2580" s="1" t="s">
        <v>38</v>
      </c>
      <c r="N2580" s="11">
        <f t="shared" si="40"/>
        <v>5</v>
      </c>
    </row>
    <row r="2581" spans="1:14" ht="16" x14ac:dyDescent="0.2">
      <c r="A2581" s="3">
        <v>44145.838580941825</v>
      </c>
      <c r="B2581" s="1" t="s">
        <v>2854</v>
      </c>
      <c r="C2581" t="s">
        <v>243</v>
      </c>
      <c r="D2581">
        <v>17</v>
      </c>
      <c r="E2581">
        <v>90</v>
      </c>
      <c r="F2581">
        <v>45</v>
      </c>
      <c r="G2581">
        <v>1530</v>
      </c>
      <c r="H2581" s="4">
        <v>765</v>
      </c>
      <c r="I2581" s="4">
        <v>765</v>
      </c>
      <c r="J2581" t="s">
        <v>435</v>
      </c>
      <c r="K2581" t="s">
        <v>33</v>
      </c>
      <c r="L2581" s="4">
        <v>5.9872353338051019</v>
      </c>
      <c r="M2581" s="1" t="s">
        <v>54</v>
      </c>
      <c r="N2581" s="11">
        <f t="shared" si="40"/>
        <v>10</v>
      </c>
    </row>
    <row r="2582" spans="1:14" ht="16" x14ac:dyDescent="0.2">
      <c r="A2582" s="3">
        <v>43275.605547066734</v>
      </c>
      <c r="B2582" s="1" t="s">
        <v>2855</v>
      </c>
      <c r="C2582" t="s">
        <v>193</v>
      </c>
      <c r="D2582">
        <v>13</v>
      </c>
      <c r="E2582">
        <v>348</v>
      </c>
      <c r="F2582">
        <v>87</v>
      </c>
      <c r="G2582">
        <v>4524</v>
      </c>
      <c r="H2582" s="4">
        <v>1131</v>
      </c>
      <c r="I2582" s="4">
        <v>3393</v>
      </c>
      <c r="J2582" t="s">
        <v>230</v>
      </c>
      <c r="K2582" t="s">
        <v>42</v>
      </c>
      <c r="L2582" s="4">
        <v>12.172922939334034</v>
      </c>
      <c r="M2582" s="1" t="s">
        <v>34</v>
      </c>
      <c r="N2582" s="11">
        <f t="shared" si="40"/>
        <v>1</v>
      </c>
    </row>
    <row r="2583" spans="1:14" ht="16" x14ac:dyDescent="0.2">
      <c r="A2583" s="3">
        <v>44317.163819249225</v>
      </c>
      <c r="B2583" s="1" t="s">
        <v>2856</v>
      </c>
      <c r="C2583" t="s">
        <v>487</v>
      </c>
      <c r="D2583">
        <v>2</v>
      </c>
      <c r="E2583">
        <v>264</v>
      </c>
      <c r="F2583">
        <v>88</v>
      </c>
      <c r="G2583">
        <v>528</v>
      </c>
      <c r="H2583" s="4">
        <v>176</v>
      </c>
      <c r="I2583" s="4">
        <v>352</v>
      </c>
      <c r="J2583" t="s">
        <v>1432</v>
      </c>
      <c r="K2583" t="s">
        <v>53</v>
      </c>
      <c r="L2583" s="4">
        <v>13.2671922973198</v>
      </c>
      <c r="M2583" s="1" t="s">
        <v>38</v>
      </c>
      <c r="N2583" s="11">
        <f t="shared" si="40"/>
        <v>5</v>
      </c>
    </row>
    <row r="2584" spans="1:14" ht="16" x14ac:dyDescent="0.2">
      <c r="A2584" s="3">
        <v>44233.340659037545</v>
      </c>
      <c r="B2584" s="1" t="s">
        <v>2857</v>
      </c>
      <c r="C2584" t="s">
        <v>40</v>
      </c>
      <c r="D2584">
        <v>1</v>
      </c>
      <c r="E2584">
        <v>46</v>
      </c>
      <c r="F2584">
        <v>23</v>
      </c>
      <c r="G2584">
        <v>46</v>
      </c>
      <c r="H2584" s="4">
        <v>23</v>
      </c>
      <c r="I2584" s="4">
        <v>23</v>
      </c>
      <c r="J2584" t="s">
        <v>205</v>
      </c>
      <c r="K2584" t="s">
        <v>33</v>
      </c>
      <c r="L2584" s="4">
        <v>12.007834550770397</v>
      </c>
      <c r="M2584" s="1" t="s">
        <v>38</v>
      </c>
      <c r="N2584" s="11">
        <f t="shared" si="40"/>
        <v>5</v>
      </c>
    </row>
    <row r="2585" spans="1:14" ht="16" x14ac:dyDescent="0.2">
      <c r="A2585" s="3">
        <v>44967.855028987178</v>
      </c>
      <c r="B2585" s="1" t="s">
        <v>2858</v>
      </c>
      <c r="C2585" t="s">
        <v>93</v>
      </c>
      <c r="D2585">
        <v>15</v>
      </c>
      <c r="E2585">
        <v>204</v>
      </c>
      <c r="F2585">
        <v>51</v>
      </c>
      <c r="G2585">
        <v>3060</v>
      </c>
      <c r="H2585" s="4">
        <v>765</v>
      </c>
      <c r="I2585" s="4">
        <v>2295</v>
      </c>
      <c r="J2585" t="s">
        <v>455</v>
      </c>
      <c r="K2585" t="s">
        <v>53</v>
      </c>
      <c r="L2585" s="4">
        <v>13.574227261506472</v>
      </c>
      <c r="M2585" s="1" t="s">
        <v>54</v>
      </c>
      <c r="N2585" s="11">
        <f t="shared" si="40"/>
        <v>10</v>
      </c>
    </row>
    <row r="2586" spans="1:14" ht="16" x14ac:dyDescent="0.2">
      <c r="A2586" s="3">
        <v>43605.588254087837</v>
      </c>
      <c r="B2586" s="1" t="s">
        <v>2859</v>
      </c>
      <c r="C2586" t="s">
        <v>261</v>
      </c>
      <c r="D2586">
        <v>8</v>
      </c>
      <c r="E2586">
        <v>92</v>
      </c>
      <c r="F2586">
        <v>46</v>
      </c>
      <c r="G2586">
        <v>736</v>
      </c>
      <c r="H2586" s="4">
        <v>368</v>
      </c>
      <c r="I2586" s="4">
        <v>368</v>
      </c>
      <c r="J2586" t="s">
        <v>1136</v>
      </c>
      <c r="K2586" t="s">
        <v>49</v>
      </c>
      <c r="L2586" s="4">
        <v>14.129095302641241</v>
      </c>
      <c r="M2586" s="1" t="s">
        <v>54</v>
      </c>
      <c r="N2586" s="11">
        <f t="shared" si="40"/>
        <v>10</v>
      </c>
    </row>
    <row r="2587" spans="1:14" ht="16" x14ac:dyDescent="0.2">
      <c r="A2587" s="3">
        <v>44243.800141763029</v>
      </c>
      <c r="B2587" s="1" t="s">
        <v>2860</v>
      </c>
      <c r="C2587" t="s">
        <v>375</v>
      </c>
      <c r="D2587">
        <v>19</v>
      </c>
      <c r="E2587">
        <v>360</v>
      </c>
      <c r="F2587">
        <v>90</v>
      </c>
      <c r="G2587">
        <v>6840</v>
      </c>
      <c r="H2587" s="4">
        <v>1710</v>
      </c>
      <c r="I2587" s="4">
        <v>5130</v>
      </c>
      <c r="J2587" t="s">
        <v>686</v>
      </c>
      <c r="K2587" t="s">
        <v>86</v>
      </c>
      <c r="L2587" s="4">
        <v>8.1595626482464514</v>
      </c>
      <c r="M2587" s="1" t="s">
        <v>34</v>
      </c>
      <c r="N2587" s="11">
        <f t="shared" si="40"/>
        <v>1</v>
      </c>
    </row>
    <row r="2588" spans="1:14" ht="16" x14ac:dyDescent="0.2">
      <c r="A2588" s="3">
        <v>43651.572602656786</v>
      </c>
      <c r="B2588" s="1" t="s">
        <v>2861</v>
      </c>
      <c r="C2588" t="s">
        <v>592</v>
      </c>
      <c r="D2588">
        <v>7</v>
      </c>
      <c r="E2588">
        <v>312</v>
      </c>
      <c r="F2588">
        <v>78</v>
      </c>
      <c r="G2588">
        <v>2184</v>
      </c>
      <c r="H2588" s="4">
        <v>546</v>
      </c>
      <c r="I2588" s="4">
        <v>1638</v>
      </c>
      <c r="J2588" t="s">
        <v>603</v>
      </c>
      <c r="K2588" t="s">
        <v>64</v>
      </c>
      <c r="L2588" s="4">
        <v>11.072271050116964</v>
      </c>
      <c r="M2588" s="1" t="s">
        <v>34</v>
      </c>
      <c r="N2588" s="11">
        <f t="shared" si="40"/>
        <v>1</v>
      </c>
    </row>
    <row r="2589" spans="1:14" ht="16" x14ac:dyDescent="0.2">
      <c r="A2589" s="3">
        <v>44779.175277364957</v>
      </c>
      <c r="B2589" s="1" t="s">
        <v>2862</v>
      </c>
      <c r="C2589" t="s">
        <v>365</v>
      </c>
      <c r="D2589">
        <v>18</v>
      </c>
      <c r="E2589">
        <v>255</v>
      </c>
      <c r="F2589">
        <v>85</v>
      </c>
      <c r="G2589">
        <v>4590</v>
      </c>
      <c r="H2589" s="4">
        <v>1530</v>
      </c>
      <c r="I2589" s="4">
        <v>3060</v>
      </c>
      <c r="J2589" t="s">
        <v>643</v>
      </c>
      <c r="K2589" t="s">
        <v>33</v>
      </c>
      <c r="L2589" s="4">
        <v>12.275875773922367</v>
      </c>
      <c r="M2589" s="1" t="s">
        <v>38</v>
      </c>
      <c r="N2589" s="11">
        <f t="shared" si="40"/>
        <v>5</v>
      </c>
    </row>
    <row r="2590" spans="1:14" ht="16" x14ac:dyDescent="0.2">
      <c r="A2590" s="3">
        <v>43963.159809014607</v>
      </c>
      <c r="B2590" s="1" t="s">
        <v>2863</v>
      </c>
      <c r="C2590" t="s">
        <v>328</v>
      </c>
      <c r="D2590">
        <v>15</v>
      </c>
      <c r="E2590">
        <v>124</v>
      </c>
      <c r="F2590">
        <v>62</v>
      </c>
      <c r="G2590">
        <v>1860</v>
      </c>
      <c r="H2590" s="4">
        <v>930</v>
      </c>
      <c r="I2590" s="4">
        <v>930</v>
      </c>
      <c r="J2590" t="s">
        <v>471</v>
      </c>
      <c r="K2590" t="s">
        <v>58</v>
      </c>
      <c r="L2590" s="4">
        <v>10.764293826791503</v>
      </c>
      <c r="M2590" s="1" t="s">
        <v>38</v>
      </c>
      <c r="N2590" s="11">
        <f t="shared" si="40"/>
        <v>5</v>
      </c>
    </row>
    <row r="2591" spans="1:14" ht="16" x14ac:dyDescent="0.2">
      <c r="A2591" s="3">
        <v>44688.710355371746</v>
      </c>
      <c r="B2591" s="1" t="s">
        <v>2864</v>
      </c>
      <c r="C2591" t="s">
        <v>288</v>
      </c>
      <c r="D2591">
        <v>19</v>
      </c>
      <c r="E2591">
        <v>48</v>
      </c>
      <c r="F2591">
        <v>24</v>
      </c>
      <c r="G2591">
        <v>912</v>
      </c>
      <c r="H2591" s="4">
        <v>456</v>
      </c>
      <c r="I2591" s="4">
        <v>456</v>
      </c>
      <c r="J2591" t="s">
        <v>238</v>
      </c>
      <c r="K2591" t="s">
        <v>86</v>
      </c>
      <c r="L2591" s="4">
        <v>14.593670394271927</v>
      </c>
      <c r="M2591" s="1" t="s">
        <v>38</v>
      </c>
      <c r="N2591" s="11">
        <f t="shared" si="40"/>
        <v>5</v>
      </c>
    </row>
    <row r="2592" spans="1:14" ht="16" x14ac:dyDescent="0.2">
      <c r="A2592" s="3">
        <v>43945.933709059886</v>
      </c>
      <c r="B2592" s="1" t="s">
        <v>2865</v>
      </c>
      <c r="C2592" t="s">
        <v>218</v>
      </c>
      <c r="D2592">
        <v>12</v>
      </c>
      <c r="E2592">
        <v>264</v>
      </c>
      <c r="F2592">
        <v>88</v>
      </c>
      <c r="G2592">
        <v>3168</v>
      </c>
      <c r="H2592" s="4">
        <v>1056</v>
      </c>
      <c r="I2592" s="4">
        <v>2112</v>
      </c>
      <c r="J2592" t="s">
        <v>155</v>
      </c>
      <c r="K2592" t="s">
        <v>42</v>
      </c>
      <c r="L2592" s="4">
        <v>13.378080355059918</v>
      </c>
      <c r="M2592" s="1" t="s">
        <v>38</v>
      </c>
      <c r="N2592" s="11">
        <f t="shared" si="40"/>
        <v>5</v>
      </c>
    </row>
    <row r="2593" spans="1:14" ht="16" x14ac:dyDescent="0.2">
      <c r="A2593" s="3">
        <v>43668.819274726826</v>
      </c>
      <c r="B2593" s="1" t="s">
        <v>2866</v>
      </c>
      <c r="C2593" t="s">
        <v>312</v>
      </c>
      <c r="D2593">
        <v>14</v>
      </c>
      <c r="E2593">
        <v>240</v>
      </c>
      <c r="F2593">
        <v>80</v>
      </c>
      <c r="G2593">
        <v>3360</v>
      </c>
      <c r="H2593" s="4">
        <v>1120</v>
      </c>
      <c r="I2593" s="4">
        <v>2240</v>
      </c>
      <c r="J2593" t="s">
        <v>455</v>
      </c>
      <c r="K2593" t="s">
        <v>53</v>
      </c>
      <c r="L2593" s="4">
        <v>13.574227261506472</v>
      </c>
      <c r="M2593" s="1" t="s">
        <v>38</v>
      </c>
      <c r="N2593" s="11">
        <f t="shared" si="40"/>
        <v>5</v>
      </c>
    </row>
    <row r="2594" spans="1:14" ht="16" x14ac:dyDescent="0.2">
      <c r="A2594" s="3">
        <v>44451.685587793312</v>
      </c>
      <c r="B2594" s="1" t="s">
        <v>2867</v>
      </c>
      <c r="C2594" t="s">
        <v>487</v>
      </c>
      <c r="D2594">
        <v>2</v>
      </c>
      <c r="E2594">
        <v>264</v>
      </c>
      <c r="F2594">
        <v>88</v>
      </c>
      <c r="G2594">
        <v>528</v>
      </c>
      <c r="H2594" s="4">
        <v>176</v>
      </c>
      <c r="I2594" s="4">
        <v>352</v>
      </c>
      <c r="J2594" t="s">
        <v>819</v>
      </c>
      <c r="K2594" t="s">
        <v>86</v>
      </c>
      <c r="L2594" s="4">
        <v>12.155895475340943</v>
      </c>
      <c r="M2594" s="1" t="s">
        <v>54</v>
      </c>
      <c r="N2594" s="11">
        <f t="shared" si="40"/>
        <v>10</v>
      </c>
    </row>
    <row r="2595" spans="1:14" ht="16" x14ac:dyDescent="0.2">
      <c r="A2595" s="3">
        <v>43963.396474765868</v>
      </c>
      <c r="B2595" s="1" t="s">
        <v>2868</v>
      </c>
      <c r="C2595" t="s">
        <v>583</v>
      </c>
      <c r="D2595">
        <v>4</v>
      </c>
      <c r="E2595">
        <v>57</v>
      </c>
      <c r="F2595">
        <v>19</v>
      </c>
      <c r="G2595">
        <v>228</v>
      </c>
      <c r="H2595" s="4">
        <v>76</v>
      </c>
      <c r="I2595" s="4">
        <v>152</v>
      </c>
      <c r="J2595" t="s">
        <v>179</v>
      </c>
      <c r="K2595" t="s">
        <v>53</v>
      </c>
      <c r="L2595" s="4">
        <v>11.36085047138285</v>
      </c>
      <c r="M2595" s="1" t="s">
        <v>38</v>
      </c>
      <c r="N2595" s="11">
        <f t="shared" si="40"/>
        <v>5</v>
      </c>
    </row>
    <row r="2596" spans="1:14" ht="16" x14ac:dyDescent="0.2">
      <c r="A2596" s="3">
        <v>43916.266493017712</v>
      </c>
      <c r="B2596" s="1" t="s">
        <v>2869</v>
      </c>
      <c r="C2596" t="s">
        <v>255</v>
      </c>
      <c r="D2596">
        <v>10</v>
      </c>
      <c r="E2596">
        <v>140</v>
      </c>
      <c r="F2596">
        <v>70</v>
      </c>
      <c r="G2596">
        <v>1400</v>
      </c>
      <c r="H2596" s="4">
        <v>700</v>
      </c>
      <c r="I2596" s="4">
        <v>700</v>
      </c>
      <c r="J2596" t="s">
        <v>474</v>
      </c>
      <c r="K2596" t="s">
        <v>33</v>
      </c>
      <c r="L2596" s="4">
        <v>9.629298039722805</v>
      </c>
      <c r="M2596" s="1" t="s">
        <v>54</v>
      </c>
      <c r="N2596" s="11">
        <f t="shared" si="40"/>
        <v>10</v>
      </c>
    </row>
    <row r="2597" spans="1:14" ht="16" x14ac:dyDescent="0.2">
      <c r="A2597" s="3">
        <v>43737.09792182711</v>
      </c>
      <c r="B2597" s="1" t="s">
        <v>2870</v>
      </c>
      <c r="C2597" t="s">
        <v>592</v>
      </c>
      <c r="D2597">
        <v>20</v>
      </c>
      <c r="E2597">
        <v>312</v>
      </c>
      <c r="F2597">
        <v>78</v>
      </c>
      <c r="G2597">
        <v>6240</v>
      </c>
      <c r="H2597" s="4">
        <v>1560</v>
      </c>
      <c r="I2597" s="4">
        <v>4680</v>
      </c>
      <c r="J2597" t="s">
        <v>354</v>
      </c>
      <c r="K2597" t="s">
        <v>42</v>
      </c>
      <c r="L2597" s="4">
        <v>13.518413464873573</v>
      </c>
      <c r="M2597" s="1" t="s">
        <v>54</v>
      </c>
      <c r="N2597" s="11">
        <f t="shared" si="40"/>
        <v>10</v>
      </c>
    </row>
    <row r="2598" spans="1:14" ht="16" x14ac:dyDescent="0.2">
      <c r="A2598" s="3">
        <v>44242.13501790836</v>
      </c>
      <c r="B2598" s="1" t="s">
        <v>1481</v>
      </c>
      <c r="C2598" t="s">
        <v>204</v>
      </c>
      <c r="D2598">
        <v>11</v>
      </c>
      <c r="E2598">
        <v>57</v>
      </c>
      <c r="F2598">
        <v>19</v>
      </c>
      <c r="G2598">
        <v>627</v>
      </c>
      <c r="H2598" s="4">
        <v>209</v>
      </c>
      <c r="I2598" s="4">
        <v>418</v>
      </c>
      <c r="J2598" t="s">
        <v>406</v>
      </c>
      <c r="K2598" t="s">
        <v>58</v>
      </c>
      <c r="L2598" s="4">
        <v>11.082295381980092</v>
      </c>
      <c r="M2598" s="1" t="s">
        <v>38</v>
      </c>
      <c r="N2598" s="11">
        <f t="shared" si="40"/>
        <v>5</v>
      </c>
    </row>
    <row r="2599" spans="1:14" ht="16" x14ac:dyDescent="0.2">
      <c r="A2599" s="3">
        <v>43675.481469485436</v>
      </c>
      <c r="B2599" s="1" t="s">
        <v>2871</v>
      </c>
      <c r="C2599" t="s">
        <v>399</v>
      </c>
      <c r="D2599">
        <v>12</v>
      </c>
      <c r="E2599">
        <v>160</v>
      </c>
      <c r="F2599">
        <v>80</v>
      </c>
      <c r="G2599">
        <v>1920</v>
      </c>
      <c r="H2599" s="4">
        <v>960</v>
      </c>
      <c r="I2599" s="4">
        <v>960</v>
      </c>
      <c r="J2599" t="s">
        <v>313</v>
      </c>
      <c r="K2599" t="s">
        <v>49</v>
      </c>
      <c r="L2599" s="4">
        <v>11.99399163482429</v>
      </c>
      <c r="M2599" s="1" t="s">
        <v>38</v>
      </c>
      <c r="N2599" s="11">
        <f t="shared" si="40"/>
        <v>5</v>
      </c>
    </row>
    <row r="2600" spans="1:14" ht="16" x14ac:dyDescent="0.2">
      <c r="A2600" s="3">
        <v>43844.09832163027</v>
      </c>
      <c r="B2600" s="1" t="s">
        <v>2872</v>
      </c>
      <c r="C2600" t="s">
        <v>44</v>
      </c>
      <c r="D2600">
        <v>13</v>
      </c>
      <c r="E2600">
        <v>114</v>
      </c>
      <c r="F2600">
        <v>57</v>
      </c>
      <c r="G2600">
        <v>1482</v>
      </c>
      <c r="H2600" s="4">
        <v>741</v>
      </c>
      <c r="I2600" s="4">
        <v>741</v>
      </c>
      <c r="J2600" t="s">
        <v>387</v>
      </c>
      <c r="K2600" t="s">
        <v>86</v>
      </c>
      <c r="L2600" s="4">
        <v>15.60430546146185</v>
      </c>
      <c r="M2600" s="1" t="s">
        <v>38</v>
      </c>
      <c r="N2600" s="11">
        <f t="shared" si="40"/>
        <v>5</v>
      </c>
    </row>
    <row r="2601" spans="1:14" ht="16" x14ac:dyDescent="0.2">
      <c r="A2601" s="3">
        <v>43573.516439696716</v>
      </c>
      <c r="B2601" s="1" t="s">
        <v>1994</v>
      </c>
      <c r="C2601" t="s">
        <v>547</v>
      </c>
      <c r="D2601">
        <v>9</v>
      </c>
      <c r="E2601">
        <v>300</v>
      </c>
      <c r="F2601">
        <v>75</v>
      </c>
      <c r="G2601">
        <v>2700</v>
      </c>
      <c r="H2601" s="4">
        <v>675</v>
      </c>
      <c r="I2601" s="4">
        <v>2025</v>
      </c>
      <c r="J2601" t="s">
        <v>143</v>
      </c>
      <c r="K2601" t="s">
        <v>64</v>
      </c>
      <c r="L2601" s="4">
        <v>11.406233913305266</v>
      </c>
      <c r="M2601" s="1" t="s">
        <v>34</v>
      </c>
      <c r="N2601" s="11">
        <f t="shared" si="40"/>
        <v>1</v>
      </c>
    </row>
    <row r="2602" spans="1:14" ht="16" x14ac:dyDescent="0.2">
      <c r="A2602" s="3">
        <v>43836.957272751308</v>
      </c>
      <c r="B2602" s="1" t="s">
        <v>2873</v>
      </c>
      <c r="C2602" t="s">
        <v>431</v>
      </c>
      <c r="D2602">
        <v>1</v>
      </c>
      <c r="E2602">
        <v>356</v>
      </c>
      <c r="F2602">
        <v>89</v>
      </c>
      <c r="G2602">
        <v>356</v>
      </c>
      <c r="H2602" s="4">
        <v>89</v>
      </c>
      <c r="I2602" s="4">
        <v>267</v>
      </c>
      <c r="J2602" t="s">
        <v>108</v>
      </c>
      <c r="K2602" t="s">
        <v>64</v>
      </c>
      <c r="L2602" s="4">
        <v>9.7467096260695598</v>
      </c>
      <c r="M2602" s="1" t="s">
        <v>34</v>
      </c>
      <c r="N2602" s="11">
        <f t="shared" si="40"/>
        <v>1</v>
      </c>
    </row>
    <row r="2603" spans="1:14" ht="16" x14ac:dyDescent="0.2">
      <c r="A2603" s="3">
        <v>44006.260547726633</v>
      </c>
      <c r="B2603" s="1" t="s">
        <v>2874</v>
      </c>
      <c r="C2603" t="s">
        <v>583</v>
      </c>
      <c r="D2603">
        <v>20</v>
      </c>
      <c r="E2603">
        <v>57</v>
      </c>
      <c r="F2603">
        <v>19</v>
      </c>
      <c r="G2603">
        <v>1140</v>
      </c>
      <c r="H2603" s="4">
        <v>380</v>
      </c>
      <c r="I2603" s="4">
        <v>760</v>
      </c>
      <c r="J2603" t="s">
        <v>1068</v>
      </c>
      <c r="K2603" t="s">
        <v>42</v>
      </c>
      <c r="L2603" s="4">
        <v>8.1352386075080023</v>
      </c>
      <c r="M2603" s="1" t="s">
        <v>34</v>
      </c>
      <c r="N2603" s="11">
        <f t="shared" si="40"/>
        <v>1</v>
      </c>
    </row>
    <row r="2604" spans="1:14" ht="16" x14ac:dyDescent="0.2">
      <c r="A2604" s="3">
        <v>43010.588453858698</v>
      </c>
      <c r="B2604" s="1" t="s">
        <v>2875</v>
      </c>
      <c r="C2604" t="s">
        <v>31</v>
      </c>
      <c r="D2604">
        <v>8</v>
      </c>
      <c r="E2604">
        <v>280</v>
      </c>
      <c r="F2604">
        <v>70</v>
      </c>
      <c r="G2604">
        <v>2240</v>
      </c>
      <c r="H2604" s="4">
        <v>560</v>
      </c>
      <c r="I2604" s="4">
        <v>1680</v>
      </c>
      <c r="J2604" t="s">
        <v>155</v>
      </c>
      <c r="K2604" t="s">
        <v>42</v>
      </c>
      <c r="L2604" s="4">
        <v>13.378080355059918</v>
      </c>
      <c r="M2604" s="1" t="s">
        <v>34</v>
      </c>
      <c r="N2604" s="11">
        <f t="shared" si="40"/>
        <v>1</v>
      </c>
    </row>
    <row r="2605" spans="1:14" ht="16" x14ac:dyDescent="0.2">
      <c r="A2605" s="3">
        <v>43916.535920375922</v>
      </c>
      <c r="B2605" s="1" t="s">
        <v>1609</v>
      </c>
      <c r="C2605" t="s">
        <v>391</v>
      </c>
      <c r="D2605">
        <v>9</v>
      </c>
      <c r="E2605">
        <v>72</v>
      </c>
      <c r="F2605">
        <v>36</v>
      </c>
      <c r="G2605">
        <v>648</v>
      </c>
      <c r="H2605" s="4">
        <v>324</v>
      </c>
      <c r="I2605" s="4">
        <v>324</v>
      </c>
      <c r="J2605" t="s">
        <v>82</v>
      </c>
      <c r="K2605" t="s">
        <v>58</v>
      </c>
      <c r="L2605" s="4">
        <v>13.45980057156361</v>
      </c>
      <c r="M2605" s="1" t="s">
        <v>38</v>
      </c>
      <c r="N2605" s="11">
        <f t="shared" si="40"/>
        <v>5</v>
      </c>
    </row>
    <row r="2606" spans="1:14" ht="16" x14ac:dyDescent="0.2">
      <c r="A2606" s="3">
        <v>44285.033839683019</v>
      </c>
      <c r="B2606" s="1" t="s">
        <v>2876</v>
      </c>
      <c r="C2606" t="s">
        <v>212</v>
      </c>
      <c r="D2606">
        <v>7</v>
      </c>
      <c r="E2606">
        <v>300</v>
      </c>
      <c r="F2606">
        <v>75</v>
      </c>
      <c r="G2606">
        <v>2100</v>
      </c>
      <c r="H2606" s="4">
        <v>525</v>
      </c>
      <c r="I2606" s="4">
        <v>1575</v>
      </c>
      <c r="J2606" t="s">
        <v>903</v>
      </c>
      <c r="K2606" t="s">
        <v>58</v>
      </c>
      <c r="L2606" s="4">
        <v>11.952554704438674</v>
      </c>
      <c r="M2606" s="1" t="s">
        <v>38</v>
      </c>
      <c r="N2606" s="11">
        <f t="shared" si="40"/>
        <v>5</v>
      </c>
    </row>
    <row r="2607" spans="1:14" ht="16" x14ac:dyDescent="0.2">
      <c r="A2607" s="3">
        <v>43412.604360449172</v>
      </c>
      <c r="B2607" s="1" t="s">
        <v>2877</v>
      </c>
      <c r="C2607" t="s">
        <v>375</v>
      </c>
      <c r="D2607">
        <v>20</v>
      </c>
      <c r="E2607">
        <v>360</v>
      </c>
      <c r="F2607">
        <v>90</v>
      </c>
      <c r="G2607">
        <v>7200</v>
      </c>
      <c r="H2607" s="4">
        <v>1800</v>
      </c>
      <c r="I2607" s="4">
        <v>5400</v>
      </c>
      <c r="J2607" t="s">
        <v>854</v>
      </c>
      <c r="K2607" t="s">
        <v>58</v>
      </c>
      <c r="L2607" s="4">
        <v>12.990345718839325</v>
      </c>
      <c r="M2607" s="1" t="s">
        <v>38</v>
      </c>
      <c r="N2607" s="11">
        <f t="shared" si="40"/>
        <v>5</v>
      </c>
    </row>
    <row r="2608" spans="1:14" ht="16" x14ac:dyDescent="0.2">
      <c r="A2608" s="3">
        <v>43925.220916882317</v>
      </c>
      <c r="B2608" s="1" t="s">
        <v>1635</v>
      </c>
      <c r="C2608" t="s">
        <v>81</v>
      </c>
      <c r="D2608">
        <v>13</v>
      </c>
      <c r="E2608">
        <v>166</v>
      </c>
      <c r="F2608">
        <v>83</v>
      </c>
      <c r="G2608">
        <v>2158</v>
      </c>
      <c r="H2608" s="4">
        <v>1079</v>
      </c>
      <c r="I2608" s="4">
        <v>1079</v>
      </c>
      <c r="J2608" t="s">
        <v>958</v>
      </c>
      <c r="K2608" t="s">
        <v>58</v>
      </c>
      <c r="L2608" s="4">
        <v>9.1591412531773226</v>
      </c>
      <c r="M2608" s="1" t="s">
        <v>34</v>
      </c>
      <c r="N2608" s="11">
        <f t="shared" si="40"/>
        <v>1</v>
      </c>
    </row>
    <row r="2609" spans="1:14" ht="16" x14ac:dyDescent="0.2">
      <c r="A2609" s="3">
        <v>44362.513798744585</v>
      </c>
      <c r="B2609" s="1" t="s">
        <v>2878</v>
      </c>
      <c r="C2609" t="s">
        <v>105</v>
      </c>
      <c r="D2609">
        <v>17</v>
      </c>
      <c r="E2609">
        <v>201</v>
      </c>
      <c r="F2609">
        <v>67</v>
      </c>
      <c r="G2609">
        <v>3417</v>
      </c>
      <c r="H2609" s="4">
        <v>1139</v>
      </c>
      <c r="I2609" s="4">
        <v>2278</v>
      </c>
      <c r="J2609" t="s">
        <v>313</v>
      </c>
      <c r="K2609" t="s">
        <v>49</v>
      </c>
      <c r="L2609" s="4">
        <v>11.99399163482429</v>
      </c>
      <c r="M2609" s="1" t="s">
        <v>38</v>
      </c>
      <c r="N2609" s="11">
        <f t="shared" si="40"/>
        <v>5</v>
      </c>
    </row>
    <row r="2610" spans="1:14" ht="16" x14ac:dyDescent="0.2">
      <c r="A2610" s="3">
        <v>43556.234999350723</v>
      </c>
      <c r="B2610" s="1" t="s">
        <v>2879</v>
      </c>
      <c r="C2610" t="s">
        <v>297</v>
      </c>
      <c r="D2610">
        <v>7</v>
      </c>
      <c r="E2610">
        <v>108</v>
      </c>
      <c r="F2610">
        <v>36</v>
      </c>
      <c r="G2610">
        <v>756</v>
      </c>
      <c r="H2610" s="4">
        <v>252</v>
      </c>
      <c r="I2610" s="4">
        <v>504</v>
      </c>
      <c r="J2610" t="s">
        <v>241</v>
      </c>
      <c r="K2610" t="s">
        <v>33</v>
      </c>
      <c r="L2610" s="4">
        <v>11.274864741138284</v>
      </c>
      <c r="M2610" s="1" t="s">
        <v>38</v>
      </c>
      <c r="N2610" s="11">
        <f t="shared" si="40"/>
        <v>5</v>
      </c>
    </row>
    <row r="2611" spans="1:14" ht="16" x14ac:dyDescent="0.2">
      <c r="A2611" s="3">
        <v>43625.807518063586</v>
      </c>
      <c r="B2611" s="1" t="s">
        <v>239</v>
      </c>
      <c r="C2611" t="s">
        <v>196</v>
      </c>
      <c r="D2611">
        <v>3</v>
      </c>
      <c r="E2611">
        <v>192</v>
      </c>
      <c r="F2611">
        <v>96</v>
      </c>
      <c r="G2611">
        <v>576</v>
      </c>
      <c r="H2611" s="4">
        <v>288</v>
      </c>
      <c r="I2611" s="4">
        <v>288</v>
      </c>
      <c r="J2611" t="s">
        <v>295</v>
      </c>
      <c r="K2611" t="s">
        <v>42</v>
      </c>
      <c r="L2611" s="4">
        <v>14.906846445071711</v>
      </c>
      <c r="M2611" s="1" t="s">
        <v>38</v>
      </c>
      <c r="N2611" s="11">
        <f t="shared" si="40"/>
        <v>5</v>
      </c>
    </row>
    <row r="2612" spans="1:14" ht="16" x14ac:dyDescent="0.2">
      <c r="A2612" s="3">
        <v>44825.66283385954</v>
      </c>
      <c r="B2612" s="1" t="s">
        <v>2880</v>
      </c>
      <c r="C2612" t="s">
        <v>425</v>
      </c>
      <c r="D2612">
        <v>15</v>
      </c>
      <c r="E2612">
        <v>352</v>
      </c>
      <c r="F2612">
        <v>88</v>
      </c>
      <c r="G2612">
        <v>5280</v>
      </c>
      <c r="H2612" s="4">
        <v>1320</v>
      </c>
      <c r="I2612" s="4">
        <v>3960</v>
      </c>
      <c r="J2612" t="s">
        <v>701</v>
      </c>
      <c r="K2612" t="s">
        <v>42</v>
      </c>
      <c r="L2612" s="4">
        <v>10.434860153112215</v>
      </c>
      <c r="M2612" s="1" t="s">
        <v>54</v>
      </c>
      <c r="N2612" s="11">
        <f t="shared" si="40"/>
        <v>10</v>
      </c>
    </row>
    <row r="2613" spans="1:14" ht="16" x14ac:dyDescent="0.2">
      <c r="A2613" s="3">
        <v>44473.10334718832</v>
      </c>
      <c r="B2613" s="1" t="s">
        <v>1834</v>
      </c>
      <c r="C2613" t="s">
        <v>340</v>
      </c>
      <c r="D2613">
        <v>15</v>
      </c>
      <c r="E2613">
        <v>180</v>
      </c>
      <c r="F2613">
        <v>45</v>
      </c>
      <c r="G2613">
        <v>2700</v>
      </c>
      <c r="H2613" s="4">
        <v>675</v>
      </c>
      <c r="I2613" s="4">
        <v>2025</v>
      </c>
      <c r="J2613" t="s">
        <v>408</v>
      </c>
      <c r="K2613" t="s">
        <v>42</v>
      </c>
      <c r="L2613" s="4">
        <v>9.1877733607656964</v>
      </c>
      <c r="M2613" s="1" t="s">
        <v>54</v>
      </c>
      <c r="N2613" s="11">
        <f t="shared" si="40"/>
        <v>10</v>
      </c>
    </row>
    <row r="2614" spans="1:14" ht="16" x14ac:dyDescent="0.2">
      <c r="A2614" s="3">
        <v>44424.431387631063</v>
      </c>
      <c r="B2614" s="1" t="s">
        <v>2881</v>
      </c>
      <c r="C2614" t="s">
        <v>261</v>
      </c>
      <c r="D2614">
        <v>9</v>
      </c>
      <c r="E2614">
        <v>92</v>
      </c>
      <c r="F2614">
        <v>46</v>
      </c>
      <c r="G2614">
        <v>828</v>
      </c>
      <c r="H2614" s="4">
        <v>414</v>
      </c>
      <c r="I2614" s="4">
        <v>414</v>
      </c>
      <c r="J2614" t="s">
        <v>1432</v>
      </c>
      <c r="K2614" t="s">
        <v>53</v>
      </c>
      <c r="L2614" s="4">
        <v>13.2671922973198</v>
      </c>
      <c r="M2614" s="1" t="s">
        <v>34</v>
      </c>
      <c r="N2614" s="11">
        <f t="shared" si="40"/>
        <v>1</v>
      </c>
    </row>
    <row r="2615" spans="1:14" ht="16" x14ac:dyDescent="0.2">
      <c r="A2615" s="3">
        <v>44566.126578953801</v>
      </c>
      <c r="B2615" s="1" t="s">
        <v>2882</v>
      </c>
      <c r="C2615" t="s">
        <v>145</v>
      </c>
      <c r="D2615">
        <v>2</v>
      </c>
      <c r="E2615">
        <v>207</v>
      </c>
      <c r="F2615">
        <v>69</v>
      </c>
      <c r="G2615">
        <v>414</v>
      </c>
      <c r="H2615" s="4">
        <v>138</v>
      </c>
      <c r="I2615" s="4">
        <v>276</v>
      </c>
      <c r="J2615" t="s">
        <v>462</v>
      </c>
      <c r="K2615" t="s">
        <v>86</v>
      </c>
      <c r="L2615" s="4">
        <v>12.732640267350657</v>
      </c>
      <c r="M2615" s="1" t="s">
        <v>34</v>
      </c>
      <c r="N2615" s="11">
        <f t="shared" si="40"/>
        <v>1</v>
      </c>
    </row>
    <row r="2616" spans="1:14" ht="16" x14ac:dyDescent="0.2">
      <c r="A2616" s="3">
        <v>43853.082003261829</v>
      </c>
      <c r="B2616" s="1" t="s">
        <v>1324</v>
      </c>
      <c r="C2616" t="s">
        <v>240</v>
      </c>
      <c r="D2616">
        <v>4</v>
      </c>
      <c r="E2616">
        <v>108</v>
      </c>
      <c r="F2616">
        <v>54</v>
      </c>
      <c r="G2616">
        <v>432</v>
      </c>
      <c r="H2616" s="4">
        <v>216</v>
      </c>
      <c r="I2616" s="4">
        <v>216</v>
      </c>
      <c r="J2616" t="s">
        <v>82</v>
      </c>
      <c r="K2616" t="s">
        <v>58</v>
      </c>
      <c r="L2616" s="4">
        <v>13.45980057156361</v>
      </c>
      <c r="M2616" s="1" t="s">
        <v>38</v>
      </c>
      <c r="N2616" s="11">
        <f t="shared" si="40"/>
        <v>5</v>
      </c>
    </row>
    <row r="2617" spans="1:14" ht="16" x14ac:dyDescent="0.2">
      <c r="A2617" s="3">
        <v>44101.011782026435</v>
      </c>
      <c r="B2617" s="1" t="s">
        <v>2057</v>
      </c>
      <c r="C2617" t="s">
        <v>276</v>
      </c>
      <c r="D2617">
        <v>18</v>
      </c>
      <c r="E2617">
        <v>57</v>
      </c>
      <c r="F2617">
        <v>19</v>
      </c>
      <c r="G2617">
        <v>1026</v>
      </c>
      <c r="H2617" s="4">
        <v>342</v>
      </c>
      <c r="I2617" s="4">
        <v>684</v>
      </c>
      <c r="J2617" t="s">
        <v>968</v>
      </c>
      <c r="K2617" t="s">
        <v>42</v>
      </c>
      <c r="L2617" s="4">
        <v>11.961761925704458</v>
      </c>
      <c r="M2617" s="1" t="s">
        <v>38</v>
      </c>
      <c r="N2617" s="11">
        <f t="shared" si="40"/>
        <v>5</v>
      </c>
    </row>
    <row r="2618" spans="1:14" ht="16" x14ac:dyDescent="0.2">
      <c r="A2618" s="3">
        <v>43522.077607078209</v>
      </c>
      <c r="B2618" s="1" t="s">
        <v>2883</v>
      </c>
      <c r="C2618" t="s">
        <v>66</v>
      </c>
      <c r="D2618">
        <v>16</v>
      </c>
      <c r="E2618">
        <v>144</v>
      </c>
      <c r="F2618">
        <v>48</v>
      </c>
      <c r="G2618">
        <v>2304</v>
      </c>
      <c r="H2618" s="4">
        <v>768</v>
      </c>
      <c r="I2618" s="4">
        <v>1536</v>
      </c>
      <c r="J2618" t="s">
        <v>408</v>
      </c>
      <c r="K2618" t="s">
        <v>42</v>
      </c>
      <c r="L2618" s="4">
        <v>9.1877733607656964</v>
      </c>
      <c r="M2618" s="1" t="s">
        <v>34</v>
      </c>
      <c r="N2618" s="11">
        <f t="shared" si="40"/>
        <v>1</v>
      </c>
    </row>
    <row r="2619" spans="1:14" ht="16" x14ac:dyDescent="0.2">
      <c r="A2619" s="3">
        <v>44056.299770000085</v>
      </c>
      <c r="B2619" s="1" t="s">
        <v>2884</v>
      </c>
      <c r="C2619" t="s">
        <v>391</v>
      </c>
      <c r="D2619">
        <v>10</v>
      </c>
      <c r="E2619">
        <v>72</v>
      </c>
      <c r="F2619">
        <v>36</v>
      </c>
      <c r="G2619">
        <v>720</v>
      </c>
      <c r="H2619" s="4">
        <v>360</v>
      </c>
      <c r="I2619" s="4">
        <v>360</v>
      </c>
      <c r="J2619" t="s">
        <v>506</v>
      </c>
      <c r="K2619" t="s">
        <v>33</v>
      </c>
      <c r="L2619" s="4">
        <v>13.917704159139552</v>
      </c>
      <c r="M2619" s="1" t="s">
        <v>38</v>
      </c>
      <c r="N2619" s="11">
        <f t="shared" si="40"/>
        <v>5</v>
      </c>
    </row>
    <row r="2620" spans="1:14" ht="16" x14ac:dyDescent="0.2">
      <c r="A2620" s="3">
        <v>44161.760016441018</v>
      </c>
      <c r="B2620" s="1" t="s">
        <v>2885</v>
      </c>
      <c r="C2620" t="s">
        <v>337</v>
      </c>
      <c r="D2620">
        <v>19</v>
      </c>
      <c r="E2620">
        <v>135</v>
      </c>
      <c r="F2620">
        <v>45</v>
      </c>
      <c r="G2620">
        <v>2565</v>
      </c>
      <c r="H2620" s="4">
        <v>855</v>
      </c>
      <c r="I2620" s="4">
        <v>1710</v>
      </c>
      <c r="J2620" t="s">
        <v>691</v>
      </c>
      <c r="K2620" t="s">
        <v>33</v>
      </c>
      <c r="L2620" s="4">
        <v>10.248947386022252</v>
      </c>
      <c r="M2620" s="1" t="s">
        <v>38</v>
      </c>
      <c r="N2620" s="11">
        <f t="shared" si="40"/>
        <v>5</v>
      </c>
    </row>
    <row r="2621" spans="1:14" ht="16" x14ac:dyDescent="0.2">
      <c r="A2621" s="3">
        <v>42911.017680874087</v>
      </c>
      <c r="B2621" s="1" t="s">
        <v>2886</v>
      </c>
      <c r="C2621" t="s">
        <v>31</v>
      </c>
      <c r="D2621">
        <v>7</v>
      </c>
      <c r="E2621">
        <v>280</v>
      </c>
      <c r="F2621">
        <v>70</v>
      </c>
      <c r="G2621">
        <v>1960</v>
      </c>
      <c r="H2621" s="4">
        <v>490</v>
      </c>
      <c r="I2621" s="4">
        <v>1470</v>
      </c>
      <c r="J2621" t="s">
        <v>264</v>
      </c>
      <c r="K2621" t="s">
        <v>42</v>
      </c>
      <c r="L2621" s="4">
        <v>12.514998090845811</v>
      </c>
      <c r="M2621" s="1" t="s">
        <v>34</v>
      </c>
      <c r="N2621" s="11">
        <f t="shared" si="40"/>
        <v>1</v>
      </c>
    </row>
    <row r="2622" spans="1:14" ht="16" x14ac:dyDescent="0.2">
      <c r="A2622" s="3">
        <v>44370.984249315879</v>
      </c>
      <c r="B2622" s="1" t="s">
        <v>1110</v>
      </c>
      <c r="C2622" t="s">
        <v>93</v>
      </c>
      <c r="D2622">
        <v>6</v>
      </c>
      <c r="E2622">
        <v>204</v>
      </c>
      <c r="F2622">
        <v>51</v>
      </c>
      <c r="G2622">
        <v>1224</v>
      </c>
      <c r="H2622" s="4">
        <v>306</v>
      </c>
      <c r="I2622" s="4">
        <v>918</v>
      </c>
      <c r="J2622" t="s">
        <v>392</v>
      </c>
      <c r="K2622" t="s">
        <v>49</v>
      </c>
      <c r="L2622" s="4">
        <v>12.456740895640767</v>
      </c>
      <c r="M2622" s="1" t="s">
        <v>38</v>
      </c>
      <c r="N2622" s="11">
        <f t="shared" si="40"/>
        <v>5</v>
      </c>
    </row>
    <row r="2623" spans="1:14" ht="16" x14ac:dyDescent="0.2">
      <c r="A2623" s="3">
        <v>43263.564692004336</v>
      </c>
      <c r="B2623" s="1" t="s">
        <v>2887</v>
      </c>
      <c r="C2623" t="s">
        <v>110</v>
      </c>
      <c r="D2623">
        <v>14</v>
      </c>
      <c r="E2623">
        <v>144</v>
      </c>
      <c r="F2623">
        <v>36</v>
      </c>
      <c r="G2623">
        <v>2016</v>
      </c>
      <c r="H2623" s="4">
        <v>504</v>
      </c>
      <c r="I2623" s="4">
        <v>1512</v>
      </c>
      <c r="J2623" t="s">
        <v>432</v>
      </c>
      <c r="K2623" t="s">
        <v>49</v>
      </c>
      <c r="L2623" s="4">
        <v>13.857835104514242</v>
      </c>
      <c r="M2623" s="1" t="s">
        <v>38</v>
      </c>
      <c r="N2623" s="11">
        <f t="shared" si="40"/>
        <v>5</v>
      </c>
    </row>
    <row r="2624" spans="1:14" ht="16" x14ac:dyDescent="0.2">
      <c r="A2624" s="3">
        <v>43820.503632517975</v>
      </c>
      <c r="B2624" s="1" t="s">
        <v>2888</v>
      </c>
      <c r="C2624" t="s">
        <v>88</v>
      </c>
      <c r="D2624">
        <v>4</v>
      </c>
      <c r="E2624">
        <v>210</v>
      </c>
      <c r="F2624">
        <v>70</v>
      </c>
      <c r="G2624">
        <v>840</v>
      </c>
      <c r="H2624" s="4">
        <v>280</v>
      </c>
      <c r="I2624" s="4">
        <v>560</v>
      </c>
      <c r="J2624" t="s">
        <v>219</v>
      </c>
      <c r="K2624" t="s">
        <v>49</v>
      </c>
      <c r="L2624" s="4">
        <v>13.697485557052493</v>
      </c>
      <c r="M2624" s="1" t="s">
        <v>54</v>
      </c>
      <c r="N2624" s="11">
        <f t="shared" si="40"/>
        <v>10</v>
      </c>
    </row>
    <row r="2625" spans="1:14" ht="16" x14ac:dyDescent="0.2">
      <c r="A2625" s="3">
        <v>44792.47511409413</v>
      </c>
      <c r="B2625" s="1" t="s">
        <v>2889</v>
      </c>
      <c r="C2625" t="s">
        <v>151</v>
      </c>
      <c r="D2625">
        <v>8</v>
      </c>
      <c r="E2625">
        <v>153</v>
      </c>
      <c r="F2625">
        <v>51</v>
      </c>
      <c r="G2625">
        <v>1224</v>
      </c>
      <c r="H2625" s="4">
        <v>408</v>
      </c>
      <c r="I2625" s="4">
        <v>816</v>
      </c>
      <c r="J2625" t="s">
        <v>980</v>
      </c>
      <c r="K2625" t="s">
        <v>33</v>
      </c>
      <c r="L2625" s="4">
        <v>8.1743378387804331</v>
      </c>
      <c r="M2625" s="1" t="s">
        <v>38</v>
      </c>
      <c r="N2625" s="11">
        <f t="shared" si="40"/>
        <v>5</v>
      </c>
    </row>
    <row r="2626" spans="1:14" ht="16" x14ac:dyDescent="0.2">
      <c r="A2626" s="3">
        <v>44340.263318163627</v>
      </c>
      <c r="B2626" s="1" t="s">
        <v>2890</v>
      </c>
      <c r="C2626" t="s">
        <v>209</v>
      </c>
      <c r="D2626">
        <v>11</v>
      </c>
      <c r="E2626">
        <v>150</v>
      </c>
      <c r="F2626">
        <v>75</v>
      </c>
      <c r="G2626">
        <v>1650</v>
      </c>
      <c r="H2626" s="4">
        <v>825</v>
      </c>
      <c r="I2626" s="4">
        <v>825</v>
      </c>
      <c r="J2626" t="s">
        <v>574</v>
      </c>
      <c r="K2626" t="s">
        <v>58</v>
      </c>
      <c r="L2626" s="4">
        <v>13.150536103258979</v>
      </c>
      <c r="M2626" s="1" t="s">
        <v>34</v>
      </c>
      <c r="N2626" s="11">
        <f t="shared" si="40"/>
        <v>1</v>
      </c>
    </row>
    <row r="2627" spans="1:14" ht="16" x14ac:dyDescent="0.2">
      <c r="A2627" s="3">
        <v>44074.4123853739</v>
      </c>
      <c r="B2627" s="1" t="s">
        <v>2891</v>
      </c>
      <c r="C2627" t="s">
        <v>227</v>
      </c>
      <c r="D2627">
        <v>7</v>
      </c>
      <c r="E2627">
        <v>144</v>
      </c>
      <c r="F2627">
        <v>48</v>
      </c>
      <c r="G2627">
        <v>1008</v>
      </c>
      <c r="H2627" s="4">
        <v>336</v>
      </c>
      <c r="I2627" s="4">
        <v>672</v>
      </c>
      <c r="J2627" t="s">
        <v>1721</v>
      </c>
      <c r="K2627" t="s">
        <v>58</v>
      </c>
      <c r="L2627" s="4">
        <v>13.537350739681813</v>
      </c>
      <c r="M2627" s="1" t="s">
        <v>54</v>
      </c>
      <c r="N2627" s="11">
        <f t="shared" ref="N2627:N2690" si="41">+IF(M2627="Dissatisfied",1,IF(M2627="Satisfied",10,5))</f>
        <v>10</v>
      </c>
    </row>
    <row r="2628" spans="1:14" ht="16" x14ac:dyDescent="0.2">
      <c r="A2628" s="3">
        <v>44041.425769450856</v>
      </c>
      <c r="B2628" s="1" t="s">
        <v>2892</v>
      </c>
      <c r="C2628" t="s">
        <v>240</v>
      </c>
      <c r="D2628">
        <v>14</v>
      </c>
      <c r="E2628">
        <v>108</v>
      </c>
      <c r="F2628">
        <v>54</v>
      </c>
      <c r="G2628">
        <v>1512</v>
      </c>
      <c r="H2628" s="4">
        <v>756</v>
      </c>
      <c r="I2628" s="4">
        <v>756</v>
      </c>
      <c r="J2628" t="s">
        <v>1259</v>
      </c>
      <c r="K2628" t="s">
        <v>64</v>
      </c>
      <c r="L2628" s="4">
        <v>10.01033276255276</v>
      </c>
      <c r="M2628" s="1" t="s">
        <v>38</v>
      </c>
      <c r="N2628" s="11">
        <f t="shared" si="41"/>
        <v>5</v>
      </c>
    </row>
    <row r="2629" spans="1:14" ht="16" x14ac:dyDescent="0.2">
      <c r="A2629" s="3">
        <v>43189.841799292037</v>
      </c>
      <c r="B2629" s="1" t="s">
        <v>2893</v>
      </c>
      <c r="C2629" t="s">
        <v>204</v>
      </c>
      <c r="D2629">
        <v>7</v>
      </c>
      <c r="E2629">
        <v>57</v>
      </c>
      <c r="F2629">
        <v>19</v>
      </c>
      <c r="G2629">
        <v>399</v>
      </c>
      <c r="H2629" s="4">
        <v>133</v>
      </c>
      <c r="I2629" s="4">
        <v>266</v>
      </c>
      <c r="J2629" t="s">
        <v>564</v>
      </c>
      <c r="K2629" t="s">
        <v>53</v>
      </c>
      <c r="L2629" s="4">
        <v>11.563724686003232</v>
      </c>
      <c r="M2629" s="1" t="s">
        <v>38</v>
      </c>
      <c r="N2629" s="11">
        <f t="shared" si="41"/>
        <v>5</v>
      </c>
    </row>
    <row r="2630" spans="1:14" ht="16" x14ac:dyDescent="0.2">
      <c r="A2630" s="3">
        <v>44160.122298587434</v>
      </c>
      <c r="B2630" s="1" t="s">
        <v>2894</v>
      </c>
      <c r="C2630" t="s">
        <v>297</v>
      </c>
      <c r="D2630">
        <v>18</v>
      </c>
      <c r="E2630">
        <v>108</v>
      </c>
      <c r="F2630">
        <v>36</v>
      </c>
      <c r="G2630">
        <v>1944</v>
      </c>
      <c r="H2630" s="4">
        <v>648</v>
      </c>
      <c r="I2630" s="4">
        <v>1296</v>
      </c>
      <c r="J2630" t="s">
        <v>318</v>
      </c>
      <c r="K2630" t="s">
        <v>33</v>
      </c>
      <c r="L2630" s="4">
        <v>9.0350666811770921</v>
      </c>
      <c r="M2630" s="1" t="s">
        <v>54</v>
      </c>
      <c r="N2630" s="11">
        <f t="shared" si="41"/>
        <v>10</v>
      </c>
    </row>
    <row r="2631" spans="1:14" ht="16" x14ac:dyDescent="0.2">
      <c r="A2631" s="3">
        <v>44233.133412532487</v>
      </c>
      <c r="B2631" s="1" t="s">
        <v>2895</v>
      </c>
      <c r="C2631" t="s">
        <v>136</v>
      </c>
      <c r="D2631">
        <v>4</v>
      </c>
      <c r="E2631">
        <v>154</v>
      </c>
      <c r="F2631">
        <v>77</v>
      </c>
      <c r="G2631">
        <v>616</v>
      </c>
      <c r="H2631" s="4">
        <v>308</v>
      </c>
      <c r="I2631" s="4">
        <v>308</v>
      </c>
      <c r="J2631" t="s">
        <v>158</v>
      </c>
      <c r="K2631" t="s">
        <v>58</v>
      </c>
      <c r="L2631" s="4">
        <v>11.841063669683448</v>
      </c>
      <c r="M2631" s="1" t="s">
        <v>38</v>
      </c>
      <c r="N2631" s="11">
        <f t="shared" si="41"/>
        <v>5</v>
      </c>
    </row>
    <row r="2632" spans="1:14" ht="16" x14ac:dyDescent="0.2">
      <c r="A2632" s="3">
        <v>43946.116190154062</v>
      </c>
      <c r="B2632" s="1" t="s">
        <v>2896</v>
      </c>
      <c r="C2632" t="s">
        <v>255</v>
      </c>
      <c r="D2632">
        <v>6</v>
      </c>
      <c r="E2632">
        <v>140</v>
      </c>
      <c r="F2632">
        <v>70</v>
      </c>
      <c r="G2632">
        <v>840</v>
      </c>
      <c r="H2632" s="4">
        <v>420</v>
      </c>
      <c r="I2632" s="4">
        <v>420</v>
      </c>
      <c r="J2632" t="s">
        <v>262</v>
      </c>
      <c r="K2632" t="s">
        <v>86</v>
      </c>
      <c r="L2632" s="4">
        <v>12.796588406005421</v>
      </c>
      <c r="M2632" s="1" t="s">
        <v>38</v>
      </c>
      <c r="N2632" s="11">
        <f t="shared" si="41"/>
        <v>5</v>
      </c>
    </row>
    <row r="2633" spans="1:14" ht="16" x14ac:dyDescent="0.2">
      <c r="A2633" s="3">
        <v>44338.048669598931</v>
      </c>
      <c r="B2633" s="1" t="s">
        <v>2897</v>
      </c>
      <c r="C2633" t="s">
        <v>255</v>
      </c>
      <c r="D2633">
        <v>11</v>
      </c>
      <c r="E2633">
        <v>140</v>
      </c>
      <c r="F2633">
        <v>70</v>
      </c>
      <c r="G2633">
        <v>1540</v>
      </c>
      <c r="H2633" s="4">
        <v>770</v>
      </c>
      <c r="I2633" s="4">
        <v>770</v>
      </c>
      <c r="J2633" t="s">
        <v>555</v>
      </c>
      <c r="K2633" t="s">
        <v>53</v>
      </c>
      <c r="L2633" s="4">
        <v>14.341195386574373</v>
      </c>
      <c r="M2633" s="1" t="s">
        <v>38</v>
      </c>
      <c r="N2633" s="11">
        <f t="shared" si="41"/>
        <v>5</v>
      </c>
    </row>
    <row r="2634" spans="1:14" ht="16" x14ac:dyDescent="0.2">
      <c r="A2634" s="3">
        <v>43995.072609168041</v>
      </c>
      <c r="B2634" s="1" t="s">
        <v>2898</v>
      </c>
      <c r="C2634" t="s">
        <v>370</v>
      </c>
      <c r="D2634">
        <v>20</v>
      </c>
      <c r="E2634">
        <v>144</v>
      </c>
      <c r="F2634">
        <v>36</v>
      </c>
      <c r="G2634">
        <v>2880</v>
      </c>
      <c r="H2634" s="4">
        <v>720</v>
      </c>
      <c r="I2634" s="4">
        <v>2160</v>
      </c>
      <c r="J2634" t="s">
        <v>315</v>
      </c>
      <c r="K2634" t="s">
        <v>42</v>
      </c>
      <c r="L2634" s="4">
        <v>10.966283117837653</v>
      </c>
      <c r="M2634" s="1" t="s">
        <v>34</v>
      </c>
      <c r="N2634" s="11">
        <f t="shared" si="41"/>
        <v>1</v>
      </c>
    </row>
    <row r="2635" spans="1:14" ht="16" x14ac:dyDescent="0.2">
      <c r="A2635" s="3">
        <v>43563.058945305282</v>
      </c>
      <c r="B2635" s="1" t="s">
        <v>2899</v>
      </c>
      <c r="C2635" t="s">
        <v>547</v>
      </c>
      <c r="D2635">
        <v>6</v>
      </c>
      <c r="E2635">
        <v>300</v>
      </c>
      <c r="F2635">
        <v>75</v>
      </c>
      <c r="G2635">
        <v>1800</v>
      </c>
      <c r="H2635" s="4">
        <v>450</v>
      </c>
      <c r="I2635" s="4">
        <v>1350</v>
      </c>
      <c r="J2635" t="s">
        <v>752</v>
      </c>
      <c r="K2635" t="s">
        <v>49</v>
      </c>
      <c r="L2635" s="4">
        <v>11.862005526237752</v>
      </c>
      <c r="M2635" s="1" t="s">
        <v>54</v>
      </c>
      <c r="N2635" s="11">
        <f t="shared" si="41"/>
        <v>10</v>
      </c>
    </row>
    <row r="2636" spans="1:14" ht="16" x14ac:dyDescent="0.2">
      <c r="A2636" s="3">
        <v>44156.620776793607</v>
      </c>
      <c r="B2636" s="1" t="s">
        <v>2900</v>
      </c>
      <c r="C2636" t="s">
        <v>142</v>
      </c>
      <c r="D2636">
        <v>7</v>
      </c>
      <c r="E2636">
        <v>210</v>
      </c>
      <c r="F2636">
        <v>70</v>
      </c>
      <c r="G2636">
        <v>1470</v>
      </c>
      <c r="H2636" s="4">
        <v>490</v>
      </c>
      <c r="I2636" s="4">
        <v>980</v>
      </c>
      <c r="J2636" t="s">
        <v>1008</v>
      </c>
      <c r="K2636" t="s">
        <v>58</v>
      </c>
      <c r="L2636" s="4">
        <v>9.9471686551317795</v>
      </c>
      <c r="M2636" s="1" t="s">
        <v>38</v>
      </c>
      <c r="N2636" s="11">
        <f t="shared" si="41"/>
        <v>5</v>
      </c>
    </row>
    <row r="2637" spans="1:14" ht="16" x14ac:dyDescent="0.2">
      <c r="A2637" s="3">
        <v>44113.101922142276</v>
      </c>
      <c r="B2637" s="1" t="s">
        <v>2901</v>
      </c>
      <c r="C2637" t="s">
        <v>120</v>
      </c>
      <c r="D2637">
        <v>1</v>
      </c>
      <c r="E2637">
        <v>252</v>
      </c>
      <c r="F2637">
        <v>63</v>
      </c>
      <c r="G2637">
        <v>252</v>
      </c>
      <c r="H2637" s="4">
        <v>63</v>
      </c>
      <c r="I2637" s="4">
        <v>189</v>
      </c>
      <c r="J2637" t="s">
        <v>426</v>
      </c>
      <c r="K2637" t="s">
        <v>53</v>
      </c>
      <c r="L2637" s="4">
        <v>13.923194761258239</v>
      </c>
      <c r="M2637" s="1" t="s">
        <v>38</v>
      </c>
      <c r="N2637" s="11">
        <f t="shared" si="41"/>
        <v>5</v>
      </c>
    </row>
    <row r="2638" spans="1:14" ht="16" x14ac:dyDescent="0.2">
      <c r="A2638" s="3">
        <v>44326.131272493127</v>
      </c>
      <c r="B2638" s="1" t="s">
        <v>2902</v>
      </c>
      <c r="C2638" t="s">
        <v>779</v>
      </c>
      <c r="D2638">
        <v>12</v>
      </c>
      <c r="E2638">
        <v>120</v>
      </c>
      <c r="F2638">
        <v>30</v>
      </c>
      <c r="G2638">
        <v>1440</v>
      </c>
      <c r="H2638" s="4">
        <v>360</v>
      </c>
      <c r="I2638" s="4">
        <v>1080</v>
      </c>
      <c r="J2638" t="s">
        <v>48</v>
      </c>
      <c r="K2638" t="s">
        <v>49</v>
      </c>
      <c r="L2638" s="4">
        <v>15.24190997853951</v>
      </c>
      <c r="M2638" s="1" t="s">
        <v>54</v>
      </c>
      <c r="N2638" s="11">
        <f t="shared" si="41"/>
        <v>10</v>
      </c>
    </row>
    <row r="2639" spans="1:14" ht="16" x14ac:dyDescent="0.2">
      <c r="A2639" s="3">
        <v>43756.709151058167</v>
      </c>
      <c r="B2639" s="1" t="s">
        <v>2903</v>
      </c>
      <c r="C2639" t="s">
        <v>175</v>
      </c>
      <c r="D2639">
        <v>18</v>
      </c>
      <c r="E2639">
        <v>38</v>
      </c>
      <c r="F2639">
        <v>19</v>
      </c>
      <c r="G2639">
        <v>684</v>
      </c>
      <c r="H2639" s="4">
        <v>342</v>
      </c>
      <c r="I2639" s="4">
        <v>342</v>
      </c>
      <c r="J2639" t="s">
        <v>202</v>
      </c>
      <c r="K2639" t="s">
        <v>58</v>
      </c>
      <c r="L2639" s="4">
        <v>13.765798454641494</v>
      </c>
      <c r="M2639" s="1" t="s">
        <v>38</v>
      </c>
      <c r="N2639" s="11">
        <f t="shared" si="41"/>
        <v>5</v>
      </c>
    </row>
    <row r="2640" spans="1:14" ht="16" x14ac:dyDescent="0.2">
      <c r="A2640" s="3">
        <v>43682.877163894467</v>
      </c>
      <c r="B2640" s="1" t="s">
        <v>2904</v>
      </c>
      <c r="C2640" t="s">
        <v>98</v>
      </c>
      <c r="D2640">
        <v>17</v>
      </c>
      <c r="E2640">
        <v>156</v>
      </c>
      <c r="F2640">
        <v>78</v>
      </c>
      <c r="G2640">
        <v>2652</v>
      </c>
      <c r="H2640" s="4">
        <v>1326</v>
      </c>
      <c r="I2640" s="4">
        <v>1326</v>
      </c>
      <c r="J2640" t="s">
        <v>143</v>
      </c>
      <c r="K2640" t="s">
        <v>64</v>
      </c>
      <c r="L2640" s="4">
        <v>11.406233913305266</v>
      </c>
      <c r="M2640" s="1" t="s">
        <v>54</v>
      </c>
      <c r="N2640" s="11">
        <f t="shared" si="41"/>
        <v>10</v>
      </c>
    </row>
    <row r="2641" spans="1:14" ht="16" x14ac:dyDescent="0.2">
      <c r="A2641" s="3">
        <v>43918.784504253272</v>
      </c>
      <c r="B2641" s="1" t="s">
        <v>2905</v>
      </c>
      <c r="C2641" t="s">
        <v>286</v>
      </c>
      <c r="D2641">
        <v>3</v>
      </c>
      <c r="E2641">
        <v>34</v>
      </c>
      <c r="F2641">
        <v>17</v>
      </c>
      <c r="G2641">
        <v>102</v>
      </c>
      <c r="H2641" s="4">
        <v>51</v>
      </c>
      <c r="I2641" s="4">
        <v>51</v>
      </c>
      <c r="J2641" t="s">
        <v>284</v>
      </c>
      <c r="K2641" t="s">
        <v>58</v>
      </c>
      <c r="L2641" s="4">
        <v>10.570474361325047</v>
      </c>
      <c r="M2641" s="1" t="s">
        <v>34</v>
      </c>
      <c r="N2641" s="11">
        <f t="shared" si="41"/>
        <v>1</v>
      </c>
    </row>
    <row r="2642" spans="1:14" ht="16" x14ac:dyDescent="0.2">
      <c r="A2642" s="3">
        <v>43668.765171849627</v>
      </c>
      <c r="B2642" s="1" t="s">
        <v>2906</v>
      </c>
      <c r="C2642" t="s">
        <v>148</v>
      </c>
      <c r="D2642">
        <v>16</v>
      </c>
      <c r="E2642">
        <v>144</v>
      </c>
      <c r="F2642">
        <v>36</v>
      </c>
      <c r="G2642">
        <v>2304</v>
      </c>
      <c r="H2642" s="4">
        <v>576</v>
      </c>
      <c r="I2642" s="4">
        <v>1728</v>
      </c>
      <c r="J2642" t="s">
        <v>815</v>
      </c>
      <c r="K2642" t="s">
        <v>33</v>
      </c>
      <c r="L2642" s="4">
        <v>16.254955391951082</v>
      </c>
      <c r="M2642" s="1" t="s">
        <v>38</v>
      </c>
      <c r="N2642" s="11">
        <f t="shared" si="41"/>
        <v>5</v>
      </c>
    </row>
    <row r="2643" spans="1:14" ht="16" x14ac:dyDescent="0.2">
      <c r="A2643" s="3">
        <v>44589.995718573446</v>
      </c>
      <c r="B2643" s="1" t="s">
        <v>2907</v>
      </c>
      <c r="C2643" t="s">
        <v>133</v>
      </c>
      <c r="D2643">
        <v>20</v>
      </c>
      <c r="E2643">
        <v>189</v>
      </c>
      <c r="F2643">
        <v>63</v>
      </c>
      <c r="G2643">
        <v>3780</v>
      </c>
      <c r="H2643" s="4">
        <v>1260</v>
      </c>
      <c r="I2643" s="4">
        <v>2520</v>
      </c>
      <c r="J2643" t="s">
        <v>1008</v>
      </c>
      <c r="K2643" t="s">
        <v>58</v>
      </c>
      <c r="L2643" s="4">
        <v>9.9471686551317795</v>
      </c>
      <c r="M2643" s="1" t="s">
        <v>54</v>
      </c>
      <c r="N2643" s="11">
        <f t="shared" si="41"/>
        <v>10</v>
      </c>
    </row>
    <row r="2644" spans="1:14" ht="16" x14ac:dyDescent="0.2">
      <c r="A2644" s="3">
        <v>43976.540638540704</v>
      </c>
      <c r="B2644" s="1" t="s">
        <v>2908</v>
      </c>
      <c r="C2644" t="s">
        <v>276</v>
      </c>
      <c r="D2644">
        <v>2</v>
      </c>
      <c r="E2644">
        <v>57</v>
      </c>
      <c r="F2644">
        <v>19</v>
      </c>
      <c r="G2644">
        <v>114</v>
      </c>
      <c r="H2644" s="4">
        <v>38</v>
      </c>
      <c r="I2644" s="4">
        <v>76</v>
      </c>
      <c r="J2644" t="s">
        <v>89</v>
      </c>
      <c r="K2644" t="s">
        <v>64</v>
      </c>
      <c r="L2644" s="4">
        <v>12.865074657680612</v>
      </c>
      <c r="M2644" s="1" t="s">
        <v>54</v>
      </c>
      <c r="N2644" s="11">
        <f t="shared" si="41"/>
        <v>10</v>
      </c>
    </row>
    <row r="2645" spans="1:14" ht="16" x14ac:dyDescent="0.2">
      <c r="A2645" s="3">
        <v>44746.264077975771</v>
      </c>
      <c r="B2645" s="1" t="s">
        <v>2909</v>
      </c>
      <c r="C2645" t="s">
        <v>779</v>
      </c>
      <c r="D2645">
        <v>10</v>
      </c>
      <c r="E2645">
        <v>120</v>
      </c>
      <c r="F2645">
        <v>30</v>
      </c>
      <c r="G2645">
        <v>1200</v>
      </c>
      <c r="H2645" s="4">
        <v>300</v>
      </c>
      <c r="I2645" s="4">
        <v>900</v>
      </c>
      <c r="J2645" t="s">
        <v>1379</v>
      </c>
      <c r="K2645" t="s">
        <v>86</v>
      </c>
      <c r="L2645" s="4">
        <v>14.157909724393564</v>
      </c>
      <c r="M2645" s="1" t="s">
        <v>54</v>
      </c>
      <c r="N2645" s="11">
        <f t="shared" si="41"/>
        <v>10</v>
      </c>
    </row>
    <row r="2646" spans="1:14" ht="16" x14ac:dyDescent="0.2">
      <c r="A2646" s="3">
        <v>43769.711083278708</v>
      </c>
      <c r="B2646" s="1" t="s">
        <v>2910</v>
      </c>
      <c r="C2646" t="s">
        <v>370</v>
      </c>
      <c r="D2646">
        <v>2</v>
      </c>
      <c r="E2646">
        <v>144</v>
      </c>
      <c r="F2646">
        <v>36</v>
      </c>
      <c r="G2646">
        <v>288</v>
      </c>
      <c r="H2646" s="4">
        <v>72</v>
      </c>
      <c r="I2646" s="4">
        <v>216</v>
      </c>
      <c r="J2646" t="s">
        <v>1157</v>
      </c>
      <c r="K2646" t="s">
        <v>42</v>
      </c>
      <c r="L2646" s="4">
        <v>10.517826055804084</v>
      </c>
      <c r="M2646" s="1" t="s">
        <v>38</v>
      </c>
      <c r="N2646" s="11">
        <f t="shared" si="41"/>
        <v>5</v>
      </c>
    </row>
    <row r="2647" spans="1:14" ht="16" x14ac:dyDescent="0.2">
      <c r="A2647" s="3">
        <v>44879.95499264582</v>
      </c>
      <c r="B2647" s="1" t="s">
        <v>2911</v>
      </c>
      <c r="C2647" t="s">
        <v>56</v>
      </c>
      <c r="D2647">
        <v>4</v>
      </c>
      <c r="E2647">
        <v>38</v>
      </c>
      <c r="F2647">
        <v>19</v>
      </c>
      <c r="G2647">
        <v>152</v>
      </c>
      <c r="H2647" s="4">
        <v>76</v>
      </c>
      <c r="I2647" s="4">
        <v>76</v>
      </c>
      <c r="J2647" t="s">
        <v>933</v>
      </c>
      <c r="K2647" t="s">
        <v>58</v>
      </c>
      <c r="L2647" s="4">
        <v>11.130819205617987</v>
      </c>
      <c r="M2647" s="1" t="s">
        <v>54</v>
      </c>
      <c r="N2647" s="11">
        <f t="shared" si="41"/>
        <v>10</v>
      </c>
    </row>
    <row r="2648" spans="1:14" ht="16" x14ac:dyDescent="0.2">
      <c r="A2648" s="3">
        <v>44203.663440531629</v>
      </c>
      <c r="B2648" s="1" t="s">
        <v>2912</v>
      </c>
      <c r="C2648" t="s">
        <v>72</v>
      </c>
      <c r="D2648">
        <v>14</v>
      </c>
      <c r="E2648">
        <v>352</v>
      </c>
      <c r="F2648">
        <v>88</v>
      </c>
      <c r="G2648">
        <v>4928</v>
      </c>
      <c r="H2648" s="4">
        <v>1232</v>
      </c>
      <c r="I2648" s="4">
        <v>3696</v>
      </c>
      <c r="J2648" t="s">
        <v>562</v>
      </c>
      <c r="K2648" t="s">
        <v>49</v>
      </c>
      <c r="L2648" s="4">
        <v>11.808681852148307</v>
      </c>
      <c r="M2648" s="1" t="s">
        <v>34</v>
      </c>
      <c r="N2648" s="11">
        <f t="shared" si="41"/>
        <v>1</v>
      </c>
    </row>
    <row r="2649" spans="1:14" ht="16" x14ac:dyDescent="0.2">
      <c r="A2649" s="3">
        <v>43723.949001060093</v>
      </c>
      <c r="B2649" s="1" t="s">
        <v>2631</v>
      </c>
      <c r="C2649" t="s">
        <v>47</v>
      </c>
      <c r="D2649">
        <v>11</v>
      </c>
      <c r="E2649">
        <v>231</v>
      </c>
      <c r="F2649">
        <v>77</v>
      </c>
      <c r="G2649">
        <v>2541</v>
      </c>
      <c r="H2649" s="4">
        <v>847</v>
      </c>
      <c r="I2649" s="4">
        <v>1694</v>
      </c>
      <c r="J2649" t="s">
        <v>448</v>
      </c>
      <c r="K2649" t="s">
        <v>58</v>
      </c>
      <c r="L2649" s="4">
        <v>15.770846827234339</v>
      </c>
      <c r="M2649" s="1" t="s">
        <v>38</v>
      </c>
      <c r="N2649" s="11">
        <f t="shared" si="41"/>
        <v>5</v>
      </c>
    </row>
    <row r="2650" spans="1:14" ht="16" x14ac:dyDescent="0.2">
      <c r="A2650" s="3">
        <v>44232.439093563393</v>
      </c>
      <c r="B2650" s="1" t="s">
        <v>2913</v>
      </c>
      <c r="C2650" t="s">
        <v>209</v>
      </c>
      <c r="D2650">
        <v>11</v>
      </c>
      <c r="E2650">
        <v>150</v>
      </c>
      <c r="F2650">
        <v>75</v>
      </c>
      <c r="G2650">
        <v>1650</v>
      </c>
      <c r="H2650" s="4">
        <v>825</v>
      </c>
      <c r="I2650" s="4">
        <v>825</v>
      </c>
      <c r="J2650" t="s">
        <v>557</v>
      </c>
      <c r="K2650" t="s">
        <v>64</v>
      </c>
      <c r="L2650" s="4">
        <v>10.037135914792184</v>
      </c>
      <c r="M2650" s="1" t="s">
        <v>54</v>
      </c>
      <c r="N2650" s="11">
        <f t="shared" si="41"/>
        <v>10</v>
      </c>
    </row>
    <row r="2651" spans="1:14" ht="16" x14ac:dyDescent="0.2">
      <c r="A2651" s="3">
        <v>44830.528411170002</v>
      </c>
      <c r="B2651" s="1" t="s">
        <v>2914</v>
      </c>
      <c r="C2651" t="s">
        <v>157</v>
      </c>
      <c r="D2651">
        <v>18</v>
      </c>
      <c r="E2651">
        <v>50</v>
      </c>
      <c r="F2651">
        <v>25</v>
      </c>
      <c r="G2651">
        <v>900</v>
      </c>
      <c r="H2651" s="4">
        <v>450</v>
      </c>
      <c r="I2651" s="4">
        <v>450</v>
      </c>
      <c r="J2651" t="s">
        <v>161</v>
      </c>
      <c r="K2651" t="s">
        <v>33</v>
      </c>
      <c r="L2651" s="4">
        <v>14.370283356317486</v>
      </c>
      <c r="M2651" s="1" t="s">
        <v>38</v>
      </c>
      <c r="N2651" s="11">
        <f t="shared" si="41"/>
        <v>5</v>
      </c>
    </row>
    <row r="2652" spans="1:14" ht="16" x14ac:dyDescent="0.2">
      <c r="A2652" s="3">
        <v>44219.506096429992</v>
      </c>
      <c r="B2652" s="1" t="s">
        <v>2915</v>
      </c>
      <c r="C2652" t="s">
        <v>523</v>
      </c>
      <c r="D2652">
        <v>18</v>
      </c>
      <c r="E2652">
        <v>92</v>
      </c>
      <c r="F2652">
        <v>46</v>
      </c>
      <c r="G2652">
        <v>1656</v>
      </c>
      <c r="H2652" s="4">
        <v>828</v>
      </c>
      <c r="I2652" s="4">
        <v>828</v>
      </c>
      <c r="J2652" t="s">
        <v>1195</v>
      </c>
      <c r="K2652" t="s">
        <v>33</v>
      </c>
      <c r="L2652" s="4">
        <v>11.971065679104063</v>
      </c>
      <c r="M2652" s="1" t="s">
        <v>38</v>
      </c>
      <c r="N2652" s="11">
        <f t="shared" si="41"/>
        <v>5</v>
      </c>
    </row>
    <row r="2653" spans="1:14" ht="16" x14ac:dyDescent="0.2">
      <c r="A2653" s="3">
        <v>44322.046624572366</v>
      </c>
      <c r="B2653" s="1" t="s">
        <v>2916</v>
      </c>
      <c r="C2653" t="s">
        <v>218</v>
      </c>
      <c r="D2653">
        <v>4</v>
      </c>
      <c r="E2653">
        <v>264</v>
      </c>
      <c r="F2653">
        <v>88</v>
      </c>
      <c r="G2653">
        <v>1056</v>
      </c>
      <c r="H2653" s="4">
        <v>352</v>
      </c>
      <c r="I2653" s="4">
        <v>704</v>
      </c>
      <c r="J2653" t="s">
        <v>875</v>
      </c>
      <c r="K2653" t="s">
        <v>58</v>
      </c>
      <c r="L2653" s="4">
        <v>11.485823039755857</v>
      </c>
      <c r="M2653" s="1" t="s">
        <v>38</v>
      </c>
      <c r="N2653" s="11">
        <f t="shared" si="41"/>
        <v>5</v>
      </c>
    </row>
    <row r="2654" spans="1:14" ht="16" x14ac:dyDescent="0.2">
      <c r="A2654" s="3">
        <v>44415.554166892565</v>
      </c>
      <c r="B2654" s="1" t="s">
        <v>2917</v>
      </c>
      <c r="C2654" t="s">
        <v>473</v>
      </c>
      <c r="D2654">
        <v>8</v>
      </c>
      <c r="E2654">
        <v>72</v>
      </c>
      <c r="F2654">
        <v>36</v>
      </c>
      <c r="G2654">
        <v>576</v>
      </c>
      <c r="H2654" s="4">
        <v>288</v>
      </c>
      <c r="I2654" s="4">
        <v>288</v>
      </c>
      <c r="J2654" t="s">
        <v>318</v>
      </c>
      <c r="K2654" t="s">
        <v>33</v>
      </c>
      <c r="L2654" s="4">
        <v>9.0350666811770921</v>
      </c>
      <c r="M2654" s="1" t="s">
        <v>54</v>
      </c>
      <c r="N2654" s="11">
        <f t="shared" si="41"/>
        <v>10</v>
      </c>
    </row>
    <row r="2655" spans="1:14" ht="16" x14ac:dyDescent="0.2">
      <c r="A2655" s="3">
        <v>43944.326152866321</v>
      </c>
      <c r="B2655" s="1" t="s">
        <v>2918</v>
      </c>
      <c r="C2655" t="s">
        <v>69</v>
      </c>
      <c r="D2655">
        <v>12</v>
      </c>
      <c r="E2655">
        <v>184</v>
      </c>
      <c r="F2655">
        <v>92</v>
      </c>
      <c r="G2655">
        <v>2208</v>
      </c>
      <c r="H2655" s="4">
        <v>1104</v>
      </c>
      <c r="I2655" s="4">
        <v>1104</v>
      </c>
      <c r="J2655" t="s">
        <v>1107</v>
      </c>
      <c r="K2655" t="s">
        <v>53</v>
      </c>
      <c r="L2655" s="4">
        <v>10.28240320324797</v>
      </c>
      <c r="M2655" s="1" t="s">
        <v>54</v>
      </c>
      <c r="N2655" s="11">
        <f t="shared" si="41"/>
        <v>10</v>
      </c>
    </row>
    <row r="2656" spans="1:14" ht="16" x14ac:dyDescent="0.2">
      <c r="A2656" s="3">
        <v>43797.43109569318</v>
      </c>
      <c r="B2656" s="1" t="s">
        <v>2919</v>
      </c>
      <c r="C2656" t="s">
        <v>592</v>
      </c>
      <c r="D2656">
        <v>5</v>
      </c>
      <c r="E2656">
        <v>312</v>
      </c>
      <c r="F2656">
        <v>78</v>
      </c>
      <c r="G2656">
        <v>1560</v>
      </c>
      <c r="H2656" s="4">
        <v>390</v>
      </c>
      <c r="I2656" s="4">
        <v>1170</v>
      </c>
      <c r="J2656" t="s">
        <v>1195</v>
      </c>
      <c r="K2656" t="s">
        <v>33</v>
      </c>
      <c r="L2656" s="4">
        <v>11.971065679104063</v>
      </c>
      <c r="M2656" s="1" t="s">
        <v>34</v>
      </c>
      <c r="N2656" s="11">
        <f t="shared" si="41"/>
        <v>1</v>
      </c>
    </row>
    <row r="2657" spans="1:14" ht="16" x14ac:dyDescent="0.2">
      <c r="A2657" s="3">
        <v>43946.047733844192</v>
      </c>
      <c r="B2657" s="1" t="s">
        <v>2920</v>
      </c>
      <c r="C2657" t="s">
        <v>243</v>
      </c>
      <c r="D2657">
        <v>8</v>
      </c>
      <c r="E2657">
        <v>90</v>
      </c>
      <c r="F2657">
        <v>45</v>
      </c>
      <c r="G2657">
        <v>720</v>
      </c>
      <c r="H2657" s="4">
        <v>360</v>
      </c>
      <c r="I2657" s="4">
        <v>360</v>
      </c>
      <c r="J2657" t="s">
        <v>363</v>
      </c>
      <c r="K2657" t="s">
        <v>64</v>
      </c>
      <c r="L2657" s="4">
        <v>14.690198582365463</v>
      </c>
      <c r="M2657" s="1" t="s">
        <v>38</v>
      </c>
      <c r="N2657" s="11">
        <f t="shared" si="41"/>
        <v>5</v>
      </c>
    </row>
    <row r="2658" spans="1:14" ht="16" x14ac:dyDescent="0.2">
      <c r="A2658" s="3">
        <v>43227.079365350444</v>
      </c>
      <c r="B2658" s="1" t="s">
        <v>2921</v>
      </c>
      <c r="C2658" t="s">
        <v>538</v>
      </c>
      <c r="D2658">
        <v>16</v>
      </c>
      <c r="E2658">
        <v>261</v>
      </c>
      <c r="F2658">
        <v>87</v>
      </c>
      <c r="G2658">
        <v>4176</v>
      </c>
      <c r="H2658" s="4">
        <v>1392</v>
      </c>
      <c r="I2658" s="4">
        <v>2784</v>
      </c>
      <c r="J2658" t="s">
        <v>262</v>
      </c>
      <c r="K2658" t="s">
        <v>86</v>
      </c>
      <c r="L2658" s="4">
        <v>12.796588406005421</v>
      </c>
      <c r="M2658" s="1" t="s">
        <v>38</v>
      </c>
      <c r="N2658" s="11">
        <f t="shared" si="41"/>
        <v>5</v>
      </c>
    </row>
    <row r="2659" spans="1:14" ht="16" x14ac:dyDescent="0.2">
      <c r="A2659" s="3">
        <v>44563.012191330017</v>
      </c>
      <c r="B2659" s="1" t="s">
        <v>2922</v>
      </c>
      <c r="C2659" t="s">
        <v>171</v>
      </c>
      <c r="D2659">
        <v>7</v>
      </c>
      <c r="E2659">
        <v>225</v>
      </c>
      <c r="F2659">
        <v>75</v>
      </c>
      <c r="G2659">
        <v>1575</v>
      </c>
      <c r="H2659" s="4">
        <v>525</v>
      </c>
      <c r="I2659" s="4">
        <v>1050</v>
      </c>
      <c r="J2659" t="s">
        <v>609</v>
      </c>
      <c r="K2659" t="s">
        <v>64</v>
      </c>
      <c r="L2659" s="4">
        <v>12.564315242820944</v>
      </c>
      <c r="M2659" s="1" t="s">
        <v>38</v>
      </c>
      <c r="N2659" s="11">
        <f t="shared" si="41"/>
        <v>5</v>
      </c>
    </row>
    <row r="2660" spans="1:14" ht="16" x14ac:dyDescent="0.2">
      <c r="A2660" s="3">
        <v>43495.64413301849</v>
      </c>
      <c r="B2660" s="1" t="s">
        <v>2923</v>
      </c>
      <c r="C2660" t="s">
        <v>101</v>
      </c>
      <c r="D2660">
        <v>3</v>
      </c>
      <c r="E2660">
        <v>50</v>
      </c>
      <c r="F2660">
        <v>25</v>
      </c>
      <c r="G2660">
        <v>150</v>
      </c>
      <c r="H2660" s="4">
        <v>75</v>
      </c>
      <c r="I2660" s="4">
        <v>75</v>
      </c>
      <c r="J2660" t="s">
        <v>786</v>
      </c>
      <c r="K2660" t="s">
        <v>86</v>
      </c>
      <c r="L2660" s="4">
        <v>13.095446915421235</v>
      </c>
      <c r="M2660" s="1" t="s">
        <v>38</v>
      </c>
      <c r="N2660" s="11">
        <f t="shared" si="41"/>
        <v>5</v>
      </c>
    </row>
    <row r="2661" spans="1:14" ht="16" x14ac:dyDescent="0.2">
      <c r="A2661" s="3">
        <v>43591.876221693885</v>
      </c>
      <c r="B2661" s="1" t="s">
        <v>2924</v>
      </c>
      <c r="C2661" t="s">
        <v>36</v>
      </c>
      <c r="D2661">
        <v>16</v>
      </c>
      <c r="E2661">
        <v>102</v>
      </c>
      <c r="F2661">
        <v>51</v>
      </c>
      <c r="G2661">
        <v>1632</v>
      </c>
      <c r="H2661" s="4">
        <v>816</v>
      </c>
      <c r="I2661" s="4">
        <v>816</v>
      </c>
      <c r="J2661" t="s">
        <v>564</v>
      </c>
      <c r="K2661" t="s">
        <v>53</v>
      </c>
      <c r="L2661" s="4">
        <v>11.563724686003232</v>
      </c>
      <c r="M2661" s="1" t="s">
        <v>54</v>
      </c>
      <c r="N2661" s="11">
        <f t="shared" si="41"/>
        <v>10</v>
      </c>
    </row>
    <row r="2662" spans="1:14" ht="16" x14ac:dyDescent="0.2">
      <c r="A2662" s="3">
        <v>43485.424090336324</v>
      </c>
      <c r="B2662" s="1" t="s">
        <v>1016</v>
      </c>
      <c r="C2662" t="s">
        <v>93</v>
      </c>
      <c r="D2662">
        <v>10</v>
      </c>
      <c r="E2662">
        <v>204</v>
      </c>
      <c r="F2662">
        <v>51</v>
      </c>
      <c r="G2662">
        <v>2040</v>
      </c>
      <c r="H2662" s="4">
        <v>510</v>
      </c>
      <c r="I2662" s="4">
        <v>1530</v>
      </c>
      <c r="J2662" t="s">
        <v>351</v>
      </c>
      <c r="K2662" t="s">
        <v>33</v>
      </c>
      <c r="L2662" s="4">
        <v>11.070908141213383</v>
      </c>
      <c r="M2662" s="1" t="s">
        <v>38</v>
      </c>
      <c r="N2662" s="11">
        <f t="shared" si="41"/>
        <v>5</v>
      </c>
    </row>
    <row r="2663" spans="1:14" ht="16" x14ac:dyDescent="0.2">
      <c r="A2663" s="3">
        <v>44265.47098944481</v>
      </c>
      <c r="B2663" s="1" t="s">
        <v>2925</v>
      </c>
      <c r="C2663" t="s">
        <v>425</v>
      </c>
      <c r="D2663">
        <v>7</v>
      </c>
      <c r="E2663">
        <v>352</v>
      </c>
      <c r="F2663">
        <v>88</v>
      </c>
      <c r="G2663">
        <v>2464</v>
      </c>
      <c r="H2663" s="4">
        <v>616</v>
      </c>
      <c r="I2663" s="4">
        <v>1848</v>
      </c>
      <c r="J2663" t="s">
        <v>1671</v>
      </c>
      <c r="K2663" t="s">
        <v>86</v>
      </c>
      <c r="L2663" s="4">
        <v>15.239568994601312</v>
      </c>
      <c r="M2663" s="1" t="s">
        <v>38</v>
      </c>
      <c r="N2663" s="11">
        <f t="shared" si="41"/>
        <v>5</v>
      </c>
    </row>
    <row r="2664" spans="1:14" ht="16" x14ac:dyDescent="0.2">
      <c r="A2664" s="3">
        <v>44196.51110180965</v>
      </c>
      <c r="B2664" s="1" t="s">
        <v>2926</v>
      </c>
      <c r="C2664" t="s">
        <v>66</v>
      </c>
      <c r="D2664">
        <v>1</v>
      </c>
      <c r="E2664">
        <v>144</v>
      </c>
      <c r="F2664">
        <v>48</v>
      </c>
      <c r="G2664">
        <v>144</v>
      </c>
      <c r="H2664" s="4">
        <v>48</v>
      </c>
      <c r="I2664" s="4">
        <v>96</v>
      </c>
      <c r="J2664" t="s">
        <v>167</v>
      </c>
      <c r="K2664" t="s">
        <v>86</v>
      </c>
      <c r="L2664" s="4">
        <v>10.216282609482219</v>
      </c>
      <c r="M2664" s="1" t="s">
        <v>54</v>
      </c>
      <c r="N2664" s="11">
        <f t="shared" si="41"/>
        <v>10</v>
      </c>
    </row>
    <row r="2665" spans="1:14" ht="16" x14ac:dyDescent="0.2">
      <c r="A2665" s="3">
        <v>43471.078814899825</v>
      </c>
      <c r="B2665" s="1" t="s">
        <v>2927</v>
      </c>
      <c r="C2665" t="s">
        <v>178</v>
      </c>
      <c r="D2665">
        <v>15</v>
      </c>
      <c r="E2665">
        <v>189</v>
      </c>
      <c r="F2665">
        <v>63</v>
      </c>
      <c r="G2665">
        <v>2835</v>
      </c>
      <c r="H2665" s="4">
        <v>945</v>
      </c>
      <c r="I2665" s="4">
        <v>1890</v>
      </c>
      <c r="J2665" t="s">
        <v>131</v>
      </c>
      <c r="K2665" t="s">
        <v>33</v>
      </c>
      <c r="L2665" s="4">
        <v>12.844063202784817</v>
      </c>
      <c r="M2665" s="1" t="s">
        <v>38</v>
      </c>
      <c r="N2665" s="11">
        <f t="shared" si="41"/>
        <v>5</v>
      </c>
    </row>
    <row r="2666" spans="1:14" ht="16" x14ac:dyDescent="0.2">
      <c r="A2666" s="3">
        <v>44174.780213588987</v>
      </c>
      <c r="B2666" s="1" t="s">
        <v>2928</v>
      </c>
      <c r="C2666" t="s">
        <v>31</v>
      </c>
      <c r="D2666">
        <v>16</v>
      </c>
      <c r="E2666">
        <v>280</v>
      </c>
      <c r="F2666">
        <v>70</v>
      </c>
      <c r="G2666">
        <v>4480</v>
      </c>
      <c r="H2666" s="4">
        <v>1120</v>
      </c>
      <c r="I2666" s="4">
        <v>3360</v>
      </c>
      <c r="J2666" t="s">
        <v>542</v>
      </c>
      <c r="K2666" t="s">
        <v>58</v>
      </c>
      <c r="L2666" s="4">
        <v>13.929237493388955</v>
      </c>
      <c r="M2666" s="1" t="s">
        <v>38</v>
      </c>
      <c r="N2666" s="11">
        <f t="shared" si="41"/>
        <v>5</v>
      </c>
    </row>
    <row r="2667" spans="1:14" ht="16" x14ac:dyDescent="0.2">
      <c r="A2667" s="3">
        <v>43931.434718805955</v>
      </c>
      <c r="B2667" s="1" t="s">
        <v>2929</v>
      </c>
      <c r="C2667" t="s">
        <v>425</v>
      </c>
      <c r="D2667">
        <v>18</v>
      </c>
      <c r="E2667">
        <v>352</v>
      </c>
      <c r="F2667">
        <v>88</v>
      </c>
      <c r="G2667">
        <v>6336</v>
      </c>
      <c r="H2667" s="4">
        <v>1584</v>
      </c>
      <c r="I2667" s="4">
        <v>4752</v>
      </c>
      <c r="J2667" t="s">
        <v>41</v>
      </c>
      <c r="K2667" t="s">
        <v>42</v>
      </c>
      <c r="L2667" s="4">
        <v>9.3226775515721787</v>
      </c>
      <c r="M2667" s="1" t="s">
        <v>38</v>
      </c>
      <c r="N2667" s="11">
        <f t="shared" si="41"/>
        <v>5</v>
      </c>
    </row>
    <row r="2668" spans="1:14" ht="16" x14ac:dyDescent="0.2">
      <c r="A2668" s="3">
        <v>44447.848836886325</v>
      </c>
      <c r="B2668" s="1" t="s">
        <v>2930</v>
      </c>
      <c r="C2668" t="s">
        <v>75</v>
      </c>
      <c r="D2668">
        <v>18</v>
      </c>
      <c r="E2668">
        <v>76</v>
      </c>
      <c r="F2668">
        <v>19</v>
      </c>
      <c r="G2668">
        <v>1368</v>
      </c>
      <c r="H2668" s="4">
        <v>342</v>
      </c>
      <c r="I2668" s="4">
        <v>1026</v>
      </c>
      <c r="J2668" t="s">
        <v>629</v>
      </c>
      <c r="K2668" t="s">
        <v>53</v>
      </c>
      <c r="L2668" s="4">
        <v>9.8892508156549788</v>
      </c>
      <c r="M2668" s="1" t="s">
        <v>38</v>
      </c>
      <c r="N2668" s="11">
        <f t="shared" si="41"/>
        <v>5</v>
      </c>
    </row>
    <row r="2669" spans="1:14" ht="16" x14ac:dyDescent="0.2">
      <c r="A2669" s="3">
        <v>43720.846019912926</v>
      </c>
      <c r="B2669" s="1" t="s">
        <v>2931</v>
      </c>
      <c r="C2669" t="s">
        <v>473</v>
      </c>
      <c r="D2669">
        <v>1</v>
      </c>
      <c r="E2669">
        <v>72</v>
      </c>
      <c r="F2669">
        <v>36</v>
      </c>
      <c r="G2669">
        <v>72</v>
      </c>
      <c r="H2669" s="4">
        <v>36</v>
      </c>
      <c r="I2669" s="4">
        <v>36</v>
      </c>
      <c r="J2669" t="s">
        <v>774</v>
      </c>
      <c r="K2669" t="s">
        <v>49</v>
      </c>
      <c r="L2669" s="4">
        <v>13.392447352247808</v>
      </c>
      <c r="M2669" s="1" t="s">
        <v>38</v>
      </c>
      <c r="N2669" s="11">
        <f t="shared" si="41"/>
        <v>5</v>
      </c>
    </row>
    <row r="2670" spans="1:14" ht="16" x14ac:dyDescent="0.2">
      <c r="A2670" s="3">
        <v>43817.998744996134</v>
      </c>
      <c r="B2670" s="1" t="s">
        <v>2932</v>
      </c>
      <c r="C2670" t="s">
        <v>31</v>
      </c>
      <c r="D2670">
        <v>8</v>
      </c>
      <c r="E2670">
        <v>280</v>
      </c>
      <c r="F2670">
        <v>70</v>
      </c>
      <c r="G2670">
        <v>2240</v>
      </c>
      <c r="H2670" s="4">
        <v>560</v>
      </c>
      <c r="I2670" s="4">
        <v>1680</v>
      </c>
      <c r="J2670" t="s">
        <v>616</v>
      </c>
      <c r="K2670" t="s">
        <v>49</v>
      </c>
      <c r="L2670" s="4">
        <v>13.466362789017223</v>
      </c>
      <c r="M2670" s="1" t="s">
        <v>54</v>
      </c>
      <c r="N2670" s="11">
        <f t="shared" si="41"/>
        <v>10</v>
      </c>
    </row>
    <row r="2671" spans="1:14" ht="16" x14ac:dyDescent="0.2">
      <c r="A2671" s="3">
        <v>43716.782558240026</v>
      </c>
      <c r="B2671" s="1" t="s">
        <v>2933</v>
      </c>
      <c r="C2671" t="s">
        <v>538</v>
      </c>
      <c r="D2671">
        <v>19</v>
      </c>
      <c r="E2671">
        <v>261</v>
      </c>
      <c r="F2671">
        <v>87</v>
      </c>
      <c r="G2671">
        <v>4959</v>
      </c>
      <c r="H2671" s="4">
        <v>1653</v>
      </c>
      <c r="I2671" s="4">
        <v>3306</v>
      </c>
      <c r="J2671" t="s">
        <v>401</v>
      </c>
      <c r="K2671" t="s">
        <v>58</v>
      </c>
      <c r="L2671" s="4">
        <v>11.394777319422785</v>
      </c>
      <c r="M2671" s="1" t="s">
        <v>38</v>
      </c>
      <c r="N2671" s="11">
        <f t="shared" si="41"/>
        <v>5</v>
      </c>
    </row>
    <row r="2672" spans="1:14" ht="16" x14ac:dyDescent="0.2">
      <c r="A2672" s="3">
        <v>43709.359876109273</v>
      </c>
      <c r="B2672" s="1" t="s">
        <v>2934</v>
      </c>
      <c r="C2672" t="s">
        <v>93</v>
      </c>
      <c r="D2672">
        <v>7</v>
      </c>
      <c r="E2672">
        <v>204</v>
      </c>
      <c r="F2672">
        <v>51</v>
      </c>
      <c r="G2672">
        <v>1428</v>
      </c>
      <c r="H2672" s="4">
        <v>357</v>
      </c>
      <c r="I2672" s="4">
        <v>1071</v>
      </c>
      <c r="J2672" t="s">
        <v>79</v>
      </c>
      <c r="K2672" t="s">
        <v>64</v>
      </c>
      <c r="L2672" s="4">
        <v>12.163730387337393</v>
      </c>
      <c r="M2672" s="1" t="s">
        <v>54</v>
      </c>
      <c r="N2672" s="11">
        <f t="shared" si="41"/>
        <v>10</v>
      </c>
    </row>
    <row r="2673" spans="1:14" ht="16" x14ac:dyDescent="0.2">
      <c r="A2673" s="3">
        <v>44031.164476780614</v>
      </c>
      <c r="B2673" s="1" t="s">
        <v>2935</v>
      </c>
      <c r="C2673" t="s">
        <v>487</v>
      </c>
      <c r="D2673">
        <v>12</v>
      </c>
      <c r="E2673">
        <v>264</v>
      </c>
      <c r="F2673">
        <v>88</v>
      </c>
      <c r="G2673">
        <v>3168</v>
      </c>
      <c r="H2673" s="4">
        <v>1056</v>
      </c>
      <c r="I2673" s="4">
        <v>2112</v>
      </c>
      <c r="J2673" t="s">
        <v>1253</v>
      </c>
      <c r="K2673" t="s">
        <v>49</v>
      </c>
      <c r="L2673" s="4">
        <v>10.518436853046438</v>
      </c>
      <c r="M2673" s="1" t="s">
        <v>34</v>
      </c>
      <c r="N2673" s="11">
        <f t="shared" si="41"/>
        <v>1</v>
      </c>
    </row>
    <row r="2674" spans="1:14" ht="16" x14ac:dyDescent="0.2">
      <c r="A2674" s="3">
        <v>43143.457689124021</v>
      </c>
      <c r="B2674" s="1" t="s">
        <v>2936</v>
      </c>
      <c r="C2674" t="s">
        <v>44</v>
      </c>
      <c r="D2674">
        <v>19</v>
      </c>
      <c r="E2674">
        <v>114</v>
      </c>
      <c r="F2674">
        <v>57</v>
      </c>
      <c r="G2674">
        <v>2166</v>
      </c>
      <c r="H2674" s="4">
        <v>1083</v>
      </c>
      <c r="I2674" s="4">
        <v>1083</v>
      </c>
      <c r="J2674" t="s">
        <v>1042</v>
      </c>
      <c r="K2674" t="s">
        <v>58</v>
      </c>
      <c r="L2674" s="4">
        <v>10.588336269016523</v>
      </c>
      <c r="M2674" s="1" t="s">
        <v>38</v>
      </c>
      <c r="N2674" s="11">
        <f t="shared" si="41"/>
        <v>5</v>
      </c>
    </row>
    <row r="2675" spans="1:14" ht="16" x14ac:dyDescent="0.2">
      <c r="A2675" s="3">
        <v>43812.761900697609</v>
      </c>
      <c r="B2675" s="1" t="s">
        <v>1812</v>
      </c>
      <c r="C2675" t="s">
        <v>259</v>
      </c>
      <c r="D2675">
        <v>20</v>
      </c>
      <c r="E2675">
        <v>270</v>
      </c>
      <c r="F2675">
        <v>90</v>
      </c>
      <c r="G2675">
        <v>5400</v>
      </c>
      <c r="H2675" s="4">
        <v>1800</v>
      </c>
      <c r="I2675" s="4">
        <v>3600</v>
      </c>
      <c r="J2675" t="s">
        <v>574</v>
      </c>
      <c r="K2675" t="s">
        <v>58</v>
      </c>
      <c r="L2675" s="4">
        <v>13.150536103258979</v>
      </c>
      <c r="M2675" s="1" t="s">
        <v>38</v>
      </c>
      <c r="N2675" s="11">
        <f t="shared" si="41"/>
        <v>5</v>
      </c>
    </row>
    <row r="2676" spans="1:14" ht="16" x14ac:dyDescent="0.2">
      <c r="A2676" s="3">
        <v>43080.739421128914</v>
      </c>
      <c r="B2676" s="1" t="s">
        <v>2937</v>
      </c>
      <c r="C2676" t="s">
        <v>365</v>
      </c>
      <c r="D2676">
        <v>1</v>
      </c>
      <c r="E2676">
        <v>255</v>
      </c>
      <c r="F2676">
        <v>85</v>
      </c>
      <c r="G2676">
        <v>255</v>
      </c>
      <c r="H2676" s="4">
        <v>85</v>
      </c>
      <c r="I2676" s="4">
        <v>170</v>
      </c>
      <c r="J2676" t="s">
        <v>482</v>
      </c>
      <c r="K2676" t="s">
        <v>42</v>
      </c>
      <c r="L2676" s="4">
        <v>11.311040680082275</v>
      </c>
      <c r="M2676" s="1" t="s">
        <v>38</v>
      </c>
      <c r="N2676" s="11">
        <f t="shared" si="41"/>
        <v>5</v>
      </c>
    </row>
    <row r="2677" spans="1:14" ht="16" x14ac:dyDescent="0.2">
      <c r="A2677" s="3">
        <v>43186.890106212035</v>
      </c>
      <c r="B2677" s="1" t="s">
        <v>2938</v>
      </c>
      <c r="C2677" t="s">
        <v>36</v>
      </c>
      <c r="D2677">
        <v>17</v>
      </c>
      <c r="E2677">
        <v>102</v>
      </c>
      <c r="F2677">
        <v>51</v>
      </c>
      <c r="G2677">
        <v>1734</v>
      </c>
      <c r="H2677" s="4">
        <v>867</v>
      </c>
      <c r="I2677" s="4">
        <v>867</v>
      </c>
      <c r="J2677" t="s">
        <v>241</v>
      </c>
      <c r="K2677" t="s">
        <v>33</v>
      </c>
      <c r="L2677" s="4">
        <v>11.274864741138284</v>
      </c>
      <c r="M2677" s="1" t="s">
        <v>54</v>
      </c>
      <c r="N2677" s="11">
        <f t="shared" si="41"/>
        <v>10</v>
      </c>
    </row>
    <row r="2678" spans="1:14" ht="16" x14ac:dyDescent="0.2">
      <c r="A2678" s="3">
        <v>43914.88051904476</v>
      </c>
      <c r="B2678" s="1" t="s">
        <v>2939</v>
      </c>
      <c r="C2678" t="s">
        <v>130</v>
      </c>
      <c r="D2678">
        <v>20</v>
      </c>
      <c r="E2678">
        <v>144</v>
      </c>
      <c r="F2678">
        <v>48</v>
      </c>
      <c r="G2678">
        <v>2880</v>
      </c>
      <c r="H2678" s="4">
        <v>960</v>
      </c>
      <c r="I2678" s="4">
        <v>1920</v>
      </c>
      <c r="J2678" t="s">
        <v>219</v>
      </c>
      <c r="K2678" t="s">
        <v>49</v>
      </c>
      <c r="L2678" s="4">
        <v>13.697485557052493</v>
      </c>
      <c r="M2678" s="1" t="s">
        <v>38</v>
      </c>
      <c r="N2678" s="11">
        <f t="shared" si="41"/>
        <v>5</v>
      </c>
    </row>
    <row r="2679" spans="1:14" ht="16" x14ac:dyDescent="0.2">
      <c r="A2679" s="3">
        <v>44587.807371110001</v>
      </c>
      <c r="B2679" s="1" t="s">
        <v>2940</v>
      </c>
      <c r="C2679" t="s">
        <v>185</v>
      </c>
      <c r="D2679">
        <v>5</v>
      </c>
      <c r="E2679">
        <v>146</v>
      </c>
      <c r="F2679">
        <v>73</v>
      </c>
      <c r="G2679">
        <v>730</v>
      </c>
      <c r="H2679" s="4">
        <v>365</v>
      </c>
      <c r="I2679" s="4">
        <v>365</v>
      </c>
      <c r="J2679" t="s">
        <v>492</v>
      </c>
      <c r="K2679" t="s">
        <v>33</v>
      </c>
      <c r="L2679" s="4">
        <v>11.799431383856128</v>
      </c>
      <c r="M2679" s="1" t="s">
        <v>34</v>
      </c>
      <c r="N2679" s="11">
        <f t="shared" si="41"/>
        <v>1</v>
      </c>
    </row>
    <row r="2680" spans="1:14" ht="16" x14ac:dyDescent="0.2">
      <c r="A2680" s="3">
        <v>43840.399966317324</v>
      </c>
      <c r="B2680" s="1" t="s">
        <v>2941</v>
      </c>
      <c r="C2680" t="s">
        <v>110</v>
      </c>
      <c r="D2680">
        <v>20</v>
      </c>
      <c r="E2680">
        <v>144</v>
      </c>
      <c r="F2680">
        <v>36</v>
      </c>
      <c r="G2680">
        <v>2880</v>
      </c>
      <c r="H2680" s="4">
        <v>720</v>
      </c>
      <c r="I2680" s="4">
        <v>2160</v>
      </c>
      <c r="J2680" t="s">
        <v>225</v>
      </c>
      <c r="K2680" t="s">
        <v>33</v>
      </c>
      <c r="L2680" s="4">
        <v>11.083482342133532</v>
      </c>
      <c r="M2680" s="1" t="s">
        <v>38</v>
      </c>
      <c r="N2680" s="11">
        <f t="shared" si="41"/>
        <v>5</v>
      </c>
    </row>
    <row r="2681" spans="1:14" ht="16" x14ac:dyDescent="0.2">
      <c r="A2681" s="3">
        <v>43140.175394671009</v>
      </c>
      <c r="B2681" s="1" t="s">
        <v>2942</v>
      </c>
      <c r="C2681" t="s">
        <v>188</v>
      </c>
      <c r="D2681">
        <v>1</v>
      </c>
      <c r="E2681">
        <v>368</v>
      </c>
      <c r="F2681">
        <v>92</v>
      </c>
      <c r="G2681">
        <v>368</v>
      </c>
      <c r="H2681" s="4">
        <v>92</v>
      </c>
      <c r="I2681" s="4">
        <v>276</v>
      </c>
      <c r="J2681" t="s">
        <v>366</v>
      </c>
      <c r="K2681" t="s">
        <v>64</v>
      </c>
      <c r="L2681" s="4">
        <v>12.342715162719054</v>
      </c>
      <c r="M2681" s="1" t="s">
        <v>54</v>
      </c>
      <c r="N2681" s="11">
        <f t="shared" si="41"/>
        <v>10</v>
      </c>
    </row>
    <row r="2682" spans="1:14" ht="16" x14ac:dyDescent="0.2">
      <c r="A2682" s="3">
        <v>42889.124730678464</v>
      </c>
      <c r="B2682" s="1" t="s">
        <v>2943</v>
      </c>
      <c r="C2682" t="s">
        <v>255</v>
      </c>
      <c r="D2682">
        <v>2</v>
      </c>
      <c r="E2682">
        <v>140</v>
      </c>
      <c r="F2682">
        <v>70</v>
      </c>
      <c r="G2682">
        <v>280</v>
      </c>
      <c r="H2682" s="4">
        <v>140</v>
      </c>
      <c r="I2682" s="4">
        <v>140</v>
      </c>
      <c r="J2682" t="s">
        <v>580</v>
      </c>
      <c r="K2682" t="s">
        <v>58</v>
      </c>
      <c r="L2682" s="4">
        <v>14.66147716237918</v>
      </c>
      <c r="M2682" s="1" t="s">
        <v>34</v>
      </c>
      <c r="N2682" s="11">
        <f t="shared" si="41"/>
        <v>1</v>
      </c>
    </row>
    <row r="2683" spans="1:14" ht="16" x14ac:dyDescent="0.2">
      <c r="A2683" s="3">
        <v>44670.084095683094</v>
      </c>
      <c r="B2683" s="1" t="s">
        <v>2944</v>
      </c>
      <c r="C2683" t="s">
        <v>487</v>
      </c>
      <c r="D2683">
        <v>8</v>
      </c>
      <c r="E2683">
        <v>264</v>
      </c>
      <c r="F2683">
        <v>88</v>
      </c>
      <c r="G2683">
        <v>2112</v>
      </c>
      <c r="H2683" s="4">
        <v>704</v>
      </c>
      <c r="I2683" s="4">
        <v>1408</v>
      </c>
      <c r="J2683" t="s">
        <v>474</v>
      </c>
      <c r="K2683" t="s">
        <v>33</v>
      </c>
      <c r="L2683" s="4">
        <v>9.629298039722805</v>
      </c>
      <c r="M2683" s="1" t="s">
        <v>38</v>
      </c>
      <c r="N2683" s="11">
        <f t="shared" si="41"/>
        <v>5</v>
      </c>
    </row>
    <row r="2684" spans="1:14" ht="16" x14ac:dyDescent="0.2">
      <c r="A2684" s="3">
        <v>44920.654826976453</v>
      </c>
      <c r="B2684" s="1" t="s">
        <v>2945</v>
      </c>
      <c r="C2684" t="s">
        <v>209</v>
      </c>
      <c r="D2684">
        <v>12</v>
      </c>
      <c r="E2684">
        <v>150</v>
      </c>
      <c r="F2684">
        <v>75</v>
      </c>
      <c r="G2684">
        <v>1800</v>
      </c>
      <c r="H2684" s="4">
        <v>900</v>
      </c>
      <c r="I2684" s="4">
        <v>900</v>
      </c>
      <c r="J2684" t="s">
        <v>331</v>
      </c>
      <c r="K2684" t="s">
        <v>58</v>
      </c>
      <c r="L2684" s="4">
        <v>15.18789248529443</v>
      </c>
      <c r="M2684" s="1" t="s">
        <v>54</v>
      </c>
      <c r="N2684" s="11">
        <f t="shared" si="41"/>
        <v>10</v>
      </c>
    </row>
    <row r="2685" spans="1:14" ht="16" x14ac:dyDescent="0.2">
      <c r="A2685" s="3">
        <v>43454.921851158309</v>
      </c>
      <c r="B2685" s="1" t="s">
        <v>2946</v>
      </c>
      <c r="C2685" t="s">
        <v>218</v>
      </c>
      <c r="D2685">
        <v>13</v>
      </c>
      <c r="E2685">
        <v>264</v>
      </c>
      <c r="F2685">
        <v>88</v>
      </c>
      <c r="G2685">
        <v>3432</v>
      </c>
      <c r="H2685" s="4">
        <v>1144</v>
      </c>
      <c r="I2685" s="4">
        <v>2288</v>
      </c>
      <c r="J2685" t="s">
        <v>562</v>
      </c>
      <c r="K2685" t="s">
        <v>49</v>
      </c>
      <c r="L2685" s="4">
        <v>11.808681852148307</v>
      </c>
      <c r="M2685" s="1" t="s">
        <v>38</v>
      </c>
      <c r="N2685" s="11">
        <f t="shared" si="41"/>
        <v>5</v>
      </c>
    </row>
    <row r="2686" spans="1:14" ht="16" x14ac:dyDescent="0.2">
      <c r="A2686" s="3">
        <v>43251.338465034947</v>
      </c>
      <c r="B2686" s="1" t="s">
        <v>2947</v>
      </c>
      <c r="C2686" t="s">
        <v>120</v>
      </c>
      <c r="D2686">
        <v>18</v>
      </c>
      <c r="E2686">
        <v>252</v>
      </c>
      <c r="F2686">
        <v>63</v>
      </c>
      <c r="G2686">
        <v>4536</v>
      </c>
      <c r="H2686" s="4">
        <v>1134</v>
      </c>
      <c r="I2686" s="4">
        <v>3402</v>
      </c>
      <c r="J2686" t="s">
        <v>143</v>
      </c>
      <c r="K2686" t="s">
        <v>64</v>
      </c>
      <c r="L2686" s="4">
        <v>11.406233913305266</v>
      </c>
      <c r="M2686" s="1" t="s">
        <v>38</v>
      </c>
      <c r="N2686" s="11">
        <f t="shared" si="41"/>
        <v>5</v>
      </c>
    </row>
    <row r="2687" spans="1:14" ht="16" x14ac:dyDescent="0.2">
      <c r="A2687" s="3">
        <v>44246.630623656456</v>
      </c>
      <c r="B2687" s="1" t="s">
        <v>2948</v>
      </c>
      <c r="C2687" t="s">
        <v>365</v>
      </c>
      <c r="D2687">
        <v>19</v>
      </c>
      <c r="E2687">
        <v>255</v>
      </c>
      <c r="F2687">
        <v>85</v>
      </c>
      <c r="G2687">
        <v>4845</v>
      </c>
      <c r="H2687" s="4">
        <v>1615</v>
      </c>
      <c r="I2687" s="4">
        <v>3230</v>
      </c>
      <c r="J2687" t="s">
        <v>194</v>
      </c>
      <c r="K2687" t="s">
        <v>42</v>
      </c>
      <c r="L2687" s="4">
        <v>14.573178107544177</v>
      </c>
      <c r="M2687" s="1" t="s">
        <v>38</v>
      </c>
      <c r="N2687" s="11">
        <f t="shared" si="41"/>
        <v>5</v>
      </c>
    </row>
    <row r="2688" spans="1:14" ht="16" x14ac:dyDescent="0.2">
      <c r="A2688" s="3">
        <v>43702.715902881595</v>
      </c>
      <c r="B2688" s="1" t="s">
        <v>2949</v>
      </c>
      <c r="C2688" t="s">
        <v>538</v>
      </c>
      <c r="D2688">
        <v>8</v>
      </c>
      <c r="E2688">
        <v>261</v>
      </c>
      <c r="F2688">
        <v>87</v>
      </c>
      <c r="G2688">
        <v>2088</v>
      </c>
      <c r="H2688" s="4">
        <v>696</v>
      </c>
      <c r="I2688" s="4">
        <v>1392</v>
      </c>
      <c r="J2688" t="s">
        <v>361</v>
      </c>
      <c r="K2688" t="s">
        <v>64</v>
      </c>
      <c r="L2688" s="4">
        <v>13.092530646074781</v>
      </c>
      <c r="M2688" s="1" t="s">
        <v>38</v>
      </c>
      <c r="N2688" s="11">
        <f t="shared" si="41"/>
        <v>5</v>
      </c>
    </row>
    <row r="2689" spans="1:14" ht="16" x14ac:dyDescent="0.2">
      <c r="A2689" s="3">
        <v>43499.5409136585</v>
      </c>
      <c r="B2689" s="1" t="s">
        <v>2950</v>
      </c>
      <c r="C2689" t="s">
        <v>115</v>
      </c>
      <c r="D2689">
        <v>20</v>
      </c>
      <c r="E2689">
        <v>81</v>
      </c>
      <c r="F2689">
        <v>27</v>
      </c>
      <c r="G2689">
        <v>1620</v>
      </c>
      <c r="H2689" s="4">
        <v>540</v>
      </c>
      <c r="I2689" s="4">
        <v>1080</v>
      </c>
      <c r="J2689" t="s">
        <v>183</v>
      </c>
      <c r="K2689" t="s">
        <v>58</v>
      </c>
      <c r="L2689" s="4">
        <v>11.939773463335372</v>
      </c>
      <c r="M2689" s="1" t="s">
        <v>38</v>
      </c>
      <c r="N2689" s="11">
        <f t="shared" si="41"/>
        <v>5</v>
      </c>
    </row>
    <row r="2690" spans="1:14" ht="16" x14ac:dyDescent="0.2">
      <c r="A2690" s="3">
        <v>43723.657256605955</v>
      </c>
      <c r="B2690" s="1" t="s">
        <v>1769</v>
      </c>
      <c r="C2690" t="s">
        <v>370</v>
      </c>
      <c r="D2690">
        <v>2</v>
      </c>
      <c r="E2690">
        <v>144</v>
      </c>
      <c r="F2690">
        <v>36</v>
      </c>
      <c r="G2690">
        <v>288</v>
      </c>
      <c r="H2690" s="4">
        <v>72</v>
      </c>
      <c r="I2690" s="4">
        <v>216</v>
      </c>
      <c r="J2690" t="s">
        <v>802</v>
      </c>
      <c r="K2690" t="s">
        <v>58</v>
      </c>
      <c r="L2690" s="4">
        <v>11.943192562152261</v>
      </c>
      <c r="M2690" s="1" t="s">
        <v>38</v>
      </c>
      <c r="N2690" s="11">
        <f t="shared" si="41"/>
        <v>5</v>
      </c>
    </row>
    <row r="2691" spans="1:14" ht="16" x14ac:dyDescent="0.2">
      <c r="A2691" s="3">
        <v>43808.275016348744</v>
      </c>
      <c r="B2691" s="1" t="s">
        <v>2951</v>
      </c>
      <c r="C2691" t="s">
        <v>157</v>
      </c>
      <c r="D2691">
        <v>8</v>
      </c>
      <c r="E2691">
        <v>50</v>
      </c>
      <c r="F2691">
        <v>25</v>
      </c>
      <c r="G2691">
        <v>400</v>
      </c>
      <c r="H2691" s="4">
        <v>200</v>
      </c>
      <c r="I2691" s="4">
        <v>200</v>
      </c>
      <c r="J2691" t="s">
        <v>413</v>
      </c>
      <c r="K2691" t="s">
        <v>64</v>
      </c>
      <c r="L2691" s="4">
        <v>12.682358648534777</v>
      </c>
      <c r="M2691" s="1" t="s">
        <v>34</v>
      </c>
      <c r="N2691" s="11">
        <f t="shared" ref="N2691:N2754" si="42">+IF(M2691="Dissatisfied",1,IF(M2691="Satisfied",10,5))</f>
        <v>1</v>
      </c>
    </row>
    <row r="2692" spans="1:14" ht="16" x14ac:dyDescent="0.2">
      <c r="A2692" s="3">
        <v>43290.960017356811</v>
      </c>
      <c r="B2692" s="1" t="s">
        <v>2952</v>
      </c>
      <c r="C2692" t="s">
        <v>69</v>
      </c>
      <c r="D2692">
        <v>12</v>
      </c>
      <c r="E2692">
        <v>184</v>
      </c>
      <c r="F2692">
        <v>92</v>
      </c>
      <c r="G2692">
        <v>2208</v>
      </c>
      <c r="H2692" s="4">
        <v>1104</v>
      </c>
      <c r="I2692" s="4">
        <v>1104</v>
      </c>
      <c r="J2692" t="s">
        <v>940</v>
      </c>
      <c r="K2692" t="s">
        <v>86</v>
      </c>
      <c r="L2692" s="4">
        <v>9.2053706474810433</v>
      </c>
      <c r="M2692" s="1" t="s">
        <v>54</v>
      </c>
      <c r="N2692" s="11">
        <f t="shared" si="42"/>
        <v>10</v>
      </c>
    </row>
    <row r="2693" spans="1:14" ht="16" x14ac:dyDescent="0.2">
      <c r="A2693" s="3">
        <v>43216.457328604825</v>
      </c>
      <c r="B2693" s="1" t="s">
        <v>2953</v>
      </c>
      <c r="C2693" t="s">
        <v>328</v>
      </c>
      <c r="D2693">
        <v>6</v>
      </c>
      <c r="E2693">
        <v>124</v>
      </c>
      <c r="F2693">
        <v>62</v>
      </c>
      <c r="G2693">
        <v>744</v>
      </c>
      <c r="H2693" s="4">
        <v>372</v>
      </c>
      <c r="I2693" s="4">
        <v>372</v>
      </c>
      <c r="J2693" t="s">
        <v>411</v>
      </c>
      <c r="K2693" t="s">
        <v>64</v>
      </c>
      <c r="L2693" s="4">
        <v>13.115597690631557</v>
      </c>
      <c r="M2693" s="1" t="s">
        <v>38</v>
      </c>
      <c r="N2693" s="11">
        <f t="shared" si="42"/>
        <v>5</v>
      </c>
    </row>
    <row r="2694" spans="1:14" ht="16" x14ac:dyDescent="0.2">
      <c r="A2694" s="3">
        <v>44149.7862704156</v>
      </c>
      <c r="B2694" s="1" t="s">
        <v>2954</v>
      </c>
      <c r="C2694" t="s">
        <v>301</v>
      </c>
      <c r="D2694">
        <v>10</v>
      </c>
      <c r="E2694">
        <v>188</v>
      </c>
      <c r="F2694">
        <v>94</v>
      </c>
      <c r="G2694">
        <v>1880</v>
      </c>
      <c r="H2694" s="4">
        <v>940</v>
      </c>
      <c r="I2694" s="4">
        <v>940</v>
      </c>
      <c r="J2694" t="s">
        <v>244</v>
      </c>
      <c r="K2694" t="s">
        <v>86</v>
      </c>
      <c r="L2694" s="4">
        <v>15.458859683514467</v>
      </c>
      <c r="M2694" s="1" t="s">
        <v>54</v>
      </c>
      <c r="N2694" s="11">
        <f t="shared" si="42"/>
        <v>10</v>
      </c>
    </row>
    <row r="2695" spans="1:14" ht="16" x14ac:dyDescent="0.2">
      <c r="A2695" s="3">
        <v>44114.234064359662</v>
      </c>
      <c r="B2695" s="1" t="s">
        <v>2955</v>
      </c>
      <c r="C2695" t="s">
        <v>188</v>
      </c>
      <c r="D2695">
        <v>10</v>
      </c>
      <c r="E2695">
        <v>368</v>
      </c>
      <c r="F2695">
        <v>92</v>
      </c>
      <c r="G2695">
        <v>3680</v>
      </c>
      <c r="H2695" s="4">
        <v>920</v>
      </c>
      <c r="I2695" s="4">
        <v>2760</v>
      </c>
      <c r="J2695" t="s">
        <v>567</v>
      </c>
      <c r="K2695" t="s">
        <v>49</v>
      </c>
      <c r="L2695" s="4">
        <v>12.147202500273634</v>
      </c>
      <c r="M2695" s="1" t="s">
        <v>54</v>
      </c>
      <c r="N2695" s="11">
        <f t="shared" si="42"/>
        <v>10</v>
      </c>
    </row>
    <row r="2696" spans="1:14" ht="16" x14ac:dyDescent="0.2">
      <c r="A2696" s="3">
        <v>43947.018874010028</v>
      </c>
      <c r="B2696" s="1" t="s">
        <v>2956</v>
      </c>
      <c r="C2696" t="s">
        <v>252</v>
      </c>
      <c r="D2696">
        <v>15</v>
      </c>
      <c r="E2696">
        <v>252</v>
      </c>
      <c r="F2696">
        <v>63</v>
      </c>
      <c r="G2696">
        <v>3780</v>
      </c>
      <c r="H2696" s="4">
        <v>945</v>
      </c>
      <c r="I2696" s="4">
        <v>2835</v>
      </c>
      <c r="J2696" t="s">
        <v>191</v>
      </c>
      <c r="K2696" t="s">
        <v>42</v>
      </c>
      <c r="L2696" s="4">
        <v>10.523527521613014</v>
      </c>
      <c r="M2696" s="1" t="s">
        <v>38</v>
      </c>
      <c r="N2696" s="11">
        <f t="shared" si="42"/>
        <v>5</v>
      </c>
    </row>
    <row r="2697" spans="1:14" ht="16" x14ac:dyDescent="0.2">
      <c r="A2697" s="3">
        <v>43463.096001666228</v>
      </c>
      <c r="B2697" s="1" t="s">
        <v>2957</v>
      </c>
      <c r="C2697" t="s">
        <v>193</v>
      </c>
      <c r="D2697">
        <v>20</v>
      </c>
      <c r="E2697">
        <v>348</v>
      </c>
      <c r="F2697">
        <v>87</v>
      </c>
      <c r="G2697">
        <v>6960</v>
      </c>
      <c r="H2697" s="4">
        <v>1740</v>
      </c>
      <c r="I2697" s="4">
        <v>5220</v>
      </c>
      <c r="J2697" t="s">
        <v>776</v>
      </c>
      <c r="K2697" t="s">
        <v>86</v>
      </c>
      <c r="L2697" s="4">
        <v>13.611804647345796</v>
      </c>
      <c r="M2697" s="1" t="s">
        <v>34</v>
      </c>
      <c r="N2697" s="11">
        <f t="shared" si="42"/>
        <v>1</v>
      </c>
    </row>
    <row r="2698" spans="1:14" ht="16" x14ac:dyDescent="0.2">
      <c r="A2698" s="3">
        <v>44273.272668893092</v>
      </c>
      <c r="B2698" s="1" t="s">
        <v>2958</v>
      </c>
      <c r="C2698" t="s">
        <v>547</v>
      </c>
      <c r="D2698">
        <v>2</v>
      </c>
      <c r="E2698">
        <v>300</v>
      </c>
      <c r="F2698">
        <v>75</v>
      </c>
      <c r="G2698">
        <v>600</v>
      </c>
      <c r="H2698" s="4">
        <v>150</v>
      </c>
      <c r="I2698" s="4">
        <v>450</v>
      </c>
      <c r="J2698" t="s">
        <v>485</v>
      </c>
      <c r="K2698" t="s">
        <v>49</v>
      </c>
      <c r="L2698" s="4">
        <v>12.889576147248359</v>
      </c>
      <c r="M2698" s="1" t="s">
        <v>38</v>
      </c>
      <c r="N2698" s="11">
        <f t="shared" si="42"/>
        <v>5</v>
      </c>
    </row>
    <row r="2699" spans="1:14" ht="16" x14ac:dyDescent="0.2">
      <c r="A2699" s="3">
        <v>44323.373362519444</v>
      </c>
      <c r="B2699" s="1" t="s">
        <v>2959</v>
      </c>
      <c r="C2699" t="s">
        <v>386</v>
      </c>
      <c r="D2699">
        <v>19</v>
      </c>
      <c r="E2699">
        <v>110</v>
      </c>
      <c r="F2699">
        <v>55</v>
      </c>
      <c r="G2699">
        <v>2090</v>
      </c>
      <c r="H2699" s="4">
        <v>1045</v>
      </c>
      <c r="I2699" s="4">
        <v>1045</v>
      </c>
      <c r="J2699" t="s">
        <v>482</v>
      </c>
      <c r="K2699" t="s">
        <v>42</v>
      </c>
      <c r="L2699" s="4">
        <v>11.311040680082275</v>
      </c>
      <c r="M2699" s="1" t="s">
        <v>54</v>
      </c>
      <c r="N2699" s="11">
        <f t="shared" si="42"/>
        <v>10</v>
      </c>
    </row>
    <row r="2700" spans="1:14" ht="16" x14ac:dyDescent="0.2">
      <c r="A2700" s="3">
        <v>44607.266191775634</v>
      </c>
      <c r="B2700" s="1" t="s">
        <v>2960</v>
      </c>
      <c r="C2700" t="s">
        <v>175</v>
      </c>
      <c r="D2700">
        <v>9</v>
      </c>
      <c r="E2700">
        <v>38</v>
      </c>
      <c r="F2700">
        <v>19</v>
      </c>
      <c r="G2700">
        <v>342</v>
      </c>
      <c r="H2700" s="4">
        <v>171</v>
      </c>
      <c r="I2700" s="4">
        <v>171</v>
      </c>
      <c r="J2700" t="s">
        <v>137</v>
      </c>
      <c r="K2700" t="s">
        <v>42</v>
      </c>
      <c r="L2700" s="4">
        <v>11.410471033945758</v>
      </c>
      <c r="M2700" s="1" t="s">
        <v>34</v>
      </c>
      <c r="N2700" s="11">
        <f t="shared" si="42"/>
        <v>1</v>
      </c>
    </row>
    <row r="2701" spans="1:14" ht="16" x14ac:dyDescent="0.2">
      <c r="A2701" s="3">
        <v>45534.160891018968</v>
      </c>
      <c r="B2701" s="1" t="s">
        <v>2961</v>
      </c>
      <c r="C2701" t="s">
        <v>130</v>
      </c>
      <c r="D2701">
        <v>7</v>
      </c>
      <c r="E2701">
        <v>144</v>
      </c>
      <c r="F2701">
        <v>48</v>
      </c>
      <c r="G2701">
        <v>1008</v>
      </c>
      <c r="H2701" s="4">
        <v>336</v>
      </c>
      <c r="I2701" s="4">
        <v>672</v>
      </c>
      <c r="J2701" t="s">
        <v>341</v>
      </c>
      <c r="K2701" t="s">
        <v>64</v>
      </c>
      <c r="L2701" s="4">
        <v>10.816866337473218</v>
      </c>
      <c r="M2701" s="1" t="s">
        <v>38</v>
      </c>
      <c r="N2701" s="11">
        <f t="shared" si="42"/>
        <v>5</v>
      </c>
    </row>
    <row r="2702" spans="1:14" ht="16" x14ac:dyDescent="0.2">
      <c r="A2702" s="3">
        <v>43604.870962295747</v>
      </c>
      <c r="B2702" s="1" t="s">
        <v>1639</v>
      </c>
      <c r="C2702" t="s">
        <v>163</v>
      </c>
      <c r="D2702">
        <v>10</v>
      </c>
      <c r="E2702">
        <v>108</v>
      </c>
      <c r="F2702">
        <v>36</v>
      </c>
      <c r="G2702">
        <v>1080</v>
      </c>
      <c r="H2702" s="4">
        <v>360</v>
      </c>
      <c r="I2702" s="4">
        <v>720</v>
      </c>
      <c r="J2702" t="s">
        <v>1157</v>
      </c>
      <c r="K2702" t="s">
        <v>42</v>
      </c>
      <c r="L2702" s="4">
        <v>10.517826055804084</v>
      </c>
      <c r="M2702" s="1" t="s">
        <v>38</v>
      </c>
      <c r="N2702" s="11">
        <f t="shared" si="42"/>
        <v>5</v>
      </c>
    </row>
    <row r="2703" spans="1:14" ht="16" x14ac:dyDescent="0.2">
      <c r="A2703" s="3">
        <v>43870.941170958737</v>
      </c>
      <c r="B2703" s="1" t="s">
        <v>2962</v>
      </c>
      <c r="C2703" t="s">
        <v>523</v>
      </c>
      <c r="D2703">
        <v>4</v>
      </c>
      <c r="E2703">
        <v>92</v>
      </c>
      <c r="F2703">
        <v>46</v>
      </c>
      <c r="G2703">
        <v>368</v>
      </c>
      <c r="H2703" s="4">
        <v>184</v>
      </c>
      <c r="I2703" s="4">
        <v>184</v>
      </c>
      <c r="J2703" t="s">
        <v>361</v>
      </c>
      <c r="K2703" t="s">
        <v>64</v>
      </c>
      <c r="L2703" s="4">
        <v>13.092530646074781</v>
      </c>
      <c r="M2703" s="1" t="s">
        <v>54</v>
      </c>
      <c r="N2703" s="11">
        <f t="shared" si="42"/>
        <v>10</v>
      </c>
    </row>
    <row r="2704" spans="1:14" ht="16" x14ac:dyDescent="0.2">
      <c r="A2704" s="3">
        <v>43625.807593783655</v>
      </c>
      <c r="B2704" s="1" t="s">
        <v>2963</v>
      </c>
      <c r="C2704" t="s">
        <v>142</v>
      </c>
      <c r="D2704">
        <v>20</v>
      </c>
      <c r="E2704">
        <v>210</v>
      </c>
      <c r="F2704">
        <v>70</v>
      </c>
      <c r="G2704">
        <v>4200</v>
      </c>
      <c r="H2704" s="4">
        <v>1400</v>
      </c>
      <c r="I2704" s="4">
        <v>2800</v>
      </c>
      <c r="J2704" t="s">
        <v>704</v>
      </c>
      <c r="K2704" t="s">
        <v>86</v>
      </c>
      <c r="L2704" s="4">
        <v>12.699042739101285</v>
      </c>
      <c r="M2704" s="1" t="s">
        <v>54</v>
      </c>
      <c r="N2704" s="11">
        <f t="shared" si="42"/>
        <v>10</v>
      </c>
    </row>
    <row r="2705" spans="1:14" ht="16" x14ac:dyDescent="0.2">
      <c r="A2705" s="3">
        <v>43572.561987060595</v>
      </c>
      <c r="B2705" s="1" t="s">
        <v>2964</v>
      </c>
      <c r="C2705" t="s">
        <v>607</v>
      </c>
      <c r="D2705">
        <v>20</v>
      </c>
      <c r="E2705">
        <v>225</v>
      </c>
      <c r="F2705">
        <v>75</v>
      </c>
      <c r="G2705">
        <v>4500</v>
      </c>
      <c r="H2705" s="4">
        <v>1500</v>
      </c>
      <c r="I2705" s="4">
        <v>3000</v>
      </c>
      <c r="J2705" t="s">
        <v>531</v>
      </c>
      <c r="K2705" t="s">
        <v>58</v>
      </c>
      <c r="L2705" s="4">
        <v>14.064516999204997</v>
      </c>
      <c r="M2705" s="1" t="s">
        <v>38</v>
      </c>
      <c r="N2705" s="11">
        <f t="shared" si="42"/>
        <v>5</v>
      </c>
    </row>
    <row r="2706" spans="1:14" ht="16" x14ac:dyDescent="0.2">
      <c r="A2706" s="3">
        <v>44956.133211467546</v>
      </c>
      <c r="B2706" s="1" t="s">
        <v>2965</v>
      </c>
      <c r="C2706" t="s">
        <v>69</v>
      </c>
      <c r="D2706">
        <v>7</v>
      </c>
      <c r="E2706">
        <v>184</v>
      </c>
      <c r="F2706">
        <v>92</v>
      </c>
      <c r="G2706">
        <v>1288</v>
      </c>
      <c r="H2706" s="4">
        <v>644</v>
      </c>
      <c r="I2706" s="4">
        <v>644</v>
      </c>
      <c r="J2706" t="s">
        <v>1573</v>
      </c>
      <c r="K2706" t="s">
        <v>64</v>
      </c>
      <c r="L2706" s="4">
        <v>10.78374703625888</v>
      </c>
      <c r="M2706" s="1" t="s">
        <v>34</v>
      </c>
      <c r="N2706" s="11">
        <f t="shared" si="42"/>
        <v>1</v>
      </c>
    </row>
    <row r="2707" spans="1:14" ht="16" x14ac:dyDescent="0.2">
      <c r="A2707" s="3">
        <v>44576.511336680051</v>
      </c>
      <c r="B2707" s="1" t="s">
        <v>2966</v>
      </c>
      <c r="C2707" t="s">
        <v>115</v>
      </c>
      <c r="D2707">
        <v>13</v>
      </c>
      <c r="E2707">
        <v>81</v>
      </c>
      <c r="F2707">
        <v>27</v>
      </c>
      <c r="G2707">
        <v>1053</v>
      </c>
      <c r="H2707" s="4">
        <v>351</v>
      </c>
      <c r="I2707" s="4">
        <v>702</v>
      </c>
      <c r="J2707" t="s">
        <v>128</v>
      </c>
      <c r="K2707" t="s">
        <v>42</v>
      </c>
      <c r="L2707" s="4">
        <v>15.487214309603928</v>
      </c>
      <c r="M2707" s="1" t="s">
        <v>54</v>
      </c>
      <c r="N2707" s="11">
        <f t="shared" si="42"/>
        <v>10</v>
      </c>
    </row>
    <row r="2708" spans="1:14" ht="16" x14ac:dyDescent="0.2">
      <c r="A2708" s="3">
        <v>44036.41547608994</v>
      </c>
      <c r="B2708" s="1" t="s">
        <v>532</v>
      </c>
      <c r="C2708" t="s">
        <v>255</v>
      </c>
      <c r="D2708">
        <v>1</v>
      </c>
      <c r="E2708">
        <v>140</v>
      </c>
      <c r="F2708">
        <v>70</v>
      </c>
      <c r="G2708">
        <v>140</v>
      </c>
      <c r="H2708" s="4">
        <v>70</v>
      </c>
      <c r="I2708" s="4">
        <v>70</v>
      </c>
      <c r="J2708" t="s">
        <v>216</v>
      </c>
      <c r="K2708" t="s">
        <v>58</v>
      </c>
      <c r="L2708" s="4">
        <v>15.556812309269255</v>
      </c>
      <c r="M2708" s="1" t="s">
        <v>54</v>
      </c>
      <c r="N2708" s="11">
        <f t="shared" si="42"/>
        <v>10</v>
      </c>
    </row>
    <row r="2709" spans="1:14" ht="16" x14ac:dyDescent="0.2">
      <c r="A2709" s="3">
        <v>43891.699325981834</v>
      </c>
      <c r="B2709" s="1" t="s">
        <v>2967</v>
      </c>
      <c r="C2709" t="s">
        <v>266</v>
      </c>
      <c r="D2709">
        <v>14</v>
      </c>
      <c r="E2709">
        <v>50</v>
      </c>
      <c r="F2709">
        <v>25</v>
      </c>
      <c r="G2709">
        <v>700</v>
      </c>
      <c r="H2709" s="4">
        <v>350</v>
      </c>
      <c r="I2709" s="4">
        <v>350</v>
      </c>
      <c r="J2709" t="s">
        <v>754</v>
      </c>
      <c r="K2709" t="s">
        <v>42</v>
      </c>
      <c r="L2709" s="4">
        <v>14.376986923104601</v>
      </c>
      <c r="M2709" s="1" t="s">
        <v>54</v>
      </c>
      <c r="N2709" s="11">
        <f t="shared" si="42"/>
        <v>10</v>
      </c>
    </row>
    <row r="2710" spans="1:14" ht="16" x14ac:dyDescent="0.2">
      <c r="A2710" s="3">
        <v>44376.978932635582</v>
      </c>
      <c r="B2710" s="1" t="s">
        <v>2968</v>
      </c>
      <c r="C2710" t="s">
        <v>410</v>
      </c>
      <c r="D2710">
        <v>16</v>
      </c>
      <c r="E2710">
        <v>84</v>
      </c>
      <c r="F2710">
        <v>21</v>
      </c>
      <c r="G2710">
        <v>1344</v>
      </c>
      <c r="H2710" s="4">
        <v>336</v>
      </c>
      <c r="I2710" s="4">
        <v>1008</v>
      </c>
      <c r="J2710" t="s">
        <v>733</v>
      </c>
      <c r="K2710" t="s">
        <v>53</v>
      </c>
      <c r="L2710" s="4">
        <v>16.148992525516267</v>
      </c>
      <c r="M2710" s="1" t="s">
        <v>54</v>
      </c>
      <c r="N2710" s="11">
        <f t="shared" si="42"/>
        <v>10</v>
      </c>
    </row>
    <row r="2711" spans="1:14" ht="16" x14ac:dyDescent="0.2">
      <c r="A2711" s="3">
        <v>44368.629848113662</v>
      </c>
      <c r="B2711" s="1" t="s">
        <v>2969</v>
      </c>
      <c r="C2711" t="s">
        <v>178</v>
      </c>
      <c r="D2711">
        <v>2</v>
      </c>
      <c r="E2711">
        <v>189</v>
      </c>
      <c r="F2711">
        <v>63</v>
      </c>
      <c r="G2711">
        <v>378</v>
      </c>
      <c r="H2711" s="4">
        <v>126</v>
      </c>
      <c r="I2711" s="4">
        <v>252</v>
      </c>
      <c r="J2711" t="s">
        <v>435</v>
      </c>
      <c r="K2711" t="s">
        <v>33</v>
      </c>
      <c r="L2711" s="4">
        <v>5.9872353338051019</v>
      </c>
      <c r="M2711" s="1" t="s">
        <v>54</v>
      </c>
      <c r="N2711" s="11">
        <f t="shared" si="42"/>
        <v>10</v>
      </c>
    </row>
    <row r="2712" spans="1:14" ht="16" x14ac:dyDescent="0.2">
      <c r="A2712" s="3">
        <v>43346.382256939352</v>
      </c>
      <c r="B2712" s="1" t="s">
        <v>2970</v>
      </c>
      <c r="C2712" t="s">
        <v>136</v>
      </c>
      <c r="D2712">
        <v>13</v>
      </c>
      <c r="E2712">
        <v>154</v>
      </c>
      <c r="F2712">
        <v>77</v>
      </c>
      <c r="G2712">
        <v>2002</v>
      </c>
      <c r="H2712" s="4">
        <v>1001</v>
      </c>
      <c r="I2712" s="4">
        <v>1001</v>
      </c>
      <c r="J2712" t="s">
        <v>455</v>
      </c>
      <c r="K2712" t="s">
        <v>53</v>
      </c>
      <c r="L2712" s="4">
        <v>13.574227261506472</v>
      </c>
      <c r="M2712" s="1" t="s">
        <v>34</v>
      </c>
      <c r="N2712" s="11">
        <f t="shared" si="42"/>
        <v>1</v>
      </c>
    </row>
    <row r="2713" spans="1:14" ht="16" x14ac:dyDescent="0.2">
      <c r="A2713" s="3">
        <v>43800.705215468675</v>
      </c>
      <c r="B2713" s="1" t="s">
        <v>2971</v>
      </c>
      <c r="C2713" t="s">
        <v>370</v>
      </c>
      <c r="D2713">
        <v>16</v>
      </c>
      <c r="E2713">
        <v>144</v>
      </c>
      <c r="F2713">
        <v>36</v>
      </c>
      <c r="G2713">
        <v>2304</v>
      </c>
      <c r="H2713" s="4">
        <v>576</v>
      </c>
      <c r="I2713" s="4">
        <v>1728</v>
      </c>
      <c r="J2713" t="s">
        <v>962</v>
      </c>
      <c r="K2713" t="s">
        <v>86</v>
      </c>
      <c r="L2713" s="4">
        <v>10.968401424454578</v>
      </c>
      <c r="M2713" s="1" t="s">
        <v>54</v>
      </c>
      <c r="N2713" s="11">
        <f t="shared" si="42"/>
        <v>10</v>
      </c>
    </row>
    <row r="2714" spans="1:14" ht="16" x14ac:dyDescent="0.2">
      <c r="A2714" s="3">
        <v>42614.683696432592</v>
      </c>
      <c r="B2714" s="1" t="s">
        <v>2972</v>
      </c>
      <c r="C2714" t="s">
        <v>425</v>
      </c>
      <c r="D2714">
        <v>13</v>
      </c>
      <c r="E2714">
        <v>352</v>
      </c>
      <c r="F2714">
        <v>88</v>
      </c>
      <c r="G2714">
        <v>4576</v>
      </c>
      <c r="H2714" s="4">
        <v>1144</v>
      </c>
      <c r="I2714" s="4">
        <v>3432</v>
      </c>
      <c r="J2714" t="s">
        <v>429</v>
      </c>
      <c r="K2714" t="s">
        <v>33</v>
      </c>
      <c r="L2714" s="4">
        <v>11.701919153133453</v>
      </c>
      <c r="M2714" s="1" t="s">
        <v>54</v>
      </c>
      <c r="N2714" s="11">
        <f t="shared" si="42"/>
        <v>10</v>
      </c>
    </row>
    <row r="2715" spans="1:14" ht="16" x14ac:dyDescent="0.2">
      <c r="A2715" s="3">
        <v>44028.045549209935</v>
      </c>
      <c r="B2715" s="1" t="s">
        <v>2973</v>
      </c>
      <c r="C2715" t="s">
        <v>243</v>
      </c>
      <c r="D2715">
        <v>11</v>
      </c>
      <c r="E2715">
        <v>90</v>
      </c>
      <c r="F2715">
        <v>45</v>
      </c>
      <c r="G2715">
        <v>990</v>
      </c>
      <c r="H2715" s="4">
        <v>495</v>
      </c>
      <c r="I2715" s="4">
        <v>495</v>
      </c>
      <c r="J2715" t="s">
        <v>118</v>
      </c>
      <c r="K2715" t="s">
        <v>64</v>
      </c>
      <c r="L2715" s="4">
        <v>11.128721898968678</v>
      </c>
      <c r="M2715" s="1" t="s">
        <v>38</v>
      </c>
      <c r="N2715" s="11">
        <f t="shared" si="42"/>
        <v>5</v>
      </c>
    </row>
    <row r="2716" spans="1:14" ht="16" x14ac:dyDescent="0.2">
      <c r="A2716" s="3">
        <v>43361.110898652703</v>
      </c>
      <c r="B2716" s="1" t="s">
        <v>2974</v>
      </c>
      <c r="C2716" t="s">
        <v>312</v>
      </c>
      <c r="D2716">
        <v>14</v>
      </c>
      <c r="E2716">
        <v>240</v>
      </c>
      <c r="F2716">
        <v>80</v>
      </c>
      <c r="G2716">
        <v>3360</v>
      </c>
      <c r="H2716" s="4">
        <v>1120</v>
      </c>
      <c r="I2716" s="4">
        <v>2240</v>
      </c>
      <c r="J2716" t="s">
        <v>462</v>
      </c>
      <c r="K2716" t="s">
        <v>86</v>
      </c>
      <c r="L2716" s="4">
        <v>12.732640267350657</v>
      </c>
      <c r="M2716" s="1" t="s">
        <v>38</v>
      </c>
      <c r="N2716" s="11">
        <f t="shared" si="42"/>
        <v>5</v>
      </c>
    </row>
    <row r="2717" spans="1:14" ht="16" x14ac:dyDescent="0.2">
      <c r="A2717" s="3">
        <v>44329.572422122925</v>
      </c>
      <c r="B2717" s="1" t="s">
        <v>2975</v>
      </c>
      <c r="C2717" t="s">
        <v>56</v>
      </c>
      <c r="D2717">
        <v>5</v>
      </c>
      <c r="E2717">
        <v>38</v>
      </c>
      <c r="F2717">
        <v>19</v>
      </c>
      <c r="G2717">
        <v>190</v>
      </c>
      <c r="H2717" s="4">
        <v>95</v>
      </c>
      <c r="I2717" s="4">
        <v>95</v>
      </c>
      <c r="J2717" t="s">
        <v>121</v>
      </c>
      <c r="K2717" t="s">
        <v>64</v>
      </c>
      <c r="L2717" s="4">
        <v>14.16303548174143</v>
      </c>
      <c r="M2717" s="1" t="s">
        <v>38</v>
      </c>
      <c r="N2717" s="11">
        <f t="shared" si="42"/>
        <v>5</v>
      </c>
    </row>
    <row r="2718" spans="1:14" ht="16" x14ac:dyDescent="0.2">
      <c r="A2718" s="3">
        <v>44455.055444882259</v>
      </c>
      <c r="B2718" s="1" t="s">
        <v>2976</v>
      </c>
      <c r="C2718" t="s">
        <v>196</v>
      </c>
      <c r="D2718">
        <v>6</v>
      </c>
      <c r="E2718">
        <v>192</v>
      </c>
      <c r="F2718">
        <v>96</v>
      </c>
      <c r="G2718">
        <v>1152</v>
      </c>
      <c r="H2718" s="4">
        <v>576</v>
      </c>
      <c r="I2718" s="4">
        <v>576</v>
      </c>
      <c r="J2718" t="s">
        <v>216</v>
      </c>
      <c r="K2718" t="s">
        <v>58</v>
      </c>
      <c r="L2718" s="4">
        <v>15.556812309269255</v>
      </c>
      <c r="M2718" s="1" t="s">
        <v>54</v>
      </c>
      <c r="N2718" s="11">
        <f t="shared" si="42"/>
        <v>10</v>
      </c>
    </row>
    <row r="2719" spans="1:14" ht="16" x14ac:dyDescent="0.2">
      <c r="A2719" s="3">
        <v>43832.926815953615</v>
      </c>
      <c r="B2719" s="1" t="s">
        <v>2977</v>
      </c>
      <c r="C2719" t="s">
        <v>175</v>
      </c>
      <c r="D2719">
        <v>18</v>
      </c>
      <c r="E2719">
        <v>38</v>
      </c>
      <c r="F2719">
        <v>19</v>
      </c>
      <c r="G2719">
        <v>684</v>
      </c>
      <c r="H2719" s="4">
        <v>342</v>
      </c>
      <c r="I2719" s="4">
        <v>342</v>
      </c>
      <c r="J2719" t="s">
        <v>307</v>
      </c>
      <c r="K2719" t="s">
        <v>53</v>
      </c>
      <c r="L2719" s="4">
        <v>7.0114620475168028</v>
      </c>
      <c r="M2719" s="1" t="s">
        <v>38</v>
      </c>
      <c r="N2719" s="11">
        <f t="shared" si="42"/>
        <v>5</v>
      </c>
    </row>
    <row r="2720" spans="1:14" ht="16" x14ac:dyDescent="0.2">
      <c r="A2720" s="3">
        <v>43658.807121199527</v>
      </c>
      <c r="B2720" s="1" t="s">
        <v>1380</v>
      </c>
      <c r="C2720" t="s">
        <v>297</v>
      </c>
      <c r="D2720">
        <v>17</v>
      </c>
      <c r="E2720">
        <v>108</v>
      </c>
      <c r="F2720">
        <v>36</v>
      </c>
      <c r="G2720">
        <v>1836</v>
      </c>
      <c r="H2720" s="4">
        <v>612</v>
      </c>
      <c r="I2720" s="4">
        <v>1224</v>
      </c>
      <c r="J2720" t="s">
        <v>562</v>
      </c>
      <c r="K2720" t="s">
        <v>49</v>
      </c>
      <c r="L2720" s="4">
        <v>11.808681852148307</v>
      </c>
      <c r="M2720" s="1" t="s">
        <v>54</v>
      </c>
      <c r="N2720" s="11">
        <f t="shared" si="42"/>
        <v>10</v>
      </c>
    </row>
    <row r="2721" spans="1:14" ht="16" x14ac:dyDescent="0.2">
      <c r="A2721" s="3">
        <v>44153.474753498536</v>
      </c>
      <c r="B2721" s="1" t="s">
        <v>2978</v>
      </c>
      <c r="C2721" t="s">
        <v>370</v>
      </c>
      <c r="D2721">
        <v>16</v>
      </c>
      <c r="E2721">
        <v>144</v>
      </c>
      <c r="F2721">
        <v>36</v>
      </c>
      <c r="G2721">
        <v>2304</v>
      </c>
      <c r="H2721" s="4">
        <v>576</v>
      </c>
      <c r="I2721" s="4">
        <v>1728</v>
      </c>
      <c r="J2721" t="s">
        <v>426</v>
      </c>
      <c r="K2721" t="s">
        <v>53</v>
      </c>
      <c r="L2721" s="4">
        <v>13.923194761258239</v>
      </c>
      <c r="M2721" s="1" t="s">
        <v>38</v>
      </c>
      <c r="N2721" s="11">
        <f t="shared" si="42"/>
        <v>5</v>
      </c>
    </row>
    <row r="2722" spans="1:14" ht="16" x14ac:dyDescent="0.2">
      <c r="A2722" s="3">
        <v>44309.710542255685</v>
      </c>
      <c r="B2722" s="1" t="s">
        <v>2979</v>
      </c>
      <c r="C2722" t="s">
        <v>81</v>
      </c>
      <c r="D2722">
        <v>7</v>
      </c>
      <c r="E2722">
        <v>166</v>
      </c>
      <c r="F2722">
        <v>83</v>
      </c>
      <c r="G2722">
        <v>1162</v>
      </c>
      <c r="H2722" s="4">
        <v>581</v>
      </c>
      <c r="I2722" s="4">
        <v>581</v>
      </c>
      <c r="J2722" t="s">
        <v>176</v>
      </c>
      <c r="K2722" t="s">
        <v>64</v>
      </c>
      <c r="L2722" s="4">
        <v>12.1334991293512</v>
      </c>
      <c r="M2722" s="1" t="s">
        <v>34</v>
      </c>
      <c r="N2722" s="11">
        <f t="shared" si="42"/>
        <v>1</v>
      </c>
    </row>
    <row r="2723" spans="1:14" ht="16" x14ac:dyDescent="0.2">
      <c r="A2723" s="3">
        <v>43728.033909260455</v>
      </c>
      <c r="B2723" s="1" t="s">
        <v>2980</v>
      </c>
      <c r="C2723" t="s">
        <v>75</v>
      </c>
      <c r="D2723">
        <v>18</v>
      </c>
      <c r="E2723">
        <v>76</v>
      </c>
      <c r="F2723">
        <v>19</v>
      </c>
      <c r="G2723">
        <v>1368</v>
      </c>
      <c r="H2723" s="4">
        <v>342</v>
      </c>
      <c r="I2723" s="4">
        <v>1026</v>
      </c>
      <c r="J2723" t="s">
        <v>854</v>
      </c>
      <c r="K2723" t="s">
        <v>58</v>
      </c>
      <c r="L2723" s="4">
        <v>12.990345718839325</v>
      </c>
      <c r="M2723" s="1" t="s">
        <v>54</v>
      </c>
      <c r="N2723" s="11">
        <f t="shared" si="42"/>
        <v>10</v>
      </c>
    </row>
    <row r="2724" spans="1:14" ht="16" x14ac:dyDescent="0.2">
      <c r="A2724" s="3">
        <v>43863.643005691221</v>
      </c>
      <c r="B2724" s="1" t="s">
        <v>2981</v>
      </c>
      <c r="C2724" t="s">
        <v>266</v>
      </c>
      <c r="D2724">
        <v>19</v>
      </c>
      <c r="E2724">
        <v>50</v>
      </c>
      <c r="F2724">
        <v>25</v>
      </c>
      <c r="G2724">
        <v>950</v>
      </c>
      <c r="H2724" s="4">
        <v>475</v>
      </c>
      <c r="I2724" s="4">
        <v>475</v>
      </c>
      <c r="J2724" t="s">
        <v>446</v>
      </c>
      <c r="K2724" t="s">
        <v>53</v>
      </c>
      <c r="L2724" s="4">
        <v>12.85215703546821</v>
      </c>
      <c r="M2724" s="1" t="s">
        <v>38</v>
      </c>
      <c r="N2724" s="11">
        <f t="shared" si="42"/>
        <v>5</v>
      </c>
    </row>
    <row r="2725" spans="1:14" ht="16" x14ac:dyDescent="0.2">
      <c r="A2725" s="3">
        <v>43904.344231909279</v>
      </c>
      <c r="B2725" s="1" t="s">
        <v>2982</v>
      </c>
      <c r="C2725" t="s">
        <v>51</v>
      </c>
      <c r="D2725">
        <v>15</v>
      </c>
      <c r="E2725">
        <v>160</v>
      </c>
      <c r="F2725">
        <v>80</v>
      </c>
      <c r="G2725">
        <v>2400</v>
      </c>
      <c r="H2725" s="4">
        <v>1200</v>
      </c>
      <c r="I2725" s="4">
        <v>1200</v>
      </c>
      <c r="J2725" t="s">
        <v>574</v>
      </c>
      <c r="K2725" t="s">
        <v>58</v>
      </c>
      <c r="L2725" s="4">
        <v>13.150536103258979</v>
      </c>
      <c r="M2725" s="1" t="s">
        <v>54</v>
      </c>
      <c r="N2725" s="11">
        <f t="shared" si="42"/>
        <v>10</v>
      </c>
    </row>
    <row r="2726" spans="1:14" ht="16" x14ac:dyDescent="0.2">
      <c r="A2726" s="3">
        <v>44225.026762761867</v>
      </c>
      <c r="B2726" s="1" t="s">
        <v>575</v>
      </c>
      <c r="C2726" t="s">
        <v>503</v>
      </c>
      <c r="D2726">
        <v>17</v>
      </c>
      <c r="E2726">
        <v>50</v>
      </c>
      <c r="F2726">
        <v>25</v>
      </c>
      <c r="G2726">
        <v>850</v>
      </c>
      <c r="H2726" s="4">
        <v>425</v>
      </c>
      <c r="I2726" s="4">
        <v>425</v>
      </c>
      <c r="J2726" t="s">
        <v>380</v>
      </c>
      <c r="K2726" t="s">
        <v>64</v>
      </c>
      <c r="L2726" s="4">
        <v>11.416048240262977</v>
      </c>
      <c r="M2726" s="1" t="s">
        <v>38</v>
      </c>
      <c r="N2726" s="11">
        <f t="shared" si="42"/>
        <v>5</v>
      </c>
    </row>
    <row r="2727" spans="1:14" ht="16" x14ac:dyDescent="0.2">
      <c r="A2727" s="3">
        <v>43139.261870158989</v>
      </c>
      <c r="B2727" s="1" t="s">
        <v>2983</v>
      </c>
      <c r="C2727" t="s">
        <v>788</v>
      </c>
      <c r="D2727">
        <v>20</v>
      </c>
      <c r="E2727">
        <v>100</v>
      </c>
      <c r="F2727">
        <v>25</v>
      </c>
      <c r="G2727">
        <v>2000</v>
      </c>
      <c r="H2727" s="4">
        <v>500</v>
      </c>
      <c r="I2727" s="4">
        <v>1500</v>
      </c>
      <c r="J2727" t="s">
        <v>1068</v>
      </c>
      <c r="K2727" t="s">
        <v>42</v>
      </c>
      <c r="L2727" s="4">
        <v>8.1352386075080023</v>
      </c>
      <c r="M2727" s="1" t="s">
        <v>38</v>
      </c>
      <c r="N2727" s="11">
        <f t="shared" si="42"/>
        <v>5</v>
      </c>
    </row>
    <row r="2728" spans="1:14" ht="16" x14ac:dyDescent="0.2">
      <c r="A2728" s="3">
        <v>44118.800680120301</v>
      </c>
      <c r="B2728" s="1" t="s">
        <v>2984</v>
      </c>
      <c r="C2728" t="s">
        <v>201</v>
      </c>
      <c r="D2728">
        <v>12</v>
      </c>
      <c r="E2728">
        <v>30</v>
      </c>
      <c r="F2728">
        <v>15</v>
      </c>
      <c r="G2728">
        <v>360</v>
      </c>
      <c r="H2728" s="4">
        <v>180</v>
      </c>
      <c r="I2728" s="4">
        <v>180</v>
      </c>
      <c r="J2728" t="s">
        <v>361</v>
      </c>
      <c r="K2728" t="s">
        <v>64</v>
      </c>
      <c r="L2728" s="4">
        <v>13.092530646074781</v>
      </c>
      <c r="M2728" s="1" t="s">
        <v>54</v>
      </c>
      <c r="N2728" s="11">
        <f t="shared" si="42"/>
        <v>10</v>
      </c>
    </row>
    <row r="2729" spans="1:14" ht="16" x14ac:dyDescent="0.2">
      <c r="A2729" s="3">
        <v>43893.284844301706</v>
      </c>
      <c r="B2729" s="1" t="s">
        <v>2985</v>
      </c>
      <c r="C2729" t="s">
        <v>788</v>
      </c>
      <c r="D2729">
        <v>3</v>
      </c>
      <c r="E2729">
        <v>100</v>
      </c>
      <c r="F2729">
        <v>25</v>
      </c>
      <c r="G2729">
        <v>300</v>
      </c>
      <c r="H2729" s="4">
        <v>75</v>
      </c>
      <c r="I2729" s="4">
        <v>225</v>
      </c>
      <c r="J2729" t="s">
        <v>246</v>
      </c>
      <c r="K2729" t="s">
        <v>58</v>
      </c>
      <c r="L2729" s="4">
        <v>15.234329552872023</v>
      </c>
      <c r="M2729" s="1" t="s">
        <v>54</v>
      </c>
      <c r="N2729" s="11">
        <f t="shared" si="42"/>
        <v>10</v>
      </c>
    </row>
    <row r="2730" spans="1:14" ht="16" x14ac:dyDescent="0.2">
      <c r="A2730" s="3">
        <v>44403.274878969351</v>
      </c>
      <c r="B2730" s="1" t="s">
        <v>2986</v>
      </c>
      <c r="C2730" t="s">
        <v>255</v>
      </c>
      <c r="D2730">
        <v>11</v>
      </c>
      <c r="E2730">
        <v>140</v>
      </c>
      <c r="F2730">
        <v>70</v>
      </c>
      <c r="G2730">
        <v>1540</v>
      </c>
      <c r="H2730" s="4">
        <v>770</v>
      </c>
      <c r="I2730" s="4">
        <v>770</v>
      </c>
      <c r="J2730" t="s">
        <v>335</v>
      </c>
      <c r="K2730" t="s">
        <v>53</v>
      </c>
      <c r="L2730" s="4">
        <v>12.148236977735172</v>
      </c>
      <c r="M2730" s="1" t="s">
        <v>54</v>
      </c>
      <c r="N2730" s="11">
        <f t="shared" si="42"/>
        <v>10</v>
      </c>
    </row>
    <row r="2731" spans="1:14" ht="16" x14ac:dyDescent="0.2">
      <c r="A2731" s="3">
        <v>43669.202295125171</v>
      </c>
      <c r="B2731" s="1" t="s">
        <v>2987</v>
      </c>
      <c r="C2731" t="s">
        <v>561</v>
      </c>
      <c r="D2731">
        <v>3</v>
      </c>
      <c r="E2731">
        <v>384</v>
      </c>
      <c r="F2731">
        <v>96</v>
      </c>
      <c r="G2731">
        <v>1152</v>
      </c>
      <c r="H2731" s="4">
        <v>288</v>
      </c>
      <c r="I2731" s="4">
        <v>864</v>
      </c>
      <c r="J2731" t="s">
        <v>411</v>
      </c>
      <c r="K2731" t="s">
        <v>64</v>
      </c>
      <c r="L2731" s="4">
        <v>13.115597690631557</v>
      </c>
      <c r="M2731" s="1" t="s">
        <v>54</v>
      </c>
      <c r="N2731" s="11">
        <f t="shared" si="42"/>
        <v>10</v>
      </c>
    </row>
    <row r="2732" spans="1:14" ht="16" x14ac:dyDescent="0.2">
      <c r="A2732" s="3">
        <v>44490.364463288854</v>
      </c>
      <c r="B2732" s="1" t="s">
        <v>1193</v>
      </c>
      <c r="C2732" t="s">
        <v>301</v>
      </c>
      <c r="D2732">
        <v>7</v>
      </c>
      <c r="E2732">
        <v>188</v>
      </c>
      <c r="F2732">
        <v>94</v>
      </c>
      <c r="G2732">
        <v>1316</v>
      </c>
      <c r="H2732" s="4">
        <v>658</v>
      </c>
      <c r="I2732" s="4">
        <v>658</v>
      </c>
      <c r="J2732" t="s">
        <v>416</v>
      </c>
      <c r="K2732" t="s">
        <v>58</v>
      </c>
      <c r="L2732" s="4">
        <v>12.399050786131125</v>
      </c>
      <c r="M2732" s="1" t="s">
        <v>34</v>
      </c>
      <c r="N2732" s="11">
        <f t="shared" si="42"/>
        <v>1</v>
      </c>
    </row>
    <row r="2733" spans="1:14" ht="16" x14ac:dyDescent="0.2">
      <c r="A2733" s="3">
        <v>44116.324230019556</v>
      </c>
      <c r="B2733" s="1" t="s">
        <v>1053</v>
      </c>
      <c r="C2733" t="s">
        <v>227</v>
      </c>
      <c r="D2733">
        <v>19</v>
      </c>
      <c r="E2733">
        <v>144</v>
      </c>
      <c r="F2733">
        <v>48</v>
      </c>
      <c r="G2733">
        <v>2736</v>
      </c>
      <c r="H2733" s="4">
        <v>912</v>
      </c>
      <c r="I2733" s="4">
        <v>1824</v>
      </c>
      <c r="J2733" t="s">
        <v>158</v>
      </c>
      <c r="K2733" t="s">
        <v>58</v>
      </c>
      <c r="L2733" s="4">
        <v>11.841063669683448</v>
      </c>
      <c r="M2733" s="1" t="s">
        <v>38</v>
      </c>
      <c r="N2733" s="11">
        <f t="shared" si="42"/>
        <v>5</v>
      </c>
    </row>
    <row r="2734" spans="1:14" ht="16" x14ac:dyDescent="0.2">
      <c r="A2734" s="3">
        <v>44011.169393107099</v>
      </c>
      <c r="B2734" s="1" t="s">
        <v>2988</v>
      </c>
      <c r="C2734" t="s">
        <v>44</v>
      </c>
      <c r="D2734">
        <v>20</v>
      </c>
      <c r="E2734">
        <v>114</v>
      </c>
      <c r="F2734">
        <v>57</v>
      </c>
      <c r="G2734">
        <v>2280</v>
      </c>
      <c r="H2734" s="4">
        <v>1140</v>
      </c>
      <c r="I2734" s="4">
        <v>1140</v>
      </c>
      <c r="J2734" t="s">
        <v>1129</v>
      </c>
      <c r="K2734" t="s">
        <v>33</v>
      </c>
      <c r="L2734" s="4">
        <v>10.585251392347548</v>
      </c>
      <c r="M2734" s="1" t="s">
        <v>34</v>
      </c>
      <c r="N2734" s="11">
        <f t="shared" si="42"/>
        <v>1</v>
      </c>
    </row>
    <row r="2735" spans="1:14" ht="16" x14ac:dyDescent="0.2">
      <c r="A2735" s="3">
        <v>44189.339697373958</v>
      </c>
      <c r="B2735" s="1" t="s">
        <v>2989</v>
      </c>
      <c r="C2735" t="s">
        <v>259</v>
      </c>
      <c r="D2735">
        <v>6</v>
      </c>
      <c r="E2735">
        <v>270</v>
      </c>
      <c r="F2735">
        <v>90</v>
      </c>
      <c r="G2735">
        <v>1620</v>
      </c>
      <c r="H2735" s="4">
        <v>540</v>
      </c>
      <c r="I2735" s="4">
        <v>1080</v>
      </c>
      <c r="J2735" t="s">
        <v>249</v>
      </c>
      <c r="K2735" t="s">
        <v>49</v>
      </c>
      <c r="L2735" s="4">
        <v>12.699346182652626</v>
      </c>
      <c r="M2735" s="1" t="s">
        <v>38</v>
      </c>
      <c r="N2735" s="11">
        <f t="shared" si="42"/>
        <v>5</v>
      </c>
    </row>
    <row r="2736" spans="1:14" ht="16" x14ac:dyDescent="0.2">
      <c r="A2736" s="3">
        <v>43796.480938191657</v>
      </c>
      <c r="B2736" s="1" t="s">
        <v>2990</v>
      </c>
      <c r="C2736" t="s">
        <v>110</v>
      </c>
      <c r="D2736">
        <v>17</v>
      </c>
      <c r="E2736">
        <v>144</v>
      </c>
      <c r="F2736">
        <v>36</v>
      </c>
      <c r="G2736">
        <v>2448</v>
      </c>
      <c r="H2736" s="4">
        <v>612</v>
      </c>
      <c r="I2736" s="4">
        <v>1836</v>
      </c>
      <c r="J2736" t="s">
        <v>1107</v>
      </c>
      <c r="K2736" t="s">
        <v>53</v>
      </c>
      <c r="L2736" s="4">
        <v>10.28240320324797</v>
      </c>
      <c r="M2736" s="1" t="s">
        <v>54</v>
      </c>
      <c r="N2736" s="11">
        <f t="shared" si="42"/>
        <v>10</v>
      </c>
    </row>
    <row r="2737" spans="1:14" ht="16" x14ac:dyDescent="0.2">
      <c r="A2737" s="3">
        <v>43387.576675328462</v>
      </c>
      <c r="B2737" s="1" t="s">
        <v>2991</v>
      </c>
      <c r="C2737" t="s">
        <v>337</v>
      </c>
      <c r="D2737">
        <v>7</v>
      </c>
      <c r="E2737">
        <v>135</v>
      </c>
      <c r="F2737">
        <v>45</v>
      </c>
      <c r="G2737">
        <v>945</v>
      </c>
      <c r="H2737" s="4">
        <v>315</v>
      </c>
      <c r="I2737" s="4">
        <v>630</v>
      </c>
      <c r="J2737" t="s">
        <v>238</v>
      </c>
      <c r="K2737" t="s">
        <v>86</v>
      </c>
      <c r="L2737" s="4">
        <v>14.593670394271927</v>
      </c>
      <c r="M2737" s="1" t="s">
        <v>38</v>
      </c>
      <c r="N2737" s="11">
        <f t="shared" si="42"/>
        <v>5</v>
      </c>
    </row>
    <row r="2738" spans="1:14" ht="16" x14ac:dyDescent="0.2">
      <c r="A2738" s="3">
        <v>43193.797557860948</v>
      </c>
      <c r="B2738" s="1" t="s">
        <v>2992</v>
      </c>
      <c r="C2738" t="s">
        <v>209</v>
      </c>
      <c r="D2738">
        <v>4</v>
      </c>
      <c r="E2738">
        <v>150</v>
      </c>
      <c r="F2738">
        <v>75</v>
      </c>
      <c r="G2738">
        <v>600</v>
      </c>
      <c r="H2738" s="4">
        <v>300</v>
      </c>
      <c r="I2738" s="4">
        <v>300</v>
      </c>
      <c r="J2738" t="s">
        <v>426</v>
      </c>
      <c r="K2738" t="s">
        <v>53</v>
      </c>
      <c r="L2738" s="4">
        <v>13.923194761258239</v>
      </c>
      <c r="M2738" s="1" t="s">
        <v>54</v>
      </c>
      <c r="N2738" s="11">
        <f t="shared" si="42"/>
        <v>10</v>
      </c>
    </row>
    <row r="2739" spans="1:14" ht="16" x14ac:dyDescent="0.2">
      <c r="A2739" s="3">
        <v>43347.837925856991</v>
      </c>
      <c r="B2739" s="1" t="s">
        <v>2993</v>
      </c>
      <c r="C2739" t="s">
        <v>148</v>
      </c>
      <c r="D2739">
        <v>14</v>
      </c>
      <c r="E2739">
        <v>144</v>
      </c>
      <c r="F2739">
        <v>36</v>
      </c>
      <c r="G2739">
        <v>2016</v>
      </c>
      <c r="H2739" s="4">
        <v>504</v>
      </c>
      <c r="I2739" s="4">
        <v>1512</v>
      </c>
      <c r="J2739" t="s">
        <v>997</v>
      </c>
      <c r="K2739" t="s">
        <v>58</v>
      </c>
      <c r="L2739" s="4">
        <v>12.173451788225162</v>
      </c>
      <c r="M2739" s="1" t="s">
        <v>34</v>
      </c>
      <c r="N2739" s="11">
        <f t="shared" si="42"/>
        <v>1</v>
      </c>
    </row>
    <row r="2740" spans="1:14" ht="16" x14ac:dyDescent="0.2">
      <c r="A2740" s="3">
        <v>44224.270751139229</v>
      </c>
      <c r="B2740" s="1" t="s">
        <v>2994</v>
      </c>
      <c r="C2740" t="s">
        <v>399</v>
      </c>
      <c r="D2740">
        <v>3</v>
      </c>
      <c r="E2740">
        <v>160</v>
      </c>
      <c r="F2740">
        <v>80</v>
      </c>
      <c r="G2740">
        <v>480</v>
      </c>
      <c r="H2740" s="4">
        <v>240</v>
      </c>
      <c r="I2740" s="4">
        <v>240</v>
      </c>
      <c r="J2740" t="s">
        <v>774</v>
      </c>
      <c r="K2740" t="s">
        <v>49</v>
      </c>
      <c r="L2740" s="4">
        <v>13.392447352247808</v>
      </c>
      <c r="M2740" s="1" t="s">
        <v>38</v>
      </c>
      <c r="N2740" s="11">
        <f t="shared" si="42"/>
        <v>5</v>
      </c>
    </row>
    <row r="2741" spans="1:14" ht="16" x14ac:dyDescent="0.2">
      <c r="A2741" s="3">
        <v>43942.011613214279</v>
      </c>
      <c r="B2741" s="1" t="s">
        <v>2995</v>
      </c>
      <c r="C2741" t="s">
        <v>51</v>
      </c>
      <c r="D2741">
        <v>14</v>
      </c>
      <c r="E2741">
        <v>160</v>
      </c>
      <c r="F2741">
        <v>80</v>
      </c>
      <c r="G2741">
        <v>2240</v>
      </c>
      <c r="H2741" s="4">
        <v>1120</v>
      </c>
      <c r="I2741" s="4">
        <v>1120</v>
      </c>
      <c r="J2741" t="s">
        <v>438</v>
      </c>
      <c r="K2741" t="s">
        <v>64</v>
      </c>
      <c r="L2741" s="4">
        <v>12.532428411174646</v>
      </c>
      <c r="M2741" s="1" t="s">
        <v>38</v>
      </c>
      <c r="N2741" s="11">
        <f t="shared" si="42"/>
        <v>5</v>
      </c>
    </row>
    <row r="2742" spans="1:14" ht="16" x14ac:dyDescent="0.2">
      <c r="A2742" s="3">
        <v>43355.59976610235</v>
      </c>
      <c r="B2742" s="1" t="s">
        <v>2996</v>
      </c>
      <c r="C2742" t="s">
        <v>503</v>
      </c>
      <c r="D2742">
        <v>9</v>
      </c>
      <c r="E2742">
        <v>50</v>
      </c>
      <c r="F2742">
        <v>25</v>
      </c>
      <c r="G2742">
        <v>450</v>
      </c>
      <c r="H2742" s="4">
        <v>225</v>
      </c>
      <c r="I2742" s="4">
        <v>225</v>
      </c>
      <c r="J2742" t="s">
        <v>331</v>
      </c>
      <c r="K2742" t="s">
        <v>58</v>
      </c>
      <c r="L2742" s="4">
        <v>15.18789248529443</v>
      </c>
      <c r="M2742" s="1" t="s">
        <v>38</v>
      </c>
      <c r="N2742" s="11">
        <f t="shared" si="42"/>
        <v>5</v>
      </c>
    </row>
    <row r="2743" spans="1:14" ht="16" x14ac:dyDescent="0.2">
      <c r="A2743" s="3">
        <v>43298.578703495783</v>
      </c>
      <c r="B2743" s="1" t="s">
        <v>2997</v>
      </c>
      <c r="C2743" t="s">
        <v>196</v>
      </c>
      <c r="D2743">
        <v>20</v>
      </c>
      <c r="E2743">
        <v>192</v>
      </c>
      <c r="F2743">
        <v>96</v>
      </c>
      <c r="G2743">
        <v>3840</v>
      </c>
      <c r="H2743" s="4">
        <v>1920</v>
      </c>
      <c r="I2743" s="4">
        <v>1920</v>
      </c>
      <c r="J2743" t="s">
        <v>844</v>
      </c>
      <c r="K2743" t="s">
        <v>33</v>
      </c>
      <c r="L2743" s="4">
        <v>11.816654396440285</v>
      </c>
      <c r="M2743" s="1" t="s">
        <v>38</v>
      </c>
      <c r="N2743" s="11">
        <f t="shared" si="42"/>
        <v>5</v>
      </c>
    </row>
    <row r="2744" spans="1:14" ht="16" x14ac:dyDescent="0.2">
      <c r="A2744" s="3">
        <v>44256.961008467464</v>
      </c>
      <c r="B2744" s="1" t="s">
        <v>2998</v>
      </c>
      <c r="C2744" t="s">
        <v>356</v>
      </c>
      <c r="D2744">
        <v>13</v>
      </c>
      <c r="E2744">
        <v>356</v>
      </c>
      <c r="F2744">
        <v>89</v>
      </c>
      <c r="G2744">
        <v>4628</v>
      </c>
      <c r="H2744" s="4">
        <v>1157</v>
      </c>
      <c r="I2744" s="4">
        <v>3471</v>
      </c>
      <c r="J2744" t="s">
        <v>57</v>
      </c>
      <c r="K2744" t="s">
        <v>58</v>
      </c>
      <c r="L2744" s="4">
        <v>11.749993886708426</v>
      </c>
      <c r="M2744" s="1" t="s">
        <v>34</v>
      </c>
      <c r="N2744" s="11">
        <f t="shared" si="42"/>
        <v>1</v>
      </c>
    </row>
    <row r="2745" spans="1:14" ht="16" x14ac:dyDescent="0.2">
      <c r="A2745" s="3">
        <v>43842.641951047422</v>
      </c>
      <c r="B2745" s="1" t="s">
        <v>2999</v>
      </c>
      <c r="C2745" t="s">
        <v>261</v>
      </c>
      <c r="D2745">
        <v>13</v>
      </c>
      <c r="E2745">
        <v>92</v>
      </c>
      <c r="F2745">
        <v>46</v>
      </c>
      <c r="G2745">
        <v>1196</v>
      </c>
      <c r="H2745" s="4">
        <v>598</v>
      </c>
      <c r="I2745" s="4">
        <v>598</v>
      </c>
      <c r="J2745" t="s">
        <v>638</v>
      </c>
      <c r="K2745" t="s">
        <v>33</v>
      </c>
      <c r="L2745" s="4">
        <v>12.131375018945562</v>
      </c>
      <c r="M2745" s="1" t="s">
        <v>38</v>
      </c>
      <c r="N2745" s="11">
        <f t="shared" si="42"/>
        <v>5</v>
      </c>
    </row>
    <row r="2746" spans="1:14" ht="16" x14ac:dyDescent="0.2">
      <c r="A2746" s="3">
        <v>42868.38860480093</v>
      </c>
      <c r="B2746" s="1" t="s">
        <v>3000</v>
      </c>
      <c r="C2746" t="s">
        <v>365</v>
      </c>
      <c r="D2746">
        <v>15</v>
      </c>
      <c r="E2746">
        <v>255</v>
      </c>
      <c r="F2746">
        <v>85</v>
      </c>
      <c r="G2746">
        <v>3825</v>
      </c>
      <c r="H2746" s="4">
        <v>1275</v>
      </c>
      <c r="I2746" s="4">
        <v>2550</v>
      </c>
      <c r="J2746" t="s">
        <v>729</v>
      </c>
      <c r="K2746" t="s">
        <v>64</v>
      </c>
      <c r="L2746" s="4">
        <v>11.443503623244197</v>
      </c>
      <c r="M2746" s="1" t="s">
        <v>54</v>
      </c>
      <c r="N2746" s="11">
        <f t="shared" si="42"/>
        <v>10</v>
      </c>
    </row>
    <row r="2747" spans="1:14" ht="16" x14ac:dyDescent="0.2">
      <c r="A2747" s="3">
        <v>43533.267827981363</v>
      </c>
      <c r="B2747" s="1" t="s">
        <v>3001</v>
      </c>
      <c r="C2747" t="s">
        <v>157</v>
      </c>
      <c r="D2747">
        <v>16</v>
      </c>
      <c r="E2747">
        <v>50</v>
      </c>
      <c r="F2747">
        <v>25</v>
      </c>
      <c r="G2747">
        <v>800</v>
      </c>
      <c r="H2747" s="4">
        <v>400</v>
      </c>
      <c r="I2747" s="4">
        <v>400</v>
      </c>
      <c r="J2747" t="s">
        <v>704</v>
      </c>
      <c r="K2747" t="s">
        <v>86</v>
      </c>
      <c r="L2747" s="4">
        <v>12.699042739101285</v>
      </c>
      <c r="M2747" s="1" t="s">
        <v>38</v>
      </c>
      <c r="N2747" s="11">
        <f t="shared" si="42"/>
        <v>5</v>
      </c>
    </row>
    <row r="2748" spans="1:14" ht="16" x14ac:dyDescent="0.2">
      <c r="A2748" s="3">
        <v>43616.1320752143</v>
      </c>
      <c r="B2748" s="1" t="s">
        <v>2443</v>
      </c>
      <c r="C2748" t="s">
        <v>88</v>
      </c>
      <c r="D2748">
        <v>18</v>
      </c>
      <c r="E2748">
        <v>210</v>
      </c>
      <c r="F2748">
        <v>70</v>
      </c>
      <c r="G2748">
        <v>3780</v>
      </c>
      <c r="H2748" s="4">
        <v>1260</v>
      </c>
      <c r="I2748" s="4">
        <v>2520</v>
      </c>
      <c r="J2748" t="s">
        <v>562</v>
      </c>
      <c r="K2748" t="s">
        <v>49</v>
      </c>
      <c r="L2748" s="4">
        <v>11.808681852148307</v>
      </c>
      <c r="M2748" s="1" t="s">
        <v>54</v>
      </c>
      <c r="N2748" s="11">
        <f t="shared" si="42"/>
        <v>10</v>
      </c>
    </row>
    <row r="2749" spans="1:14" ht="16" x14ac:dyDescent="0.2">
      <c r="A2749" s="3">
        <v>45051.73439173933</v>
      </c>
      <c r="B2749" s="1" t="s">
        <v>3002</v>
      </c>
      <c r="C2749" t="s">
        <v>160</v>
      </c>
      <c r="D2749">
        <v>16</v>
      </c>
      <c r="E2749">
        <v>132</v>
      </c>
      <c r="F2749">
        <v>33</v>
      </c>
      <c r="G2749">
        <v>2112</v>
      </c>
      <c r="H2749" s="4">
        <v>528</v>
      </c>
      <c r="I2749" s="4">
        <v>1584</v>
      </c>
      <c r="J2749" t="s">
        <v>354</v>
      </c>
      <c r="K2749" t="s">
        <v>42</v>
      </c>
      <c r="L2749" s="4">
        <v>13.518413464873573</v>
      </c>
      <c r="M2749" s="1" t="s">
        <v>38</v>
      </c>
      <c r="N2749" s="11">
        <f t="shared" si="42"/>
        <v>5</v>
      </c>
    </row>
    <row r="2750" spans="1:14" ht="16" x14ac:dyDescent="0.2">
      <c r="A2750" s="3">
        <v>44344.479202699353</v>
      </c>
      <c r="B2750" s="1" t="s">
        <v>3003</v>
      </c>
      <c r="C2750" t="s">
        <v>62</v>
      </c>
      <c r="D2750">
        <v>3</v>
      </c>
      <c r="E2750">
        <v>80</v>
      </c>
      <c r="F2750">
        <v>20</v>
      </c>
      <c r="G2750">
        <v>240</v>
      </c>
      <c r="H2750" s="4">
        <v>60</v>
      </c>
      <c r="I2750" s="4">
        <v>180</v>
      </c>
      <c r="J2750" t="s">
        <v>102</v>
      </c>
      <c r="K2750" t="s">
        <v>49</v>
      </c>
      <c r="L2750" s="4">
        <v>15.12637675023732</v>
      </c>
      <c r="M2750" s="1" t="s">
        <v>54</v>
      </c>
      <c r="N2750" s="11">
        <f t="shared" si="42"/>
        <v>10</v>
      </c>
    </row>
    <row r="2751" spans="1:14" ht="16" x14ac:dyDescent="0.2">
      <c r="A2751" s="3">
        <v>44172.898345138667</v>
      </c>
      <c r="B2751" s="1" t="s">
        <v>2705</v>
      </c>
      <c r="C2751" t="s">
        <v>288</v>
      </c>
      <c r="D2751">
        <v>4</v>
      </c>
      <c r="E2751">
        <v>48</v>
      </c>
      <c r="F2751">
        <v>24</v>
      </c>
      <c r="G2751">
        <v>192</v>
      </c>
      <c r="H2751" s="4">
        <v>96</v>
      </c>
      <c r="I2751" s="4">
        <v>96</v>
      </c>
      <c r="J2751" t="s">
        <v>691</v>
      </c>
      <c r="K2751" t="s">
        <v>33</v>
      </c>
      <c r="L2751" s="4">
        <v>10.248947386022252</v>
      </c>
      <c r="M2751" s="1" t="s">
        <v>54</v>
      </c>
      <c r="N2751" s="11">
        <f t="shared" si="42"/>
        <v>10</v>
      </c>
    </row>
    <row r="2752" spans="1:14" ht="16" x14ac:dyDescent="0.2">
      <c r="A2752" s="3">
        <v>43591.18147803656</v>
      </c>
      <c r="B2752" s="1" t="s">
        <v>3004</v>
      </c>
      <c r="C2752" t="s">
        <v>130</v>
      </c>
      <c r="D2752">
        <v>10</v>
      </c>
      <c r="E2752">
        <v>144</v>
      </c>
      <c r="F2752">
        <v>48</v>
      </c>
      <c r="G2752">
        <v>1440</v>
      </c>
      <c r="H2752" s="4">
        <v>480</v>
      </c>
      <c r="I2752" s="4">
        <v>960</v>
      </c>
      <c r="J2752" t="s">
        <v>41</v>
      </c>
      <c r="K2752" t="s">
        <v>42</v>
      </c>
      <c r="L2752" s="4">
        <v>9.3226775515721787</v>
      </c>
      <c r="M2752" s="1" t="s">
        <v>54</v>
      </c>
      <c r="N2752" s="11">
        <f t="shared" si="42"/>
        <v>10</v>
      </c>
    </row>
    <row r="2753" spans="1:14" ht="16" x14ac:dyDescent="0.2">
      <c r="A2753" s="3">
        <v>44226.313203198661</v>
      </c>
      <c r="B2753" s="1" t="s">
        <v>3005</v>
      </c>
      <c r="C2753" t="s">
        <v>110</v>
      </c>
      <c r="D2753">
        <v>18</v>
      </c>
      <c r="E2753">
        <v>144</v>
      </c>
      <c r="F2753">
        <v>36</v>
      </c>
      <c r="G2753">
        <v>2592</v>
      </c>
      <c r="H2753" s="4">
        <v>648</v>
      </c>
      <c r="I2753" s="4">
        <v>1944</v>
      </c>
      <c r="J2753" t="s">
        <v>111</v>
      </c>
      <c r="K2753" t="s">
        <v>53</v>
      </c>
      <c r="L2753" s="4">
        <v>13.407340878370247</v>
      </c>
      <c r="M2753" s="1" t="s">
        <v>34</v>
      </c>
      <c r="N2753" s="11">
        <f t="shared" si="42"/>
        <v>1</v>
      </c>
    </row>
    <row r="2754" spans="1:14" ht="16" x14ac:dyDescent="0.2">
      <c r="A2754" s="3">
        <v>44381.291017765434</v>
      </c>
      <c r="B2754" s="1" t="s">
        <v>3006</v>
      </c>
      <c r="C2754" t="s">
        <v>91</v>
      </c>
      <c r="D2754">
        <v>13</v>
      </c>
      <c r="E2754">
        <v>300</v>
      </c>
      <c r="F2754">
        <v>75</v>
      </c>
      <c r="G2754">
        <v>3900</v>
      </c>
      <c r="H2754" s="4">
        <v>975</v>
      </c>
      <c r="I2754" s="4">
        <v>2925</v>
      </c>
      <c r="J2754" t="s">
        <v>1085</v>
      </c>
      <c r="K2754" t="s">
        <v>49</v>
      </c>
      <c r="L2754" s="4">
        <v>10.818241047231139</v>
      </c>
      <c r="M2754" s="1" t="s">
        <v>38</v>
      </c>
      <c r="N2754" s="11">
        <f t="shared" si="42"/>
        <v>5</v>
      </c>
    </row>
    <row r="2755" spans="1:14" ht="16" x14ac:dyDescent="0.2">
      <c r="A2755" s="3">
        <v>44005.973227195827</v>
      </c>
      <c r="B2755" s="1" t="s">
        <v>3007</v>
      </c>
      <c r="C2755" t="s">
        <v>120</v>
      </c>
      <c r="D2755">
        <v>12</v>
      </c>
      <c r="E2755">
        <v>252</v>
      </c>
      <c r="F2755">
        <v>63</v>
      </c>
      <c r="G2755">
        <v>3024</v>
      </c>
      <c r="H2755" s="4">
        <v>756</v>
      </c>
      <c r="I2755" s="4">
        <v>2268</v>
      </c>
      <c r="J2755" t="s">
        <v>401</v>
      </c>
      <c r="K2755" t="s">
        <v>58</v>
      </c>
      <c r="L2755" s="4">
        <v>11.394777319422785</v>
      </c>
      <c r="M2755" s="1" t="s">
        <v>38</v>
      </c>
      <c r="N2755" s="11">
        <f t="shared" ref="N2755:N2818" si="43">+IF(M2755="Dissatisfied",1,IF(M2755="Satisfied",10,5))</f>
        <v>5</v>
      </c>
    </row>
    <row r="2756" spans="1:14" ht="16" x14ac:dyDescent="0.2">
      <c r="A2756" s="3">
        <v>43860.208778741486</v>
      </c>
      <c r="B2756" s="1" t="s">
        <v>294</v>
      </c>
      <c r="C2756" t="s">
        <v>304</v>
      </c>
      <c r="D2756">
        <v>10</v>
      </c>
      <c r="E2756">
        <v>116</v>
      </c>
      <c r="F2756">
        <v>29</v>
      </c>
      <c r="G2756">
        <v>1160</v>
      </c>
      <c r="H2756" s="4">
        <v>290</v>
      </c>
      <c r="I2756" s="4">
        <v>870</v>
      </c>
      <c r="J2756" t="s">
        <v>1157</v>
      </c>
      <c r="K2756" t="s">
        <v>42</v>
      </c>
      <c r="L2756" s="4">
        <v>10.517826055804084</v>
      </c>
      <c r="M2756" s="1" t="s">
        <v>34</v>
      </c>
      <c r="N2756" s="11">
        <f t="shared" si="43"/>
        <v>1</v>
      </c>
    </row>
    <row r="2757" spans="1:14" ht="16" x14ac:dyDescent="0.2">
      <c r="A2757" s="3">
        <v>43748.156030559476</v>
      </c>
      <c r="B2757" s="1" t="s">
        <v>3008</v>
      </c>
      <c r="C2757" t="s">
        <v>425</v>
      </c>
      <c r="D2757">
        <v>13</v>
      </c>
      <c r="E2757">
        <v>352</v>
      </c>
      <c r="F2757">
        <v>88</v>
      </c>
      <c r="G2757">
        <v>4576</v>
      </c>
      <c r="H2757" s="4">
        <v>1144</v>
      </c>
      <c r="I2757" s="4">
        <v>3432</v>
      </c>
      <c r="J2757" t="s">
        <v>371</v>
      </c>
      <c r="K2757" t="s">
        <v>58</v>
      </c>
      <c r="L2757" s="4">
        <v>12.004541523616258</v>
      </c>
      <c r="M2757" s="1" t="s">
        <v>54</v>
      </c>
      <c r="N2757" s="11">
        <f t="shared" si="43"/>
        <v>10</v>
      </c>
    </row>
    <row r="2758" spans="1:14" ht="16" x14ac:dyDescent="0.2">
      <c r="A2758" s="3">
        <v>44092.39502315328</v>
      </c>
      <c r="B2758" s="1" t="s">
        <v>3009</v>
      </c>
      <c r="C2758" t="s">
        <v>185</v>
      </c>
      <c r="D2758">
        <v>12</v>
      </c>
      <c r="E2758">
        <v>146</v>
      </c>
      <c r="F2758">
        <v>73</v>
      </c>
      <c r="G2758">
        <v>1752</v>
      </c>
      <c r="H2758" s="4">
        <v>876</v>
      </c>
      <c r="I2758" s="4">
        <v>876</v>
      </c>
      <c r="J2758" t="s">
        <v>329</v>
      </c>
      <c r="K2758" t="s">
        <v>33</v>
      </c>
      <c r="L2758" s="4">
        <v>12.545140403858928</v>
      </c>
      <c r="M2758" s="1" t="s">
        <v>54</v>
      </c>
      <c r="N2758" s="11">
        <f t="shared" si="43"/>
        <v>10</v>
      </c>
    </row>
    <row r="2759" spans="1:14" ht="16" x14ac:dyDescent="0.2">
      <c r="A2759" s="3">
        <v>43663.030657742245</v>
      </c>
      <c r="B2759" s="1" t="s">
        <v>803</v>
      </c>
      <c r="C2759" t="s">
        <v>69</v>
      </c>
      <c r="D2759">
        <v>8</v>
      </c>
      <c r="E2759">
        <v>184</v>
      </c>
      <c r="F2759">
        <v>92</v>
      </c>
      <c r="G2759">
        <v>1472</v>
      </c>
      <c r="H2759" s="4">
        <v>736</v>
      </c>
      <c r="I2759" s="4">
        <v>736</v>
      </c>
      <c r="J2759" t="s">
        <v>152</v>
      </c>
      <c r="K2759" t="s">
        <v>33</v>
      </c>
      <c r="L2759" s="4">
        <v>11.749038185128619</v>
      </c>
      <c r="M2759" s="1" t="s">
        <v>38</v>
      </c>
      <c r="N2759" s="11">
        <f t="shared" si="43"/>
        <v>5</v>
      </c>
    </row>
    <row r="2760" spans="1:14" ht="16" x14ac:dyDescent="0.2">
      <c r="A2760" s="3">
        <v>44583.817716715741</v>
      </c>
      <c r="B2760" s="1" t="s">
        <v>3010</v>
      </c>
      <c r="C2760" t="s">
        <v>592</v>
      </c>
      <c r="D2760">
        <v>4</v>
      </c>
      <c r="E2760">
        <v>312</v>
      </c>
      <c r="F2760">
        <v>78</v>
      </c>
      <c r="G2760">
        <v>1248</v>
      </c>
      <c r="H2760" s="4">
        <v>312</v>
      </c>
      <c r="I2760" s="4">
        <v>936</v>
      </c>
      <c r="J2760" t="s">
        <v>910</v>
      </c>
      <c r="K2760" t="s">
        <v>58</v>
      </c>
      <c r="L2760" s="4">
        <v>11.78346750250795</v>
      </c>
      <c r="M2760" s="1" t="s">
        <v>38</v>
      </c>
      <c r="N2760" s="11">
        <f t="shared" si="43"/>
        <v>5</v>
      </c>
    </row>
    <row r="2761" spans="1:14" ht="16" x14ac:dyDescent="0.2">
      <c r="A2761" s="3">
        <v>43758.917875596213</v>
      </c>
      <c r="B2761" s="1" t="s">
        <v>3011</v>
      </c>
      <c r="C2761" t="s">
        <v>261</v>
      </c>
      <c r="D2761">
        <v>14</v>
      </c>
      <c r="E2761">
        <v>92</v>
      </c>
      <c r="F2761">
        <v>46</v>
      </c>
      <c r="G2761">
        <v>1288</v>
      </c>
      <c r="H2761" s="4">
        <v>644</v>
      </c>
      <c r="I2761" s="4">
        <v>644</v>
      </c>
      <c r="J2761" t="s">
        <v>767</v>
      </c>
      <c r="K2761" t="s">
        <v>42</v>
      </c>
      <c r="L2761" s="4">
        <v>11.289144410898391</v>
      </c>
      <c r="M2761" s="1" t="s">
        <v>38</v>
      </c>
      <c r="N2761" s="11">
        <f t="shared" si="43"/>
        <v>5</v>
      </c>
    </row>
    <row r="2762" spans="1:14" ht="16" x14ac:dyDescent="0.2">
      <c r="A2762" s="3">
        <v>43998.368348613207</v>
      </c>
      <c r="B2762" s="1" t="s">
        <v>1405</v>
      </c>
      <c r="C2762" t="s">
        <v>218</v>
      </c>
      <c r="D2762">
        <v>4</v>
      </c>
      <c r="E2762">
        <v>264</v>
      </c>
      <c r="F2762">
        <v>88</v>
      </c>
      <c r="G2762">
        <v>1056</v>
      </c>
      <c r="H2762" s="4">
        <v>352</v>
      </c>
      <c r="I2762" s="4">
        <v>704</v>
      </c>
      <c r="J2762" t="s">
        <v>531</v>
      </c>
      <c r="K2762" t="s">
        <v>58</v>
      </c>
      <c r="L2762" s="4">
        <v>14.064516999204997</v>
      </c>
      <c r="M2762" s="1" t="s">
        <v>54</v>
      </c>
      <c r="N2762" s="11">
        <f t="shared" si="43"/>
        <v>10</v>
      </c>
    </row>
    <row r="2763" spans="1:14" ht="16" x14ac:dyDescent="0.2">
      <c r="A2763" s="3">
        <v>44633.603199239689</v>
      </c>
      <c r="B2763" s="1" t="s">
        <v>3012</v>
      </c>
      <c r="C2763" t="s">
        <v>81</v>
      </c>
      <c r="D2763">
        <v>20</v>
      </c>
      <c r="E2763">
        <v>166</v>
      </c>
      <c r="F2763">
        <v>83</v>
      </c>
      <c r="G2763">
        <v>3320</v>
      </c>
      <c r="H2763" s="4">
        <v>1660</v>
      </c>
      <c r="I2763" s="4">
        <v>1660</v>
      </c>
      <c r="J2763" t="s">
        <v>709</v>
      </c>
      <c r="K2763" t="s">
        <v>86</v>
      </c>
      <c r="L2763" s="4">
        <v>12.658317415198635</v>
      </c>
      <c r="M2763" s="1" t="s">
        <v>38</v>
      </c>
      <c r="N2763" s="11">
        <f t="shared" si="43"/>
        <v>5</v>
      </c>
    </row>
    <row r="2764" spans="1:14" ht="16" x14ac:dyDescent="0.2">
      <c r="A2764" s="3">
        <v>43374.902032165461</v>
      </c>
      <c r="B2764" s="1" t="s">
        <v>3013</v>
      </c>
      <c r="C2764" t="s">
        <v>178</v>
      </c>
      <c r="D2764">
        <v>7</v>
      </c>
      <c r="E2764">
        <v>189</v>
      </c>
      <c r="F2764">
        <v>63</v>
      </c>
      <c r="G2764">
        <v>1323</v>
      </c>
      <c r="H2764" s="4">
        <v>441</v>
      </c>
      <c r="I2764" s="4">
        <v>882</v>
      </c>
      <c r="J2764" t="s">
        <v>164</v>
      </c>
      <c r="K2764" t="s">
        <v>86</v>
      </c>
      <c r="L2764" s="4">
        <v>12.452986387489583</v>
      </c>
      <c r="M2764" s="1" t="s">
        <v>38</v>
      </c>
      <c r="N2764" s="11">
        <f t="shared" si="43"/>
        <v>5</v>
      </c>
    </row>
    <row r="2765" spans="1:14" ht="16" x14ac:dyDescent="0.2">
      <c r="A2765" s="3">
        <v>43450.99725294263</v>
      </c>
      <c r="B2765" s="1" t="s">
        <v>3014</v>
      </c>
      <c r="C2765" t="s">
        <v>160</v>
      </c>
      <c r="D2765">
        <v>19</v>
      </c>
      <c r="E2765">
        <v>132</v>
      </c>
      <c r="F2765">
        <v>33</v>
      </c>
      <c r="G2765">
        <v>2508</v>
      </c>
      <c r="H2765" s="4">
        <v>627</v>
      </c>
      <c r="I2765" s="4">
        <v>1881</v>
      </c>
      <c r="J2765" t="s">
        <v>660</v>
      </c>
      <c r="K2765" t="s">
        <v>86</v>
      </c>
      <c r="L2765" s="4">
        <v>10.163794912095831</v>
      </c>
      <c r="M2765" s="1" t="s">
        <v>54</v>
      </c>
      <c r="N2765" s="11">
        <f t="shared" si="43"/>
        <v>10</v>
      </c>
    </row>
    <row r="2766" spans="1:14" ht="16" x14ac:dyDescent="0.2">
      <c r="A2766" s="3">
        <v>42485.260924411697</v>
      </c>
      <c r="B2766" s="1" t="s">
        <v>3015</v>
      </c>
      <c r="C2766" t="s">
        <v>473</v>
      </c>
      <c r="D2766">
        <v>18</v>
      </c>
      <c r="E2766">
        <v>72</v>
      </c>
      <c r="F2766">
        <v>36</v>
      </c>
      <c r="G2766">
        <v>1296</v>
      </c>
      <c r="H2766" s="4">
        <v>648</v>
      </c>
      <c r="I2766" s="4">
        <v>648</v>
      </c>
      <c r="J2766" t="s">
        <v>82</v>
      </c>
      <c r="K2766" t="s">
        <v>58</v>
      </c>
      <c r="L2766" s="4">
        <v>13.45980057156361</v>
      </c>
      <c r="M2766" s="1" t="s">
        <v>34</v>
      </c>
      <c r="N2766" s="11">
        <f t="shared" si="43"/>
        <v>1</v>
      </c>
    </row>
    <row r="2767" spans="1:14" ht="16" x14ac:dyDescent="0.2">
      <c r="A2767" s="3">
        <v>43402.031520541605</v>
      </c>
      <c r="B2767" s="1" t="s">
        <v>3016</v>
      </c>
      <c r="C2767" t="s">
        <v>204</v>
      </c>
      <c r="D2767">
        <v>20</v>
      </c>
      <c r="E2767">
        <v>57</v>
      </c>
      <c r="F2767">
        <v>19</v>
      </c>
      <c r="G2767">
        <v>1140</v>
      </c>
      <c r="H2767" s="4">
        <v>380</v>
      </c>
      <c r="I2767" s="4">
        <v>760</v>
      </c>
      <c r="J2767" t="s">
        <v>923</v>
      </c>
      <c r="K2767" t="s">
        <v>42</v>
      </c>
      <c r="L2767" s="4">
        <v>12.502346728827876</v>
      </c>
      <c r="M2767" s="1" t="s">
        <v>54</v>
      </c>
      <c r="N2767" s="11">
        <f t="shared" si="43"/>
        <v>10</v>
      </c>
    </row>
    <row r="2768" spans="1:14" ht="16" x14ac:dyDescent="0.2">
      <c r="A2768" s="3">
        <v>44107.100231365992</v>
      </c>
      <c r="B2768" s="1" t="s">
        <v>3017</v>
      </c>
      <c r="C2768" t="s">
        <v>370</v>
      </c>
      <c r="D2768">
        <v>6</v>
      </c>
      <c r="E2768">
        <v>144</v>
      </c>
      <c r="F2768">
        <v>36</v>
      </c>
      <c r="G2768">
        <v>864</v>
      </c>
      <c r="H2768" s="4">
        <v>216</v>
      </c>
      <c r="I2768" s="4">
        <v>648</v>
      </c>
      <c r="J2768" t="s">
        <v>633</v>
      </c>
      <c r="K2768" t="s">
        <v>86</v>
      </c>
      <c r="L2768" s="4">
        <v>12.954911944548844</v>
      </c>
      <c r="M2768" s="1" t="s">
        <v>38</v>
      </c>
      <c r="N2768" s="11">
        <f t="shared" si="43"/>
        <v>5</v>
      </c>
    </row>
    <row r="2769" spans="1:14" ht="16" x14ac:dyDescent="0.2">
      <c r="A2769" s="3">
        <v>44580.485273700055</v>
      </c>
      <c r="B2769" s="1" t="s">
        <v>3018</v>
      </c>
      <c r="C2769" t="s">
        <v>151</v>
      </c>
      <c r="D2769">
        <v>5</v>
      </c>
      <c r="E2769">
        <v>153</v>
      </c>
      <c r="F2769">
        <v>51</v>
      </c>
      <c r="G2769">
        <v>765</v>
      </c>
      <c r="H2769" s="4">
        <v>255</v>
      </c>
      <c r="I2769" s="4">
        <v>510</v>
      </c>
      <c r="J2769" t="s">
        <v>343</v>
      </c>
      <c r="K2769" t="s">
        <v>42</v>
      </c>
      <c r="L2769" s="4">
        <v>9.8928038181361391</v>
      </c>
      <c r="M2769" s="1" t="s">
        <v>34</v>
      </c>
      <c r="N2769" s="11">
        <f t="shared" si="43"/>
        <v>1</v>
      </c>
    </row>
    <row r="2770" spans="1:14" ht="16" x14ac:dyDescent="0.2">
      <c r="A2770" s="3">
        <v>43830.644448891697</v>
      </c>
      <c r="B2770" s="1" t="s">
        <v>3019</v>
      </c>
      <c r="C2770" t="s">
        <v>88</v>
      </c>
      <c r="D2770">
        <v>15</v>
      </c>
      <c r="E2770">
        <v>210</v>
      </c>
      <c r="F2770">
        <v>70</v>
      </c>
      <c r="G2770">
        <v>3150</v>
      </c>
      <c r="H2770" s="4">
        <v>1050</v>
      </c>
      <c r="I2770" s="4">
        <v>2100</v>
      </c>
      <c r="J2770" t="s">
        <v>111</v>
      </c>
      <c r="K2770" t="s">
        <v>53</v>
      </c>
      <c r="L2770" s="4">
        <v>13.407340878370247</v>
      </c>
      <c r="M2770" s="1" t="s">
        <v>38</v>
      </c>
      <c r="N2770" s="11">
        <f t="shared" si="43"/>
        <v>5</v>
      </c>
    </row>
    <row r="2771" spans="1:14" ht="16" x14ac:dyDescent="0.2">
      <c r="A2771" s="3">
        <v>44364.765918642108</v>
      </c>
      <c r="B2771" s="1" t="s">
        <v>3020</v>
      </c>
      <c r="C2771" t="s">
        <v>151</v>
      </c>
      <c r="D2771">
        <v>5</v>
      </c>
      <c r="E2771">
        <v>153</v>
      </c>
      <c r="F2771">
        <v>51</v>
      </c>
      <c r="G2771">
        <v>765</v>
      </c>
      <c r="H2771" s="4">
        <v>255</v>
      </c>
      <c r="I2771" s="4">
        <v>510</v>
      </c>
      <c r="J2771" t="s">
        <v>767</v>
      </c>
      <c r="K2771" t="s">
        <v>42</v>
      </c>
      <c r="L2771" s="4">
        <v>11.289144410898391</v>
      </c>
      <c r="M2771" s="1" t="s">
        <v>38</v>
      </c>
      <c r="N2771" s="11">
        <f t="shared" si="43"/>
        <v>5</v>
      </c>
    </row>
    <row r="2772" spans="1:14" ht="16" x14ac:dyDescent="0.2">
      <c r="A2772" s="3">
        <v>44481.088195297161</v>
      </c>
      <c r="B2772" s="1" t="s">
        <v>3021</v>
      </c>
      <c r="C2772" t="s">
        <v>503</v>
      </c>
      <c r="D2772">
        <v>16</v>
      </c>
      <c r="E2772">
        <v>50</v>
      </c>
      <c r="F2772">
        <v>25</v>
      </c>
      <c r="G2772">
        <v>800</v>
      </c>
      <c r="H2772" s="4">
        <v>400</v>
      </c>
      <c r="I2772" s="4">
        <v>400</v>
      </c>
      <c r="J2772" t="s">
        <v>126</v>
      </c>
      <c r="K2772" t="s">
        <v>64</v>
      </c>
      <c r="L2772" s="4">
        <v>11.006397834696006</v>
      </c>
      <c r="M2772" s="1" t="s">
        <v>54</v>
      </c>
      <c r="N2772" s="11">
        <f t="shared" si="43"/>
        <v>10</v>
      </c>
    </row>
    <row r="2773" spans="1:14" ht="16" x14ac:dyDescent="0.2">
      <c r="A2773" s="3">
        <v>44813.753352431733</v>
      </c>
      <c r="B2773" s="1" t="s">
        <v>3022</v>
      </c>
      <c r="C2773" t="s">
        <v>188</v>
      </c>
      <c r="D2773">
        <v>1</v>
      </c>
      <c r="E2773">
        <v>368</v>
      </c>
      <c r="F2773">
        <v>92</v>
      </c>
      <c r="G2773">
        <v>368</v>
      </c>
      <c r="H2773" s="4">
        <v>92</v>
      </c>
      <c r="I2773" s="4">
        <v>276</v>
      </c>
      <c r="J2773" t="s">
        <v>228</v>
      </c>
      <c r="K2773" t="s">
        <v>53</v>
      </c>
      <c r="L2773" s="4">
        <v>14.377134310720955</v>
      </c>
      <c r="M2773" s="1" t="s">
        <v>54</v>
      </c>
      <c r="N2773" s="11">
        <f t="shared" si="43"/>
        <v>10</v>
      </c>
    </row>
    <row r="2774" spans="1:14" ht="16" x14ac:dyDescent="0.2">
      <c r="A2774" s="3">
        <v>42987.056101454837</v>
      </c>
      <c r="B2774" s="1" t="s">
        <v>3023</v>
      </c>
      <c r="C2774" t="s">
        <v>51</v>
      </c>
      <c r="D2774">
        <v>5</v>
      </c>
      <c r="E2774">
        <v>160</v>
      </c>
      <c r="F2774">
        <v>80</v>
      </c>
      <c r="G2774">
        <v>800</v>
      </c>
      <c r="H2774" s="4">
        <v>400</v>
      </c>
      <c r="I2774" s="4">
        <v>400</v>
      </c>
      <c r="J2774" t="s">
        <v>613</v>
      </c>
      <c r="K2774" t="s">
        <v>86</v>
      </c>
      <c r="L2774" s="4">
        <v>8.8169309002713945</v>
      </c>
      <c r="M2774" s="1" t="s">
        <v>34</v>
      </c>
      <c r="N2774" s="11">
        <f t="shared" si="43"/>
        <v>1</v>
      </c>
    </row>
    <row r="2775" spans="1:14" ht="16" x14ac:dyDescent="0.2">
      <c r="A2775" s="3">
        <v>44069.521136643976</v>
      </c>
      <c r="B2775" s="1" t="s">
        <v>3024</v>
      </c>
      <c r="C2775" t="s">
        <v>93</v>
      </c>
      <c r="D2775">
        <v>16</v>
      </c>
      <c r="E2775">
        <v>204</v>
      </c>
      <c r="F2775">
        <v>51</v>
      </c>
      <c r="G2775">
        <v>3264</v>
      </c>
      <c r="H2775" s="4">
        <v>816</v>
      </c>
      <c r="I2775" s="4">
        <v>2448</v>
      </c>
      <c r="J2775" t="s">
        <v>338</v>
      </c>
      <c r="K2775" t="s">
        <v>64</v>
      </c>
      <c r="L2775" s="4">
        <v>10.132922049221957</v>
      </c>
      <c r="M2775" s="1" t="s">
        <v>38</v>
      </c>
      <c r="N2775" s="11">
        <f t="shared" si="43"/>
        <v>5</v>
      </c>
    </row>
    <row r="2776" spans="1:14" ht="16" x14ac:dyDescent="0.2">
      <c r="A2776" s="3">
        <v>43931.89086302041</v>
      </c>
      <c r="B2776" s="1" t="s">
        <v>3025</v>
      </c>
      <c r="C2776" t="s">
        <v>276</v>
      </c>
      <c r="D2776">
        <v>3</v>
      </c>
      <c r="E2776">
        <v>57</v>
      </c>
      <c r="F2776">
        <v>19</v>
      </c>
      <c r="G2776">
        <v>171</v>
      </c>
      <c r="H2776" s="4">
        <v>57</v>
      </c>
      <c r="I2776" s="4">
        <v>114</v>
      </c>
      <c r="J2776" t="s">
        <v>482</v>
      </c>
      <c r="K2776" t="s">
        <v>42</v>
      </c>
      <c r="L2776" s="4">
        <v>11.311040680082275</v>
      </c>
      <c r="M2776" s="1" t="s">
        <v>54</v>
      </c>
      <c r="N2776" s="11">
        <f t="shared" si="43"/>
        <v>10</v>
      </c>
    </row>
    <row r="2777" spans="1:14" ht="16" x14ac:dyDescent="0.2">
      <c r="A2777" s="3">
        <v>43921.612760208693</v>
      </c>
      <c r="B2777" s="1" t="s">
        <v>3026</v>
      </c>
      <c r="C2777" t="s">
        <v>101</v>
      </c>
      <c r="D2777">
        <v>16</v>
      </c>
      <c r="E2777">
        <v>50</v>
      </c>
      <c r="F2777">
        <v>25</v>
      </c>
      <c r="G2777">
        <v>800</v>
      </c>
      <c r="H2777" s="4">
        <v>400</v>
      </c>
      <c r="I2777" s="4">
        <v>400</v>
      </c>
      <c r="J2777" t="s">
        <v>1051</v>
      </c>
      <c r="K2777" t="s">
        <v>64</v>
      </c>
      <c r="L2777" s="4">
        <v>12.852414455158604</v>
      </c>
      <c r="M2777" s="1" t="s">
        <v>38</v>
      </c>
      <c r="N2777" s="11">
        <f t="shared" si="43"/>
        <v>5</v>
      </c>
    </row>
    <row r="2778" spans="1:14" ht="16" x14ac:dyDescent="0.2">
      <c r="A2778" s="3">
        <v>42839.350666800972</v>
      </c>
      <c r="B2778" s="1" t="s">
        <v>3027</v>
      </c>
      <c r="C2778" t="s">
        <v>101</v>
      </c>
      <c r="D2778">
        <v>6</v>
      </c>
      <c r="E2778">
        <v>50</v>
      </c>
      <c r="F2778">
        <v>25</v>
      </c>
      <c r="G2778">
        <v>300</v>
      </c>
      <c r="H2778" s="4">
        <v>150</v>
      </c>
      <c r="I2778" s="4">
        <v>150</v>
      </c>
      <c r="J2778" t="s">
        <v>448</v>
      </c>
      <c r="K2778" t="s">
        <v>58</v>
      </c>
      <c r="L2778" s="4">
        <v>15.770846827234339</v>
      </c>
      <c r="M2778" s="1" t="s">
        <v>38</v>
      </c>
      <c r="N2778" s="11">
        <f t="shared" si="43"/>
        <v>5</v>
      </c>
    </row>
    <row r="2779" spans="1:14" ht="16" x14ac:dyDescent="0.2">
      <c r="A2779" s="3">
        <v>44299.710681739009</v>
      </c>
      <c r="B2779" s="1" t="s">
        <v>3028</v>
      </c>
      <c r="C2779" t="s">
        <v>215</v>
      </c>
      <c r="D2779">
        <v>16</v>
      </c>
      <c r="E2779">
        <v>176</v>
      </c>
      <c r="F2779">
        <v>88</v>
      </c>
      <c r="G2779">
        <v>2816</v>
      </c>
      <c r="H2779" s="4">
        <v>1408</v>
      </c>
      <c r="I2779" s="4">
        <v>1408</v>
      </c>
      <c r="J2779" t="s">
        <v>253</v>
      </c>
      <c r="K2779" t="s">
        <v>53</v>
      </c>
      <c r="L2779" s="4">
        <v>13.918153610259502</v>
      </c>
      <c r="M2779" s="1" t="s">
        <v>54</v>
      </c>
      <c r="N2779" s="11">
        <f t="shared" si="43"/>
        <v>10</v>
      </c>
    </row>
    <row r="2780" spans="1:14" ht="16" x14ac:dyDescent="0.2">
      <c r="A2780" s="3">
        <v>43761.883865508906</v>
      </c>
      <c r="B2780" s="1" t="s">
        <v>2117</v>
      </c>
      <c r="C2780" t="s">
        <v>301</v>
      </c>
      <c r="D2780">
        <v>11</v>
      </c>
      <c r="E2780">
        <v>188</v>
      </c>
      <c r="F2780">
        <v>94</v>
      </c>
      <c r="G2780">
        <v>2068</v>
      </c>
      <c r="H2780" s="4">
        <v>1034</v>
      </c>
      <c r="I2780" s="4">
        <v>1034</v>
      </c>
      <c r="J2780" t="s">
        <v>406</v>
      </c>
      <c r="K2780" t="s">
        <v>58</v>
      </c>
      <c r="L2780" s="4">
        <v>11.082295381980092</v>
      </c>
      <c r="M2780" s="1" t="s">
        <v>38</v>
      </c>
      <c r="N2780" s="11">
        <f t="shared" si="43"/>
        <v>5</v>
      </c>
    </row>
    <row r="2781" spans="1:14" ht="16" x14ac:dyDescent="0.2">
      <c r="A2781" s="3">
        <v>44445.461833647314</v>
      </c>
      <c r="B2781" s="1" t="s">
        <v>3029</v>
      </c>
      <c r="C2781" t="s">
        <v>93</v>
      </c>
      <c r="D2781">
        <v>2</v>
      </c>
      <c r="E2781">
        <v>204</v>
      </c>
      <c r="F2781">
        <v>51</v>
      </c>
      <c r="G2781">
        <v>408</v>
      </c>
      <c r="H2781" s="4">
        <v>102</v>
      </c>
      <c r="I2781" s="4">
        <v>306</v>
      </c>
      <c r="J2781" t="s">
        <v>474</v>
      </c>
      <c r="K2781" t="s">
        <v>33</v>
      </c>
      <c r="L2781" s="4">
        <v>9.629298039722805</v>
      </c>
      <c r="M2781" s="1" t="s">
        <v>38</v>
      </c>
      <c r="N2781" s="11">
        <f t="shared" si="43"/>
        <v>5</v>
      </c>
    </row>
    <row r="2782" spans="1:14" ht="16" x14ac:dyDescent="0.2">
      <c r="A2782" s="3">
        <v>44694.756410219867</v>
      </c>
      <c r="B2782" s="1" t="s">
        <v>3030</v>
      </c>
      <c r="C2782" t="s">
        <v>544</v>
      </c>
      <c r="D2782">
        <v>14</v>
      </c>
      <c r="E2782">
        <v>267</v>
      </c>
      <c r="F2782">
        <v>89</v>
      </c>
      <c r="G2782">
        <v>3738</v>
      </c>
      <c r="H2782" s="4">
        <v>1246</v>
      </c>
      <c r="I2782" s="4">
        <v>2492</v>
      </c>
      <c r="J2782" t="s">
        <v>408</v>
      </c>
      <c r="K2782" t="s">
        <v>42</v>
      </c>
      <c r="L2782" s="4">
        <v>9.1877733607656964</v>
      </c>
      <c r="M2782" s="1" t="s">
        <v>38</v>
      </c>
      <c r="N2782" s="11">
        <f t="shared" si="43"/>
        <v>5</v>
      </c>
    </row>
    <row r="2783" spans="1:14" ht="16" x14ac:dyDescent="0.2">
      <c r="A2783" s="3">
        <v>43293.444640841211</v>
      </c>
      <c r="B2783" s="1" t="s">
        <v>1130</v>
      </c>
      <c r="C2783" t="s">
        <v>75</v>
      </c>
      <c r="D2783">
        <v>17</v>
      </c>
      <c r="E2783">
        <v>76</v>
      </c>
      <c r="F2783">
        <v>19</v>
      </c>
      <c r="G2783">
        <v>1292</v>
      </c>
      <c r="H2783" s="4">
        <v>323</v>
      </c>
      <c r="I2783" s="4">
        <v>969</v>
      </c>
      <c r="J2783" t="s">
        <v>576</v>
      </c>
      <c r="K2783" t="s">
        <v>33</v>
      </c>
      <c r="L2783" s="4">
        <v>11.769937929618399</v>
      </c>
      <c r="M2783" s="1" t="s">
        <v>54</v>
      </c>
      <c r="N2783" s="11">
        <f t="shared" si="43"/>
        <v>10</v>
      </c>
    </row>
    <row r="2784" spans="1:14" ht="16" x14ac:dyDescent="0.2">
      <c r="A2784" s="3">
        <v>44636.371285705354</v>
      </c>
      <c r="B2784" s="1" t="s">
        <v>3031</v>
      </c>
      <c r="C2784" t="s">
        <v>40</v>
      </c>
      <c r="D2784">
        <v>2</v>
      </c>
      <c r="E2784">
        <v>46</v>
      </c>
      <c r="F2784">
        <v>23</v>
      </c>
      <c r="G2784">
        <v>92</v>
      </c>
      <c r="H2784" s="4">
        <v>46</v>
      </c>
      <c r="I2784" s="4">
        <v>46</v>
      </c>
      <c r="J2784" t="s">
        <v>116</v>
      </c>
      <c r="K2784" t="s">
        <v>64</v>
      </c>
      <c r="L2784" s="4">
        <v>14.697745043716761</v>
      </c>
      <c r="M2784" s="1" t="s">
        <v>34</v>
      </c>
      <c r="N2784" s="11">
        <f t="shared" si="43"/>
        <v>1</v>
      </c>
    </row>
    <row r="2785" spans="1:14" ht="16" x14ac:dyDescent="0.2">
      <c r="A2785" s="3">
        <v>43974.35665266421</v>
      </c>
      <c r="B2785" s="1" t="s">
        <v>3032</v>
      </c>
      <c r="C2785" t="s">
        <v>142</v>
      </c>
      <c r="D2785">
        <v>20</v>
      </c>
      <c r="E2785">
        <v>210</v>
      </c>
      <c r="F2785">
        <v>70</v>
      </c>
      <c r="G2785">
        <v>4200</v>
      </c>
      <c r="H2785" s="4">
        <v>1400</v>
      </c>
      <c r="I2785" s="4">
        <v>2800</v>
      </c>
      <c r="J2785" t="s">
        <v>1573</v>
      </c>
      <c r="K2785" t="s">
        <v>64</v>
      </c>
      <c r="L2785" s="4">
        <v>10.78374703625888</v>
      </c>
      <c r="M2785" s="1" t="s">
        <v>38</v>
      </c>
      <c r="N2785" s="11">
        <f t="shared" si="43"/>
        <v>5</v>
      </c>
    </row>
    <row r="2786" spans="1:14" ht="16" x14ac:dyDescent="0.2">
      <c r="A2786" s="3">
        <v>44081.979410370659</v>
      </c>
      <c r="B2786" s="1" t="s">
        <v>2726</v>
      </c>
      <c r="C2786" t="s">
        <v>337</v>
      </c>
      <c r="D2786">
        <v>7</v>
      </c>
      <c r="E2786">
        <v>135</v>
      </c>
      <c r="F2786">
        <v>45</v>
      </c>
      <c r="G2786">
        <v>945</v>
      </c>
      <c r="H2786" s="4">
        <v>315</v>
      </c>
      <c r="I2786" s="4">
        <v>630</v>
      </c>
      <c r="J2786" t="s">
        <v>980</v>
      </c>
      <c r="K2786" t="s">
        <v>33</v>
      </c>
      <c r="L2786" s="4">
        <v>8.1743378387804331</v>
      </c>
      <c r="M2786" s="1" t="s">
        <v>38</v>
      </c>
      <c r="N2786" s="11">
        <f t="shared" si="43"/>
        <v>5</v>
      </c>
    </row>
    <row r="2787" spans="1:14" ht="16" x14ac:dyDescent="0.2">
      <c r="A2787" s="3">
        <v>44108.143977099244</v>
      </c>
      <c r="B2787" s="1" t="s">
        <v>3033</v>
      </c>
      <c r="C2787" t="s">
        <v>81</v>
      </c>
      <c r="D2787">
        <v>5</v>
      </c>
      <c r="E2787">
        <v>166</v>
      </c>
      <c r="F2787">
        <v>83</v>
      </c>
      <c r="G2787">
        <v>830</v>
      </c>
      <c r="H2787" s="4">
        <v>415</v>
      </c>
      <c r="I2787" s="4">
        <v>415</v>
      </c>
      <c r="J2787" t="s">
        <v>89</v>
      </c>
      <c r="K2787" t="s">
        <v>64</v>
      </c>
      <c r="L2787" s="4">
        <v>12.865074657680612</v>
      </c>
      <c r="M2787" s="1" t="s">
        <v>54</v>
      </c>
      <c r="N2787" s="11">
        <f t="shared" si="43"/>
        <v>10</v>
      </c>
    </row>
    <row r="2788" spans="1:14" ht="16" x14ac:dyDescent="0.2">
      <c r="A2788" s="3">
        <v>44516.007923822668</v>
      </c>
      <c r="B2788" s="1" t="s">
        <v>1192</v>
      </c>
      <c r="C2788" t="s">
        <v>547</v>
      </c>
      <c r="D2788">
        <v>10</v>
      </c>
      <c r="E2788">
        <v>300</v>
      </c>
      <c r="F2788">
        <v>75</v>
      </c>
      <c r="G2788">
        <v>3000</v>
      </c>
      <c r="H2788" s="4">
        <v>750</v>
      </c>
      <c r="I2788" s="4">
        <v>2250</v>
      </c>
      <c r="J2788" t="s">
        <v>552</v>
      </c>
      <c r="K2788" t="s">
        <v>53</v>
      </c>
      <c r="L2788" s="4">
        <v>9.74650548941427</v>
      </c>
      <c r="M2788" s="1" t="s">
        <v>54</v>
      </c>
      <c r="N2788" s="11">
        <f t="shared" si="43"/>
        <v>10</v>
      </c>
    </row>
    <row r="2789" spans="1:14" ht="16" x14ac:dyDescent="0.2">
      <c r="A2789" s="3">
        <v>44725.245859152121</v>
      </c>
      <c r="B2789" s="1" t="s">
        <v>3034</v>
      </c>
      <c r="C2789" t="s">
        <v>75</v>
      </c>
      <c r="D2789">
        <v>18</v>
      </c>
      <c r="E2789">
        <v>76</v>
      </c>
      <c r="F2789">
        <v>19</v>
      </c>
      <c r="G2789">
        <v>1368</v>
      </c>
      <c r="H2789" s="4">
        <v>342</v>
      </c>
      <c r="I2789" s="4">
        <v>1026</v>
      </c>
      <c r="J2789" t="s">
        <v>152</v>
      </c>
      <c r="K2789" t="s">
        <v>33</v>
      </c>
      <c r="L2789" s="4">
        <v>11.749038185128619</v>
      </c>
      <c r="M2789" s="1" t="s">
        <v>54</v>
      </c>
      <c r="N2789" s="11">
        <f t="shared" si="43"/>
        <v>10</v>
      </c>
    </row>
    <row r="2790" spans="1:14" ht="16" x14ac:dyDescent="0.2">
      <c r="A2790" s="3">
        <v>43583.367026760541</v>
      </c>
      <c r="B2790" s="1" t="s">
        <v>3035</v>
      </c>
      <c r="C2790" t="s">
        <v>312</v>
      </c>
      <c r="D2790">
        <v>7</v>
      </c>
      <c r="E2790">
        <v>240</v>
      </c>
      <c r="F2790">
        <v>80</v>
      </c>
      <c r="G2790">
        <v>1680</v>
      </c>
      <c r="H2790" s="4">
        <v>560</v>
      </c>
      <c r="I2790" s="4">
        <v>1120</v>
      </c>
      <c r="J2790" t="s">
        <v>686</v>
      </c>
      <c r="K2790" t="s">
        <v>86</v>
      </c>
      <c r="L2790" s="4">
        <v>8.1595626482464514</v>
      </c>
      <c r="M2790" s="1" t="s">
        <v>38</v>
      </c>
      <c r="N2790" s="11">
        <f t="shared" si="43"/>
        <v>5</v>
      </c>
    </row>
    <row r="2791" spans="1:14" ht="16" x14ac:dyDescent="0.2">
      <c r="A2791" s="3">
        <v>44075.46485705494</v>
      </c>
      <c r="B2791" s="1" t="s">
        <v>3036</v>
      </c>
      <c r="C2791" t="s">
        <v>136</v>
      </c>
      <c r="D2791">
        <v>8</v>
      </c>
      <c r="E2791">
        <v>154</v>
      </c>
      <c r="F2791">
        <v>77</v>
      </c>
      <c r="G2791">
        <v>1232</v>
      </c>
      <c r="H2791" s="4">
        <v>616</v>
      </c>
      <c r="I2791" s="4">
        <v>616</v>
      </c>
      <c r="J2791" t="s">
        <v>111</v>
      </c>
      <c r="K2791" t="s">
        <v>53</v>
      </c>
      <c r="L2791" s="4">
        <v>13.407340878370247</v>
      </c>
      <c r="M2791" s="1" t="s">
        <v>38</v>
      </c>
      <c r="N2791" s="11">
        <f t="shared" si="43"/>
        <v>5</v>
      </c>
    </row>
    <row r="2792" spans="1:14" ht="16" x14ac:dyDescent="0.2">
      <c r="A2792" s="3">
        <v>43681.278419073577</v>
      </c>
      <c r="B2792" s="1" t="s">
        <v>3037</v>
      </c>
      <c r="C2792" t="s">
        <v>163</v>
      </c>
      <c r="D2792">
        <v>4</v>
      </c>
      <c r="E2792">
        <v>108</v>
      </c>
      <c r="F2792">
        <v>36</v>
      </c>
      <c r="G2792">
        <v>432</v>
      </c>
      <c r="H2792" s="4">
        <v>144</v>
      </c>
      <c r="I2792" s="4">
        <v>288</v>
      </c>
      <c r="J2792" t="s">
        <v>140</v>
      </c>
      <c r="K2792" t="s">
        <v>53</v>
      </c>
      <c r="L2792" s="4">
        <v>7.1104128275166252</v>
      </c>
      <c r="M2792" s="1" t="s">
        <v>54</v>
      </c>
      <c r="N2792" s="11">
        <f t="shared" si="43"/>
        <v>10</v>
      </c>
    </row>
    <row r="2793" spans="1:14" ht="16" x14ac:dyDescent="0.2">
      <c r="A2793" s="3">
        <v>44110.911018721541</v>
      </c>
      <c r="B2793" s="1" t="s">
        <v>3038</v>
      </c>
      <c r="C2793" t="s">
        <v>84</v>
      </c>
      <c r="D2793">
        <v>2</v>
      </c>
      <c r="E2793">
        <v>126</v>
      </c>
      <c r="F2793">
        <v>42</v>
      </c>
      <c r="G2793">
        <v>252</v>
      </c>
      <c r="H2793" s="4">
        <v>84</v>
      </c>
      <c r="I2793" s="4">
        <v>168</v>
      </c>
      <c r="J2793" t="s">
        <v>767</v>
      </c>
      <c r="K2793" t="s">
        <v>42</v>
      </c>
      <c r="L2793" s="4">
        <v>11.289144410898391</v>
      </c>
      <c r="M2793" s="1" t="s">
        <v>34</v>
      </c>
      <c r="N2793" s="11">
        <f t="shared" si="43"/>
        <v>1</v>
      </c>
    </row>
    <row r="2794" spans="1:14" ht="16" x14ac:dyDescent="0.2">
      <c r="A2794" s="3">
        <v>43735.327152290702</v>
      </c>
      <c r="B2794" s="1" t="s">
        <v>3039</v>
      </c>
      <c r="C2794" t="s">
        <v>98</v>
      </c>
      <c r="D2794">
        <v>9</v>
      </c>
      <c r="E2794">
        <v>156</v>
      </c>
      <c r="F2794">
        <v>78</v>
      </c>
      <c r="G2794">
        <v>1404</v>
      </c>
      <c r="H2794" s="4">
        <v>702</v>
      </c>
      <c r="I2794" s="4">
        <v>702</v>
      </c>
      <c r="J2794" t="s">
        <v>359</v>
      </c>
      <c r="K2794" t="s">
        <v>64</v>
      </c>
      <c r="L2794" s="4">
        <v>11.970975110943924</v>
      </c>
      <c r="M2794" s="1" t="s">
        <v>38</v>
      </c>
      <c r="N2794" s="11">
        <f t="shared" si="43"/>
        <v>5</v>
      </c>
    </row>
    <row r="2795" spans="1:14" ht="16" x14ac:dyDescent="0.2">
      <c r="A2795" s="3">
        <v>43946.620610840102</v>
      </c>
      <c r="B2795" s="1" t="s">
        <v>1256</v>
      </c>
      <c r="C2795" t="s">
        <v>544</v>
      </c>
      <c r="D2795">
        <v>7</v>
      </c>
      <c r="E2795">
        <v>267</v>
      </c>
      <c r="F2795">
        <v>89</v>
      </c>
      <c r="G2795">
        <v>1869</v>
      </c>
      <c r="H2795" s="4">
        <v>623</v>
      </c>
      <c r="I2795" s="4">
        <v>1246</v>
      </c>
      <c r="J2795" t="s">
        <v>382</v>
      </c>
      <c r="K2795" t="s">
        <v>49</v>
      </c>
      <c r="L2795" s="4">
        <v>12.299779975023837</v>
      </c>
      <c r="M2795" s="1" t="s">
        <v>38</v>
      </c>
      <c r="N2795" s="11">
        <f t="shared" si="43"/>
        <v>5</v>
      </c>
    </row>
    <row r="2796" spans="1:14" ht="16" x14ac:dyDescent="0.2">
      <c r="A2796" s="3">
        <v>43465.63774990831</v>
      </c>
      <c r="B2796" s="1" t="s">
        <v>3040</v>
      </c>
      <c r="C2796" t="s">
        <v>317</v>
      </c>
      <c r="D2796">
        <v>9</v>
      </c>
      <c r="E2796">
        <v>352</v>
      </c>
      <c r="F2796">
        <v>88</v>
      </c>
      <c r="G2796">
        <v>3168</v>
      </c>
      <c r="H2796" s="4">
        <v>792</v>
      </c>
      <c r="I2796" s="4">
        <v>2376</v>
      </c>
      <c r="J2796" t="s">
        <v>1279</v>
      </c>
      <c r="K2796" t="s">
        <v>33</v>
      </c>
      <c r="L2796" s="4">
        <v>6.221489120484736</v>
      </c>
      <c r="M2796" s="1" t="s">
        <v>38</v>
      </c>
      <c r="N2796" s="11">
        <f t="shared" si="43"/>
        <v>5</v>
      </c>
    </row>
    <row r="2797" spans="1:14" ht="16" x14ac:dyDescent="0.2">
      <c r="A2797" s="3">
        <v>43901.005884211365</v>
      </c>
      <c r="B2797" s="1" t="s">
        <v>3041</v>
      </c>
      <c r="C2797" t="s">
        <v>154</v>
      </c>
      <c r="D2797">
        <v>14</v>
      </c>
      <c r="E2797">
        <v>308</v>
      </c>
      <c r="F2797">
        <v>77</v>
      </c>
      <c r="G2797">
        <v>4312</v>
      </c>
      <c r="H2797" s="4">
        <v>1078</v>
      </c>
      <c r="I2797" s="4">
        <v>3234</v>
      </c>
      <c r="J2797" t="s">
        <v>851</v>
      </c>
      <c r="K2797" t="s">
        <v>49</v>
      </c>
      <c r="L2797" s="4">
        <v>9.5176115401380308</v>
      </c>
      <c r="M2797" s="1" t="s">
        <v>54</v>
      </c>
      <c r="N2797" s="11">
        <f t="shared" si="43"/>
        <v>10</v>
      </c>
    </row>
    <row r="2798" spans="1:14" ht="16" x14ac:dyDescent="0.2">
      <c r="A2798" s="3">
        <v>44072.947540204608</v>
      </c>
      <c r="B2798" s="1" t="s">
        <v>3042</v>
      </c>
      <c r="C2798" t="s">
        <v>40</v>
      </c>
      <c r="D2798">
        <v>19</v>
      </c>
      <c r="E2798">
        <v>46</v>
      </c>
      <c r="F2798">
        <v>23</v>
      </c>
      <c r="G2798">
        <v>874</v>
      </c>
      <c r="H2798" s="4">
        <v>437</v>
      </c>
      <c r="I2798" s="4">
        <v>437</v>
      </c>
      <c r="J2798" t="s">
        <v>707</v>
      </c>
      <c r="K2798" t="s">
        <v>49</v>
      </c>
      <c r="L2798" s="4">
        <v>11.779256317174871</v>
      </c>
      <c r="M2798" s="1" t="s">
        <v>38</v>
      </c>
      <c r="N2798" s="11">
        <f t="shared" si="43"/>
        <v>5</v>
      </c>
    </row>
    <row r="2799" spans="1:14" ht="16" x14ac:dyDescent="0.2">
      <c r="A2799" s="3">
        <v>44408.351536820381</v>
      </c>
      <c r="B2799" s="1" t="s">
        <v>3043</v>
      </c>
      <c r="C2799" t="s">
        <v>125</v>
      </c>
      <c r="D2799">
        <v>2</v>
      </c>
      <c r="E2799">
        <v>176</v>
      </c>
      <c r="F2799">
        <v>88</v>
      </c>
      <c r="G2799">
        <v>352</v>
      </c>
      <c r="H2799" s="4">
        <v>176</v>
      </c>
      <c r="I2799" s="4">
        <v>176</v>
      </c>
      <c r="J2799" t="s">
        <v>335</v>
      </c>
      <c r="K2799" t="s">
        <v>53</v>
      </c>
      <c r="L2799" s="4">
        <v>12.148236977735172</v>
      </c>
      <c r="M2799" s="1" t="s">
        <v>54</v>
      </c>
      <c r="N2799" s="11">
        <f t="shared" si="43"/>
        <v>10</v>
      </c>
    </row>
    <row r="2800" spans="1:14" ht="16" x14ac:dyDescent="0.2">
      <c r="A2800" s="3">
        <v>43101.264251547276</v>
      </c>
      <c r="B2800" s="1" t="s">
        <v>3044</v>
      </c>
      <c r="C2800" t="s">
        <v>148</v>
      </c>
      <c r="D2800">
        <v>17</v>
      </c>
      <c r="E2800">
        <v>144</v>
      </c>
      <c r="F2800">
        <v>36</v>
      </c>
      <c r="G2800">
        <v>2448</v>
      </c>
      <c r="H2800" s="4">
        <v>612</v>
      </c>
      <c r="I2800" s="4">
        <v>1836</v>
      </c>
      <c r="J2800" t="s">
        <v>442</v>
      </c>
      <c r="K2800" t="s">
        <v>58</v>
      </c>
      <c r="L2800" s="4">
        <v>16.429355109701351</v>
      </c>
      <c r="M2800" s="1" t="s">
        <v>38</v>
      </c>
      <c r="N2800" s="11">
        <f t="shared" si="43"/>
        <v>5</v>
      </c>
    </row>
    <row r="2801" spans="1:14" ht="16" x14ac:dyDescent="0.2">
      <c r="A2801" s="3">
        <v>43834.502201177209</v>
      </c>
      <c r="B2801" s="1" t="s">
        <v>3045</v>
      </c>
      <c r="C2801" t="s">
        <v>105</v>
      </c>
      <c r="D2801">
        <v>12</v>
      </c>
      <c r="E2801">
        <v>201</v>
      </c>
      <c r="F2801">
        <v>67</v>
      </c>
      <c r="G2801">
        <v>2412</v>
      </c>
      <c r="H2801" s="4">
        <v>804</v>
      </c>
      <c r="I2801" s="4">
        <v>1608</v>
      </c>
      <c r="J2801" t="s">
        <v>673</v>
      </c>
      <c r="K2801" t="s">
        <v>53</v>
      </c>
      <c r="L2801" s="4">
        <v>14.460020532456038</v>
      </c>
      <c r="M2801" s="1" t="s">
        <v>38</v>
      </c>
      <c r="N2801" s="11">
        <f t="shared" si="43"/>
        <v>5</v>
      </c>
    </row>
    <row r="2802" spans="1:14" ht="16" x14ac:dyDescent="0.2">
      <c r="A2802" s="3">
        <v>43439.785773558491</v>
      </c>
      <c r="B2802" s="1" t="s">
        <v>3046</v>
      </c>
      <c r="C2802" t="s">
        <v>212</v>
      </c>
      <c r="D2802">
        <v>14</v>
      </c>
      <c r="E2802">
        <v>300</v>
      </c>
      <c r="F2802">
        <v>75</v>
      </c>
      <c r="G2802">
        <v>4200</v>
      </c>
      <c r="H2802" s="4">
        <v>1050</v>
      </c>
      <c r="I2802" s="4">
        <v>3150</v>
      </c>
      <c r="J2802" t="s">
        <v>357</v>
      </c>
      <c r="K2802" t="s">
        <v>86</v>
      </c>
      <c r="L2802" s="4">
        <v>11.986565560885863</v>
      </c>
      <c r="M2802" s="1" t="s">
        <v>34</v>
      </c>
      <c r="N2802" s="11">
        <f t="shared" si="43"/>
        <v>1</v>
      </c>
    </row>
    <row r="2803" spans="1:14" ht="16" x14ac:dyDescent="0.2">
      <c r="A2803" s="3">
        <v>44672.881652311466</v>
      </c>
      <c r="B2803" s="1" t="s">
        <v>3047</v>
      </c>
      <c r="C2803" t="s">
        <v>227</v>
      </c>
      <c r="D2803">
        <v>2</v>
      </c>
      <c r="E2803">
        <v>144</v>
      </c>
      <c r="F2803">
        <v>48</v>
      </c>
      <c r="G2803">
        <v>288</v>
      </c>
      <c r="H2803" s="4">
        <v>96</v>
      </c>
      <c r="I2803" s="4">
        <v>192</v>
      </c>
      <c r="J2803" t="s">
        <v>552</v>
      </c>
      <c r="K2803" t="s">
        <v>53</v>
      </c>
      <c r="L2803" s="4">
        <v>9.74650548941427</v>
      </c>
      <c r="M2803" s="1" t="s">
        <v>34</v>
      </c>
      <c r="N2803" s="11">
        <f t="shared" si="43"/>
        <v>1</v>
      </c>
    </row>
    <row r="2804" spans="1:14" ht="16" x14ac:dyDescent="0.2">
      <c r="A2804" s="3">
        <v>43402.253770816271</v>
      </c>
      <c r="B2804" s="1" t="s">
        <v>3048</v>
      </c>
      <c r="C2804" t="s">
        <v>139</v>
      </c>
      <c r="D2804">
        <v>16</v>
      </c>
      <c r="E2804">
        <v>320</v>
      </c>
      <c r="F2804">
        <v>80</v>
      </c>
      <c r="G2804">
        <v>5120</v>
      </c>
      <c r="H2804" s="4">
        <v>1280</v>
      </c>
      <c r="I2804" s="4">
        <v>3840</v>
      </c>
      <c r="J2804" t="s">
        <v>640</v>
      </c>
      <c r="K2804" t="s">
        <v>53</v>
      </c>
      <c r="L2804" s="4">
        <v>8.7741864171993527</v>
      </c>
      <c r="M2804" s="1" t="s">
        <v>38</v>
      </c>
      <c r="N2804" s="11">
        <f t="shared" si="43"/>
        <v>5</v>
      </c>
    </row>
    <row r="2805" spans="1:14" ht="16" x14ac:dyDescent="0.2">
      <c r="A2805" s="3">
        <v>44615.690959948624</v>
      </c>
      <c r="B2805" s="1" t="s">
        <v>3049</v>
      </c>
      <c r="C2805" t="s">
        <v>240</v>
      </c>
      <c r="D2805">
        <v>14</v>
      </c>
      <c r="E2805">
        <v>108</v>
      </c>
      <c r="F2805">
        <v>54</v>
      </c>
      <c r="G2805">
        <v>1512</v>
      </c>
      <c r="H2805" s="4">
        <v>756</v>
      </c>
      <c r="I2805" s="4">
        <v>756</v>
      </c>
      <c r="J2805" t="s">
        <v>345</v>
      </c>
      <c r="K2805" t="s">
        <v>49</v>
      </c>
      <c r="L2805" s="4">
        <v>14.687857652112591</v>
      </c>
      <c r="M2805" s="1" t="s">
        <v>34</v>
      </c>
      <c r="N2805" s="11">
        <f t="shared" si="43"/>
        <v>1</v>
      </c>
    </row>
    <row r="2806" spans="1:14" ht="16" x14ac:dyDescent="0.2">
      <c r="A2806" s="3">
        <v>44152.482258337281</v>
      </c>
      <c r="B2806" s="1" t="s">
        <v>3050</v>
      </c>
      <c r="C2806" t="s">
        <v>101</v>
      </c>
      <c r="D2806">
        <v>7</v>
      </c>
      <c r="E2806">
        <v>50</v>
      </c>
      <c r="F2806">
        <v>25</v>
      </c>
      <c r="G2806">
        <v>350</v>
      </c>
      <c r="H2806" s="4">
        <v>175</v>
      </c>
      <c r="I2806" s="4">
        <v>175</v>
      </c>
      <c r="J2806" t="s">
        <v>411</v>
      </c>
      <c r="K2806" t="s">
        <v>64</v>
      </c>
      <c r="L2806" s="4">
        <v>13.115597690631557</v>
      </c>
      <c r="M2806" s="1" t="s">
        <v>54</v>
      </c>
      <c r="N2806" s="11">
        <f t="shared" si="43"/>
        <v>10</v>
      </c>
    </row>
    <row r="2807" spans="1:14" ht="16" x14ac:dyDescent="0.2">
      <c r="A2807" s="3">
        <v>44067.185990503312</v>
      </c>
      <c r="B2807" s="1" t="s">
        <v>1067</v>
      </c>
      <c r="C2807" t="s">
        <v>227</v>
      </c>
      <c r="D2807">
        <v>15</v>
      </c>
      <c r="E2807">
        <v>144</v>
      </c>
      <c r="F2807">
        <v>48</v>
      </c>
      <c r="G2807">
        <v>2160</v>
      </c>
      <c r="H2807" s="4">
        <v>720</v>
      </c>
      <c r="I2807" s="4">
        <v>1440</v>
      </c>
      <c r="J2807" t="s">
        <v>315</v>
      </c>
      <c r="K2807" t="s">
        <v>42</v>
      </c>
      <c r="L2807" s="4">
        <v>10.966283117837653</v>
      </c>
      <c r="M2807" s="1" t="s">
        <v>38</v>
      </c>
      <c r="N2807" s="11">
        <f t="shared" si="43"/>
        <v>5</v>
      </c>
    </row>
    <row r="2808" spans="1:14" ht="16" x14ac:dyDescent="0.2">
      <c r="A2808" s="3">
        <v>43782.399329361484</v>
      </c>
      <c r="B2808" s="1" t="s">
        <v>3051</v>
      </c>
      <c r="C2808" t="s">
        <v>72</v>
      </c>
      <c r="D2808">
        <v>7</v>
      </c>
      <c r="E2808">
        <v>352</v>
      </c>
      <c r="F2808">
        <v>88</v>
      </c>
      <c r="G2808">
        <v>2464</v>
      </c>
      <c r="H2808" s="4">
        <v>616</v>
      </c>
      <c r="I2808" s="4">
        <v>1848</v>
      </c>
      <c r="J2808" t="s">
        <v>1223</v>
      </c>
      <c r="K2808" t="s">
        <v>53</v>
      </c>
      <c r="L2808" s="4">
        <v>10.428287009858728</v>
      </c>
      <c r="M2808" s="1" t="s">
        <v>38</v>
      </c>
      <c r="N2808" s="11">
        <f t="shared" si="43"/>
        <v>5</v>
      </c>
    </row>
    <row r="2809" spans="1:14" ht="16" x14ac:dyDescent="0.2">
      <c r="A2809" s="3">
        <v>43572.686571546794</v>
      </c>
      <c r="B2809" s="1" t="s">
        <v>3052</v>
      </c>
      <c r="C2809" t="s">
        <v>218</v>
      </c>
      <c r="D2809">
        <v>5</v>
      </c>
      <c r="E2809">
        <v>264</v>
      </c>
      <c r="F2809">
        <v>88</v>
      </c>
      <c r="G2809">
        <v>1320</v>
      </c>
      <c r="H2809" s="4">
        <v>440</v>
      </c>
      <c r="I2809" s="4">
        <v>880</v>
      </c>
      <c r="J2809" t="s">
        <v>94</v>
      </c>
      <c r="K2809" t="s">
        <v>49</v>
      </c>
      <c r="L2809" s="4">
        <v>9.8238489437106278</v>
      </c>
      <c r="M2809" s="1" t="s">
        <v>34</v>
      </c>
      <c r="N2809" s="11">
        <f t="shared" si="43"/>
        <v>1</v>
      </c>
    </row>
    <row r="2810" spans="1:14" ht="16" x14ac:dyDescent="0.2">
      <c r="A2810" s="3">
        <v>44046.018474162658</v>
      </c>
      <c r="B2810" s="1" t="s">
        <v>269</v>
      </c>
      <c r="C2810" t="s">
        <v>40</v>
      </c>
      <c r="D2810">
        <v>7</v>
      </c>
      <c r="E2810">
        <v>46</v>
      </c>
      <c r="F2810">
        <v>23</v>
      </c>
      <c r="G2810">
        <v>322</v>
      </c>
      <c r="H2810" s="4">
        <v>161</v>
      </c>
      <c r="I2810" s="4">
        <v>161</v>
      </c>
      <c r="J2810" t="s">
        <v>313</v>
      </c>
      <c r="K2810" t="s">
        <v>49</v>
      </c>
      <c r="L2810" s="4">
        <v>11.99399163482429</v>
      </c>
      <c r="M2810" s="1" t="s">
        <v>38</v>
      </c>
      <c r="N2810" s="11">
        <f t="shared" si="43"/>
        <v>5</v>
      </c>
    </row>
    <row r="2811" spans="1:14" ht="16" x14ac:dyDescent="0.2">
      <c r="A2811" s="3">
        <v>44301.121372320747</v>
      </c>
      <c r="B2811" s="1" t="s">
        <v>3053</v>
      </c>
      <c r="C2811" t="s">
        <v>425</v>
      </c>
      <c r="D2811">
        <v>10</v>
      </c>
      <c r="E2811">
        <v>352</v>
      </c>
      <c r="F2811">
        <v>88</v>
      </c>
      <c r="G2811">
        <v>3520</v>
      </c>
      <c r="H2811" s="4">
        <v>880</v>
      </c>
      <c r="I2811" s="4">
        <v>2640</v>
      </c>
      <c r="J2811" t="s">
        <v>176</v>
      </c>
      <c r="K2811" t="s">
        <v>64</v>
      </c>
      <c r="L2811" s="4">
        <v>12.1334991293512</v>
      </c>
      <c r="M2811" s="1" t="s">
        <v>34</v>
      </c>
      <c r="N2811" s="11">
        <f t="shared" si="43"/>
        <v>1</v>
      </c>
    </row>
    <row r="2812" spans="1:14" ht="16" x14ac:dyDescent="0.2">
      <c r="A2812" s="3">
        <v>44608.678636486358</v>
      </c>
      <c r="B2812" s="1" t="s">
        <v>3054</v>
      </c>
      <c r="C2812" t="s">
        <v>185</v>
      </c>
      <c r="D2812">
        <v>4</v>
      </c>
      <c r="E2812">
        <v>146</v>
      </c>
      <c r="F2812">
        <v>73</v>
      </c>
      <c r="G2812">
        <v>584</v>
      </c>
      <c r="H2812" s="4">
        <v>292</v>
      </c>
      <c r="I2812" s="4">
        <v>292</v>
      </c>
      <c r="J2812" t="s">
        <v>429</v>
      </c>
      <c r="K2812" t="s">
        <v>33</v>
      </c>
      <c r="L2812" s="4">
        <v>11.701919153133453</v>
      </c>
      <c r="M2812" s="1" t="s">
        <v>54</v>
      </c>
      <c r="N2812" s="11">
        <f t="shared" si="43"/>
        <v>10</v>
      </c>
    </row>
    <row r="2813" spans="1:14" ht="16" x14ac:dyDescent="0.2">
      <c r="A2813" s="3">
        <v>43241.280227455827</v>
      </c>
      <c r="B2813" s="1" t="s">
        <v>3055</v>
      </c>
      <c r="C2813" t="s">
        <v>288</v>
      </c>
      <c r="D2813">
        <v>3</v>
      </c>
      <c r="E2813">
        <v>48</v>
      </c>
      <c r="F2813">
        <v>24</v>
      </c>
      <c r="G2813">
        <v>144</v>
      </c>
      <c r="H2813" s="4">
        <v>72</v>
      </c>
      <c r="I2813" s="4">
        <v>72</v>
      </c>
      <c r="J2813" t="s">
        <v>640</v>
      </c>
      <c r="K2813" t="s">
        <v>53</v>
      </c>
      <c r="L2813" s="4">
        <v>8.7741864171993527</v>
      </c>
      <c r="M2813" s="1" t="s">
        <v>34</v>
      </c>
      <c r="N2813" s="11">
        <f t="shared" si="43"/>
        <v>1</v>
      </c>
    </row>
    <row r="2814" spans="1:14" ht="16" x14ac:dyDescent="0.2">
      <c r="A2814" s="3">
        <v>44341.210829504569</v>
      </c>
      <c r="B2814" s="1" t="s">
        <v>3056</v>
      </c>
      <c r="C2814" t="s">
        <v>538</v>
      </c>
      <c r="D2814">
        <v>17</v>
      </c>
      <c r="E2814">
        <v>261</v>
      </c>
      <c r="F2814">
        <v>87</v>
      </c>
      <c r="G2814">
        <v>4437</v>
      </c>
      <c r="H2814" s="4">
        <v>1479</v>
      </c>
      <c r="I2814" s="4">
        <v>2958</v>
      </c>
      <c r="J2814" t="s">
        <v>892</v>
      </c>
      <c r="K2814" t="s">
        <v>33</v>
      </c>
      <c r="L2814" s="4">
        <v>13.062292798511226</v>
      </c>
      <c r="M2814" s="1" t="s">
        <v>54</v>
      </c>
      <c r="N2814" s="11">
        <f t="shared" si="43"/>
        <v>10</v>
      </c>
    </row>
    <row r="2815" spans="1:14" ht="16" x14ac:dyDescent="0.2">
      <c r="A2815" s="3">
        <v>43464.706782679423</v>
      </c>
      <c r="B2815" s="1" t="s">
        <v>3057</v>
      </c>
      <c r="C2815" t="s">
        <v>257</v>
      </c>
      <c r="D2815">
        <v>1</v>
      </c>
      <c r="E2815">
        <v>160</v>
      </c>
      <c r="F2815">
        <v>80</v>
      </c>
      <c r="G2815">
        <v>160</v>
      </c>
      <c r="H2815" s="4">
        <v>80</v>
      </c>
      <c r="I2815" s="4">
        <v>80</v>
      </c>
      <c r="J2815" t="s">
        <v>423</v>
      </c>
      <c r="K2815" t="s">
        <v>86</v>
      </c>
      <c r="L2815" s="4">
        <v>10.813269600021069</v>
      </c>
      <c r="M2815" s="1" t="s">
        <v>38</v>
      </c>
      <c r="N2815" s="11">
        <f t="shared" si="43"/>
        <v>5</v>
      </c>
    </row>
    <row r="2816" spans="1:14" ht="16" x14ac:dyDescent="0.2">
      <c r="A2816" s="3">
        <v>43728.36280625889</v>
      </c>
      <c r="B2816" s="1" t="s">
        <v>2573</v>
      </c>
      <c r="C2816" t="s">
        <v>312</v>
      </c>
      <c r="D2816">
        <v>9</v>
      </c>
      <c r="E2816">
        <v>240</v>
      </c>
      <c r="F2816">
        <v>80</v>
      </c>
      <c r="G2816">
        <v>2160</v>
      </c>
      <c r="H2816" s="4">
        <v>720</v>
      </c>
      <c r="I2816" s="4">
        <v>1440</v>
      </c>
      <c r="J2816" t="s">
        <v>351</v>
      </c>
      <c r="K2816" t="s">
        <v>33</v>
      </c>
      <c r="L2816" s="4">
        <v>11.070908141213383</v>
      </c>
      <c r="M2816" s="1" t="s">
        <v>38</v>
      </c>
      <c r="N2816" s="11">
        <f t="shared" si="43"/>
        <v>5</v>
      </c>
    </row>
    <row r="2817" spans="1:14" ht="16" x14ac:dyDescent="0.2">
      <c r="A2817" s="3">
        <v>44199.689804784764</v>
      </c>
      <c r="B2817" s="1" t="s">
        <v>1956</v>
      </c>
      <c r="C2817" t="s">
        <v>204</v>
      </c>
      <c r="D2817">
        <v>19</v>
      </c>
      <c r="E2817">
        <v>57</v>
      </c>
      <c r="F2817">
        <v>19</v>
      </c>
      <c r="G2817">
        <v>1083</v>
      </c>
      <c r="H2817" s="4">
        <v>361</v>
      </c>
      <c r="I2817" s="4">
        <v>722</v>
      </c>
      <c r="J2817" t="s">
        <v>318</v>
      </c>
      <c r="K2817" t="s">
        <v>33</v>
      </c>
      <c r="L2817" s="4">
        <v>9.0350666811770921</v>
      </c>
      <c r="M2817" s="1" t="s">
        <v>38</v>
      </c>
      <c r="N2817" s="11">
        <f t="shared" si="43"/>
        <v>5</v>
      </c>
    </row>
    <row r="2818" spans="1:14" ht="16" x14ac:dyDescent="0.2">
      <c r="A2818" s="3">
        <v>43867.617973305372</v>
      </c>
      <c r="B2818" s="1" t="s">
        <v>3058</v>
      </c>
      <c r="C2818" t="s">
        <v>243</v>
      </c>
      <c r="D2818">
        <v>3</v>
      </c>
      <c r="E2818">
        <v>90</v>
      </c>
      <c r="F2818">
        <v>45</v>
      </c>
      <c r="G2818">
        <v>270</v>
      </c>
      <c r="H2818" s="4">
        <v>135</v>
      </c>
      <c r="I2818" s="4">
        <v>135</v>
      </c>
      <c r="J2818" t="s">
        <v>580</v>
      </c>
      <c r="K2818" t="s">
        <v>58</v>
      </c>
      <c r="L2818" s="4">
        <v>14.66147716237918</v>
      </c>
      <c r="M2818" s="1" t="s">
        <v>54</v>
      </c>
      <c r="N2818" s="11">
        <f t="shared" si="43"/>
        <v>10</v>
      </c>
    </row>
    <row r="2819" spans="1:14" ht="16" x14ac:dyDescent="0.2">
      <c r="A2819" s="3">
        <v>44820.687424542812</v>
      </c>
      <c r="B2819" s="1" t="s">
        <v>3059</v>
      </c>
      <c r="C2819" t="s">
        <v>561</v>
      </c>
      <c r="D2819">
        <v>19</v>
      </c>
      <c r="E2819">
        <v>384</v>
      </c>
      <c r="F2819">
        <v>96</v>
      </c>
      <c r="G2819">
        <v>7296</v>
      </c>
      <c r="H2819" s="4">
        <v>1824</v>
      </c>
      <c r="I2819" s="4">
        <v>5472</v>
      </c>
      <c r="J2819" t="s">
        <v>292</v>
      </c>
      <c r="K2819" t="s">
        <v>49</v>
      </c>
      <c r="L2819" s="4">
        <v>11.710935611749917</v>
      </c>
      <c r="M2819" s="1" t="s">
        <v>38</v>
      </c>
      <c r="N2819" s="11">
        <f t="shared" ref="N2819:N2882" si="44">+IF(M2819="Dissatisfied",1,IF(M2819="Satisfied",10,5))</f>
        <v>5</v>
      </c>
    </row>
    <row r="2820" spans="1:14" ht="16" x14ac:dyDescent="0.2">
      <c r="A2820" s="3">
        <v>44005.140727889862</v>
      </c>
      <c r="B2820" s="1" t="s">
        <v>3060</v>
      </c>
      <c r="C2820" t="s">
        <v>420</v>
      </c>
      <c r="D2820">
        <v>18</v>
      </c>
      <c r="E2820">
        <v>162</v>
      </c>
      <c r="F2820">
        <v>54</v>
      </c>
      <c r="G2820">
        <v>2916</v>
      </c>
      <c r="H2820" s="4">
        <v>972</v>
      </c>
      <c r="I2820" s="4">
        <v>1944</v>
      </c>
      <c r="J2820" t="s">
        <v>123</v>
      </c>
      <c r="K2820" t="s">
        <v>53</v>
      </c>
      <c r="L2820" s="4">
        <v>10.42743035829395</v>
      </c>
      <c r="M2820" s="1" t="s">
        <v>38</v>
      </c>
      <c r="N2820" s="11">
        <f t="shared" si="44"/>
        <v>5</v>
      </c>
    </row>
    <row r="2821" spans="1:14" ht="16" x14ac:dyDescent="0.2">
      <c r="A2821" s="3">
        <v>43168.730395054539</v>
      </c>
      <c r="B2821" s="1" t="s">
        <v>3061</v>
      </c>
      <c r="C2821" t="s">
        <v>227</v>
      </c>
      <c r="D2821">
        <v>5</v>
      </c>
      <c r="E2821">
        <v>144</v>
      </c>
      <c r="F2821">
        <v>48</v>
      </c>
      <c r="G2821">
        <v>720</v>
      </c>
      <c r="H2821" s="4">
        <v>240</v>
      </c>
      <c r="I2821" s="4">
        <v>480</v>
      </c>
      <c r="J2821" t="s">
        <v>795</v>
      </c>
      <c r="K2821" t="s">
        <v>49</v>
      </c>
      <c r="L2821" s="4">
        <v>11.661237375491201</v>
      </c>
      <c r="M2821" s="1" t="s">
        <v>38</v>
      </c>
      <c r="N2821" s="11">
        <f t="shared" si="44"/>
        <v>5</v>
      </c>
    </row>
    <row r="2822" spans="1:14" ht="16" x14ac:dyDescent="0.2">
      <c r="A2822" s="3">
        <v>43935.325347651844</v>
      </c>
      <c r="B2822" s="1" t="s">
        <v>3062</v>
      </c>
      <c r="C2822" t="s">
        <v>113</v>
      </c>
      <c r="D2822">
        <v>8</v>
      </c>
      <c r="E2822">
        <v>66</v>
      </c>
      <c r="F2822">
        <v>33</v>
      </c>
      <c r="G2822">
        <v>528</v>
      </c>
      <c r="H2822" s="4">
        <v>264</v>
      </c>
      <c r="I2822" s="4">
        <v>264</v>
      </c>
      <c r="J2822" t="s">
        <v>819</v>
      </c>
      <c r="K2822" t="s">
        <v>86</v>
      </c>
      <c r="L2822" s="4">
        <v>12.155895475340943</v>
      </c>
      <c r="M2822" s="1" t="s">
        <v>54</v>
      </c>
      <c r="N2822" s="11">
        <f t="shared" si="44"/>
        <v>10</v>
      </c>
    </row>
    <row r="2823" spans="1:14" ht="16" x14ac:dyDescent="0.2">
      <c r="A2823" s="3">
        <v>44491.734410470686</v>
      </c>
      <c r="B2823" s="1" t="s">
        <v>3063</v>
      </c>
      <c r="C2823" t="s">
        <v>133</v>
      </c>
      <c r="D2823">
        <v>18</v>
      </c>
      <c r="E2823">
        <v>189</v>
      </c>
      <c r="F2823">
        <v>63</v>
      </c>
      <c r="G2823">
        <v>3402</v>
      </c>
      <c r="H2823" s="4">
        <v>1134</v>
      </c>
      <c r="I2823" s="4">
        <v>2268</v>
      </c>
      <c r="J2823" t="s">
        <v>1432</v>
      </c>
      <c r="K2823" t="s">
        <v>53</v>
      </c>
      <c r="L2823" s="4">
        <v>13.2671922973198</v>
      </c>
      <c r="M2823" s="1" t="s">
        <v>54</v>
      </c>
      <c r="N2823" s="11">
        <f t="shared" si="44"/>
        <v>10</v>
      </c>
    </row>
    <row r="2824" spans="1:14" ht="16" x14ac:dyDescent="0.2">
      <c r="A2824" s="3">
        <v>43744.27915982026</v>
      </c>
      <c r="B2824" s="1" t="s">
        <v>3064</v>
      </c>
      <c r="C2824" t="s">
        <v>157</v>
      </c>
      <c r="D2824">
        <v>20</v>
      </c>
      <c r="E2824">
        <v>50</v>
      </c>
      <c r="F2824">
        <v>25</v>
      </c>
      <c r="G2824">
        <v>1000</v>
      </c>
      <c r="H2824" s="4">
        <v>500</v>
      </c>
      <c r="I2824" s="4">
        <v>500</v>
      </c>
      <c r="J2824" t="s">
        <v>980</v>
      </c>
      <c r="K2824" t="s">
        <v>33</v>
      </c>
      <c r="L2824" s="4">
        <v>8.1743378387804331</v>
      </c>
      <c r="M2824" s="1" t="s">
        <v>54</v>
      </c>
      <c r="N2824" s="11">
        <f t="shared" si="44"/>
        <v>10</v>
      </c>
    </row>
    <row r="2825" spans="1:14" ht="16" x14ac:dyDescent="0.2">
      <c r="A2825" s="3">
        <v>44717.68579645858</v>
      </c>
      <c r="B2825" s="1" t="s">
        <v>3065</v>
      </c>
      <c r="C2825" t="s">
        <v>283</v>
      </c>
      <c r="D2825">
        <v>14</v>
      </c>
      <c r="E2825">
        <v>144</v>
      </c>
      <c r="F2825">
        <v>36</v>
      </c>
      <c r="G2825">
        <v>2016</v>
      </c>
      <c r="H2825" s="4">
        <v>504</v>
      </c>
      <c r="I2825" s="4">
        <v>1512</v>
      </c>
      <c r="J2825" t="s">
        <v>1107</v>
      </c>
      <c r="K2825" t="s">
        <v>53</v>
      </c>
      <c r="L2825" s="4">
        <v>10.28240320324797</v>
      </c>
      <c r="M2825" s="1" t="s">
        <v>34</v>
      </c>
      <c r="N2825" s="11">
        <f t="shared" si="44"/>
        <v>1</v>
      </c>
    </row>
    <row r="2826" spans="1:14" ht="16" x14ac:dyDescent="0.2">
      <c r="A2826" s="3">
        <v>44776.927685659335</v>
      </c>
      <c r="B2826" s="1" t="s">
        <v>3066</v>
      </c>
      <c r="C2826" t="s">
        <v>72</v>
      </c>
      <c r="D2826">
        <v>7</v>
      </c>
      <c r="E2826">
        <v>352</v>
      </c>
      <c r="F2826">
        <v>88</v>
      </c>
      <c r="G2826">
        <v>2464</v>
      </c>
      <c r="H2826" s="4">
        <v>616</v>
      </c>
      <c r="I2826" s="4">
        <v>1848</v>
      </c>
      <c r="J2826" t="s">
        <v>106</v>
      </c>
      <c r="K2826" t="s">
        <v>42</v>
      </c>
      <c r="L2826" s="4">
        <v>13.717776078041958</v>
      </c>
      <c r="M2826" s="1" t="s">
        <v>38</v>
      </c>
      <c r="N2826" s="11">
        <f t="shared" si="44"/>
        <v>5</v>
      </c>
    </row>
    <row r="2827" spans="1:14" ht="16" x14ac:dyDescent="0.2">
      <c r="A2827" s="3">
        <v>44700.863844689011</v>
      </c>
      <c r="B2827" s="1" t="s">
        <v>3067</v>
      </c>
      <c r="C2827" t="s">
        <v>365</v>
      </c>
      <c r="D2827">
        <v>4</v>
      </c>
      <c r="E2827">
        <v>255</v>
      </c>
      <c r="F2827">
        <v>85</v>
      </c>
      <c r="G2827">
        <v>1020</v>
      </c>
      <c r="H2827" s="4">
        <v>340</v>
      </c>
      <c r="I2827" s="4">
        <v>680</v>
      </c>
      <c r="J2827" t="s">
        <v>498</v>
      </c>
      <c r="K2827" t="s">
        <v>58</v>
      </c>
      <c r="L2827" s="4">
        <v>8.0758315802191021</v>
      </c>
      <c r="M2827" s="1" t="s">
        <v>38</v>
      </c>
      <c r="N2827" s="11">
        <f t="shared" si="44"/>
        <v>5</v>
      </c>
    </row>
    <row r="2828" spans="1:14" ht="16" x14ac:dyDescent="0.2">
      <c r="A2828" s="3">
        <v>44618.692436449288</v>
      </c>
      <c r="B2828" s="1" t="s">
        <v>3068</v>
      </c>
      <c r="C2828" t="s">
        <v>538</v>
      </c>
      <c r="D2828">
        <v>14</v>
      </c>
      <c r="E2828">
        <v>261</v>
      </c>
      <c r="F2828">
        <v>87</v>
      </c>
      <c r="G2828">
        <v>3654</v>
      </c>
      <c r="H2828" s="4">
        <v>1218</v>
      </c>
      <c r="I2828" s="4">
        <v>2436</v>
      </c>
      <c r="J2828" t="s">
        <v>567</v>
      </c>
      <c r="K2828" t="s">
        <v>49</v>
      </c>
      <c r="L2828" s="4">
        <v>12.147202500273634</v>
      </c>
      <c r="M2828" s="1" t="s">
        <v>38</v>
      </c>
      <c r="N2828" s="11">
        <f t="shared" si="44"/>
        <v>5</v>
      </c>
    </row>
    <row r="2829" spans="1:14" ht="16" x14ac:dyDescent="0.2">
      <c r="A2829" s="3">
        <v>43965.503926469442</v>
      </c>
      <c r="B2829" s="1" t="s">
        <v>3069</v>
      </c>
      <c r="C2829" t="s">
        <v>257</v>
      </c>
      <c r="D2829">
        <v>9</v>
      </c>
      <c r="E2829">
        <v>160</v>
      </c>
      <c r="F2829">
        <v>80</v>
      </c>
      <c r="G2829">
        <v>1440</v>
      </c>
      <c r="H2829" s="4">
        <v>720</v>
      </c>
      <c r="I2829" s="4">
        <v>720</v>
      </c>
      <c r="J2829" t="s">
        <v>123</v>
      </c>
      <c r="K2829" t="s">
        <v>53</v>
      </c>
      <c r="L2829" s="4">
        <v>10.42743035829395</v>
      </c>
      <c r="M2829" s="1" t="s">
        <v>54</v>
      </c>
      <c r="N2829" s="11">
        <f t="shared" si="44"/>
        <v>10</v>
      </c>
    </row>
    <row r="2830" spans="1:14" ht="16" x14ac:dyDescent="0.2">
      <c r="A2830" s="3">
        <v>43542.827520371102</v>
      </c>
      <c r="B2830" s="1" t="s">
        <v>3070</v>
      </c>
      <c r="C2830" t="s">
        <v>160</v>
      </c>
      <c r="D2830">
        <v>14</v>
      </c>
      <c r="E2830">
        <v>132</v>
      </c>
      <c r="F2830">
        <v>33</v>
      </c>
      <c r="G2830">
        <v>1848</v>
      </c>
      <c r="H2830" s="4">
        <v>462</v>
      </c>
      <c r="I2830" s="4">
        <v>1386</v>
      </c>
      <c r="J2830" t="s">
        <v>1202</v>
      </c>
      <c r="K2830" t="s">
        <v>58</v>
      </c>
      <c r="L2830" s="4">
        <v>10.524491192521829</v>
      </c>
      <c r="M2830" s="1" t="s">
        <v>38</v>
      </c>
      <c r="N2830" s="11">
        <f t="shared" si="44"/>
        <v>5</v>
      </c>
    </row>
    <row r="2831" spans="1:14" ht="16" x14ac:dyDescent="0.2">
      <c r="A2831" s="3">
        <v>43092.742109648832</v>
      </c>
      <c r="B2831" s="1" t="s">
        <v>3071</v>
      </c>
      <c r="C2831" t="s">
        <v>110</v>
      </c>
      <c r="D2831">
        <v>18</v>
      </c>
      <c r="E2831">
        <v>144</v>
      </c>
      <c r="F2831">
        <v>36</v>
      </c>
      <c r="G2831">
        <v>2592</v>
      </c>
      <c r="H2831" s="4">
        <v>648</v>
      </c>
      <c r="I2831" s="4">
        <v>1944</v>
      </c>
      <c r="J2831" t="s">
        <v>1008</v>
      </c>
      <c r="K2831" t="s">
        <v>58</v>
      </c>
      <c r="L2831" s="4">
        <v>9.9471686551317795</v>
      </c>
      <c r="M2831" s="1" t="s">
        <v>54</v>
      </c>
      <c r="N2831" s="11">
        <f t="shared" si="44"/>
        <v>10</v>
      </c>
    </row>
    <row r="2832" spans="1:14" ht="16" x14ac:dyDescent="0.2">
      <c r="A2832" s="3">
        <v>43805.689880873062</v>
      </c>
      <c r="B2832" s="1" t="s">
        <v>2571</v>
      </c>
      <c r="C2832" t="s">
        <v>248</v>
      </c>
      <c r="D2832">
        <v>20</v>
      </c>
      <c r="E2832">
        <v>132</v>
      </c>
      <c r="F2832">
        <v>44</v>
      </c>
      <c r="G2832">
        <v>2640</v>
      </c>
      <c r="H2832" s="4">
        <v>880</v>
      </c>
      <c r="I2832" s="4">
        <v>1760</v>
      </c>
      <c r="J2832" t="s">
        <v>197</v>
      </c>
      <c r="K2832" t="s">
        <v>49</v>
      </c>
      <c r="L2832" s="4">
        <v>13.288482149665386</v>
      </c>
      <c r="M2832" s="1" t="s">
        <v>38</v>
      </c>
      <c r="N2832" s="11">
        <f t="shared" si="44"/>
        <v>5</v>
      </c>
    </row>
    <row r="2833" spans="1:14" ht="16" x14ac:dyDescent="0.2">
      <c r="A2833" s="3">
        <v>44029.761245263697</v>
      </c>
      <c r="B2833" s="1" t="s">
        <v>311</v>
      </c>
      <c r="C2833" t="s">
        <v>365</v>
      </c>
      <c r="D2833">
        <v>19</v>
      </c>
      <c r="E2833">
        <v>255</v>
      </c>
      <c r="F2833">
        <v>85</v>
      </c>
      <c r="G2833">
        <v>4845</v>
      </c>
      <c r="H2833" s="4">
        <v>1615</v>
      </c>
      <c r="I2833" s="4">
        <v>3230</v>
      </c>
      <c r="J2833" t="s">
        <v>126</v>
      </c>
      <c r="K2833" t="s">
        <v>64</v>
      </c>
      <c r="L2833" s="4">
        <v>11.006397834696006</v>
      </c>
      <c r="M2833" s="1" t="s">
        <v>34</v>
      </c>
      <c r="N2833" s="11">
        <f t="shared" si="44"/>
        <v>1</v>
      </c>
    </row>
    <row r="2834" spans="1:14" ht="16" x14ac:dyDescent="0.2">
      <c r="A2834" s="3">
        <v>44282.34916439699</v>
      </c>
      <c r="B2834" s="1" t="s">
        <v>3072</v>
      </c>
      <c r="C2834" t="s">
        <v>204</v>
      </c>
      <c r="D2834">
        <v>14</v>
      </c>
      <c r="E2834">
        <v>57</v>
      </c>
      <c r="F2834">
        <v>19</v>
      </c>
      <c r="G2834">
        <v>798</v>
      </c>
      <c r="H2834" s="4">
        <v>266</v>
      </c>
      <c r="I2834" s="4">
        <v>532</v>
      </c>
      <c r="J2834" t="s">
        <v>1259</v>
      </c>
      <c r="K2834" t="s">
        <v>64</v>
      </c>
      <c r="L2834" s="4">
        <v>10.01033276255276</v>
      </c>
      <c r="M2834" s="1" t="s">
        <v>54</v>
      </c>
      <c r="N2834" s="11">
        <f t="shared" si="44"/>
        <v>10</v>
      </c>
    </row>
    <row r="2835" spans="1:14" ht="16" x14ac:dyDescent="0.2">
      <c r="A2835" s="3">
        <v>43220.66749321753</v>
      </c>
      <c r="B2835" s="1" t="s">
        <v>3073</v>
      </c>
      <c r="C2835" t="s">
        <v>78</v>
      </c>
      <c r="D2835">
        <v>7</v>
      </c>
      <c r="E2835">
        <v>94</v>
      </c>
      <c r="F2835">
        <v>47</v>
      </c>
      <c r="G2835">
        <v>658</v>
      </c>
      <c r="H2835" s="4">
        <v>329</v>
      </c>
      <c r="I2835" s="4">
        <v>329</v>
      </c>
      <c r="J2835" t="s">
        <v>244</v>
      </c>
      <c r="K2835" t="s">
        <v>86</v>
      </c>
      <c r="L2835" s="4">
        <v>15.458859683514467</v>
      </c>
      <c r="M2835" s="1" t="s">
        <v>38</v>
      </c>
      <c r="N2835" s="11">
        <f t="shared" si="44"/>
        <v>5</v>
      </c>
    </row>
    <row r="2836" spans="1:14" ht="16" x14ac:dyDescent="0.2">
      <c r="A2836" s="3">
        <v>43508.421249553299</v>
      </c>
      <c r="B2836" s="1" t="s">
        <v>3074</v>
      </c>
      <c r="C2836" t="s">
        <v>607</v>
      </c>
      <c r="D2836">
        <v>19</v>
      </c>
      <c r="E2836">
        <v>225</v>
      </c>
      <c r="F2836">
        <v>75</v>
      </c>
      <c r="G2836">
        <v>4275</v>
      </c>
      <c r="H2836" s="4">
        <v>1425</v>
      </c>
      <c r="I2836" s="4">
        <v>2850</v>
      </c>
      <c r="J2836" t="s">
        <v>1012</v>
      </c>
      <c r="K2836" t="s">
        <v>33</v>
      </c>
      <c r="L2836" s="4">
        <v>14.538471643780088</v>
      </c>
      <c r="M2836" s="1" t="s">
        <v>54</v>
      </c>
      <c r="N2836" s="11">
        <f t="shared" si="44"/>
        <v>10</v>
      </c>
    </row>
    <row r="2837" spans="1:14" ht="16" x14ac:dyDescent="0.2">
      <c r="A2837" s="3">
        <v>44600.373537656094</v>
      </c>
      <c r="B2837" s="1" t="s">
        <v>3075</v>
      </c>
      <c r="C2837" t="s">
        <v>788</v>
      </c>
      <c r="D2837">
        <v>20</v>
      </c>
      <c r="E2837">
        <v>100</v>
      </c>
      <c r="F2837">
        <v>25</v>
      </c>
      <c r="G2837">
        <v>2000</v>
      </c>
      <c r="H2837" s="4">
        <v>500</v>
      </c>
      <c r="I2837" s="4">
        <v>1500</v>
      </c>
      <c r="J2837" t="s">
        <v>1136</v>
      </c>
      <c r="K2837" t="s">
        <v>49</v>
      </c>
      <c r="L2837" s="4">
        <v>14.129095302641241</v>
      </c>
      <c r="M2837" s="1" t="s">
        <v>38</v>
      </c>
      <c r="N2837" s="11">
        <f t="shared" si="44"/>
        <v>5</v>
      </c>
    </row>
    <row r="2838" spans="1:14" ht="16" x14ac:dyDescent="0.2">
      <c r="A2838" s="3">
        <v>42615.366408578368</v>
      </c>
      <c r="B2838" s="1" t="s">
        <v>3076</v>
      </c>
      <c r="C2838" t="s">
        <v>248</v>
      </c>
      <c r="D2838">
        <v>12</v>
      </c>
      <c r="E2838">
        <v>132</v>
      </c>
      <c r="F2838">
        <v>44</v>
      </c>
      <c r="G2838">
        <v>1584</v>
      </c>
      <c r="H2838" s="4">
        <v>528</v>
      </c>
      <c r="I2838" s="4">
        <v>1056</v>
      </c>
      <c r="J2838" t="s">
        <v>741</v>
      </c>
      <c r="K2838" t="s">
        <v>42</v>
      </c>
      <c r="L2838" s="4">
        <v>14.817898176328208</v>
      </c>
      <c r="M2838" s="1" t="s">
        <v>34</v>
      </c>
      <c r="N2838" s="11">
        <f t="shared" si="44"/>
        <v>1</v>
      </c>
    </row>
    <row r="2839" spans="1:14" ht="16" x14ac:dyDescent="0.2">
      <c r="A2839" s="3">
        <v>43891.00984575638</v>
      </c>
      <c r="B2839" s="1" t="s">
        <v>960</v>
      </c>
      <c r="C2839" t="s">
        <v>139</v>
      </c>
      <c r="D2839">
        <v>13</v>
      </c>
      <c r="E2839">
        <v>320</v>
      </c>
      <c r="F2839">
        <v>80</v>
      </c>
      <c r="G2839">
        <v>4160</v>
      </c>
      <c r="H2839" s="4">
        <v>1040</v>
      </c>
      <c r="I2839" s="4">
        <v>3120</v>
      </c>
      <c r="J2839" t="s">
        <v>134</v>
      </c>
      <c r="K2839" t="s">
        <v>33</v>
      </c>
      <c r="L2839" s="4">
        <v>9.4200113153305907</v>
      </c>
      <c r="M2839" s="1" t="s">
        <v>34</v>
      </c>
      <c r="N2839" s="11">
        <f t="shared" si="44"/>
        <v>1</v>
      </c>
    </row>
    <row r="2840" spans="1:14" ht="16" x14ac:dyDescent="0.2">
      <c r="A2840" s="3">
        <v>44738.96045958755</v>
      </c>
      <c r="B2840" s="1" t="s">
        <v>3077</v>
      </c>
      <c r="C2840" t="s">
        <v>340</v>
      </c>
      <c r="D2840">
        <v>8</v>
      </c>
      <c r="E2840">
        <v>180</v>
      </c>
      <c r="F2840">
        <v>45</v>
      </c>
      <c r="G2840">
        <v>1440</v>
      </c>
      <c r="H2840" s="4">
        <v>360</v>
      </c>
      <c r="I2840" s="4">
        <v>1080</v>
      </c>
      <c r="J2840" t="s">
        <v>277</v>
      </c>
      <c r="K2840" t="s">
        <v>58</v>
      </c>
      <c r="L2840" s="4">
        <v>11.883396013219548</v>
      </c>
      <c r="M2840" s="1" t="s">
        <v>54</v>
      </c>
      <c r="N2840" s="11">
        <f t="shared" si="44"/>
        <v>10</v>
      </c>
    </row>
    <row r="2841" spans="1:14" ht="16" x14ac:dyDescent="0.2">
      <c r="A2841" s="3">
        <v>44520.476591293358</v>
      </c>
      <c r="B2841" s="1" t="s">
        <v>3078</v>
      </c>
      <c r="C2841" t="s">
        <v>139</v>
      </c>
      <c r="D2841">
        <v>15</v>
      </c>
      <c r="E2841">
        <v>320</v>
      </c>
      <c r="F2841">
        <v>80</v>
      </c>
      <c r="G2841">
        <v>4800</v>
      </c>
      <c r="H2841" s="4">
        <v>1200</v>
      </c>
      <c r="I2841" s="4">
        <v>3600</v>
      </c>
      <c r="J2841" t="s">
        <v>1259</v>
      </c>
      <c r="K2841" t="s">
        <v>64</v>
      </c>
      <c r="L2841" s="4">
        <v>10.01033276255276</v>
      </c>
      <c r="M2841" s="1" t="s">
        <v>38</v>
      </c>
      <c r="N2841" s="11">
        <f t="shared" si="44"/>
        <v>5</v>
      </c>
    </row>
    <row r="2842" spans="1:14" ht="16" x14ac:dyDescent="0.2">
      <c r="A2842" s="3">
        <v>43927.789850442903</v>
      </c>
      <c r="B2842" s="1" t="s">
        <v>3079</v>
      </c>
      <c r="C2842" t="s">
        <v>66</v>
      </c>
      <c r="D2842">
        <v>8</v>
      </c>
      <c r="E2842">
        <v>144</v>
      </c>
      <c r="F2842">
        <v>48</v>
      </c>
      <c r="G2842">
        <v>1152</v>
      </c>
      <c r="H2842" s="4">
        <v>384</v>
      </c>
      <c r="I2842" s="4">
        <v>768</v>
      </c>
      <c r="J2842" t="s">
        <v>640</v>
      </c>
      <c r="K2842" t="s">
        <v>53</v>
      </c>
      <c r="L2842" s="4">
        <v>8.7741864171993527</v>
      </c>
      <c r="M2842" s="1" t="s">
        <v>34</v>
      </c>
      <c r="N2842" s="11">
        <f t="shared" si="44"/>
        <v>1</v>
      </c>
    </row>
    <row r="2843" spans="1:14" ht="16" x14ac:dyDescent="0.2">
      <c r="A2843" s="3">
        <v>44672.979393098205</v>
      </c>
      <c r="B2843" s="1" t="s">
        <v>3080</v>
      </c>
      <c r="C2843" t="s">
        <v>110</v>
      </c>
      <c r="D2843">
        <v>20</v>
      </c>
      <c r="E2843">
        <v>144</v>
      </c>
      <c r="F2843">
        <v>36</v>
      </c>
      <c r="G2843">
        <v>2880</v>
      </c>
      <c r="H2843" s="4">
        <v>720</v>
      </c>
      <c r="I2843" s="4">
        <v>2160</v>
      </c>
      <c r="J2843" t="s">
        <v>622</v>
      </c>
      <c r="K2843" t="s">
        <v>49</v>
      </c>
      <c r="L2843" s="4">
        <v>8.3272837771733244</v>
      </c>
      <c r="M2843" s="1" t="s">
        <v>34</v>
      </c>
      <c r="N2843" s="11">
        <f t="shared" si="44"/>
        <v>1</v>
      </c>
    </row>
    <row r="2844" spans="1:14" ht="16" x14ac:dyDescent="0.2">
      <c r="A2844" s="3">
        <v>44031.89636368736</v>
      </c>
      <c r="B2844" s="1" t="s">
        <v>3081</v>
      </c>
      <c r="C2844" t="s">
        <v>583</v>
      </c>
      <c r="D2844">
        <v>2</v>
      </c>
      <c r="E2844">
        <v>57</v>
      </c>
      <c r="F2844">
        <v>19</v>
      </c>
      <c r="G2844">
        <v>114</v>
      </c>
      <c r="H2844" s="4">
        <v>38</v>
      </c>
      <c r="I2844" s="4">
        <v>76</v>
      </c>
      <c r="J2844" t="s">
        <v>1560</v>
      </c>
      <c r="K2844" t="s">
        <v>86</v>
      </c>
      <c r="L2844" s="4">
        <v>14.412865837260112</v>
      </c>
      <c r="M2844" s="1" t="s">
        <v>34</v>
      </c>
      <c r="N2844" s="11">
        <f t="shared" si="44"/>
        <v>1</v>
      </c>
    </row>
    <row r="2845" spans="1:14" ht="16" x14ac:dyDescent="0.2">
      <c r="A2845" s="3">
        <v>44192.309178663876</v>
      </c>
      <c r="B2845" s="1" t="s">
        <v>2363</v>
      </c>
      <c r="C2845" t="s">
        <v>209</v>
      </c>
      <c r="D2845">
        <v>19</v>
      </c>
      <c r="E2845">
        <v>150</v>
      </c>
      <c r="F2845">
        <v>75</v>
      </c>
      <c r="G2845">
        <v>2850</v>
      </c>
      <c r="H2845" s="4">
        <v>1425</v>
      </c>
      <c r="I2845" s="4">
        <v>1425</v>
      </c>
      <c r="J2845" t="s">
        <v>1065</v>
      </c>
      <c r="K2845" t="s">
        <v>53</v>
      </c>
      <c r="L2845" s="4">
        <v>13.00553764131261</v>
      </c>
      <c r="M2845" s="1" t="s">
        <v>38</v>
      </c>
      <c r="N2845" s="11">
        <f t="shared" si="44"/>
        <v>5</v>
      </c>
    </row>
    <row r="2846" spans="1:14" ht="16" x14ac:dyDescent="0.2">
      <c r="A2846" s="3">
        <v>43901.853443281303</v>
      </c>
      <c r="B2846" s="1" t="s">
        <v>3082</v>
      </c>
      <c r="C2846" t="s">
        <v>113</v>
      </c>
      <c r="D2846">
        <v>7</v>
      </c>
      <c r="E2846">
        <v>66</v>
      </c>
      <c r="F2846">
        <v>33</v>
      </c>
      <c r="G2846">
        <v>462</v>
      </c>
      <c r="H2846" s="4">
        <v>231</v>
      </c>
      <c r="I2846" s="4">
        <v>231</v>
      </c>
      <c r="J2846" t="s">
        <v>962</v>
      </c>
      <c r="K2846" t="s">
        <v>86</v>
      </c>
      <c r="L2846" s="4">
        <v>10.968401424454578</v>
      </c>
      <c r="M2846" s="1" t="s">
        <v>38</v>
      </c>
      <c r="N2846" s="11">
        <f t="shared" si="44"/>
        <v>5</v>
      </c>
    </row>
    <row r="2847" spans="1:14" ht="16" x14ac:dyDescent="0.2">
      <c r="A2847" s="3">
        <v>44084.070693692986</v>
      </c>
      <c r="B2847" s="1" t="s">
        <v>3083</v>
      </c>
      <c r="C2847" t="s">
        <v>193</v>
      </c>
      <c r="D2847">
        <v>5</v>
      </c>
      <c r="E2847">
        <v>348</v>
      </c>
      <c r="F2847">
        <v>87</v>
      </c>
      <c r="G2847">
        <v>1740</v>
      </c>
      <c r="H2847" s="4">
        <v>435</v>
      </c>
      <c r="I2847" s="4">
        <v>1305</v>
      </c>
      <c r="J2847" t="s">
        <v>155</v>
      </c>
      <c r="K2847" t="s">
        <v>42</v>
      </c>
      <c r="L2847" s="4">
        <v>13.378080355059918</v>
      </c>
      <c r="M2847" s="1" t="s">
        <v>34</v>
      </c>
      <c r="N2847" s="11">
        <f t="shared" si="44"/>
        <v>1</v>
      </c>
    </row>
    <row r="2848" spans="1:14" ht="16" x14ac:dyDescent="0.2">
      <c r="A2848" s="3">
        <v>43854.474629582874</v>
      </c>
      <c r="B2848" s="1" t="s">
        <v>3084</v>
      </c>
      <c r="C2848" t="s">
        <v>47</v>
      </c>
      <c r="D2848">
        <v>14</v>
      </c>
      <c r="E2848">
        <v>231</v>
      </c>
      <c r="F2848">
        <v>77</v>
      </c>
      <c r="G2848">
        <v>3234</v>
      </c>
      <c r="H2848" s="4">
        <v>1078</v>
      </c>
      <c r="I2848" s="4">
        <v>2156</v>
      </c>
      <c r="J2848" t="s">
        <v>938</v>
      </c>
      <c r="K2848" t="s">
        <v>33</v>
      </c>
      <c r="L2848" s="4">
        <v>13.397308081757757</v>
      </c>
      <c r="M2848" s="1" t="s">
        <v>38</v>
      </c>
      <c r="N2848" s="11">
        <f t="shared" si="44"/>
        <v>5</v>
      </c>
    </row>
    <row r="2849" spans="1:14" ht="16" x14ac:dyDescent="0.2">
      <c r="A2849" s="3">
        <v>43573.451146597923</v>
      </c>
      <c r="B2849" s="1" t="s">
        <v>3085</v>
      </c>
      <c r="C2849" t="s">
        <v>81</v>
      </c>
      <c r="D2849">
        <v>19</v>
      </c>
      <c r="E2849">
        <v>166</v>
      </c>
      <c r="F2849">
        <v>83</v>
      </c>
      <c r="G2849">
        <v>3154</v>
      </c>
      <c r="H2849" s="4">
        <v>1577</v>
      </c>
      <c r="I2849" s="4">
        <v>1577</v>
      </c>
      <c r="J2849" t="s">
        <v>1157</v>
      </c>
      <c r="K2849" t="s">
        <v>42</v>
      </c>
      <c r="L2849" s="4">
        <v>10.517826055804084</v>
      </c>
      <c r="M2849" s="1" t="s">
        <v>34</v>
      </c>
      <c r="N2849" s="11">
        <f t="shared" si="44"/>
        <v>1</v>
      </c>
    </row>
    <row r="2850" spans="1:14" ht="16" x14ac:dyDescent="0.2">
      <c r="A2850" s="3">
        <v>43417.270379716574</v>
      </c>
      <c r="B2850" s="1" t="s">
        <v>92</v>
      </c>
      <c r="C2850" t="s">
        <v>204</v>
      </c>
      <c r="D2850">
        <v>11</v>
      </c>
      <c r="E2850">
        <v>57</v>
      </c>
      <c r="F2850">
        <v>19</v>
      </c>
      <c r="G2850">
        <v>627</v>
      </c>
      <c r="H2850" s="4">
        <v>209</v>
      </c>
      <c r="I2850" s="4">
        <v>418</v>
      </c>
      <c r="J2850" t="s">
        <v>462</v>
      </c>
      <c r="K2850" t="s">
        <v>86</v>
      </c>
      <c r="L2850" s="4">
        <v>12.732640267350657</v>
      </c>
      <c r="M2850" s="1" t="s">
        <v>54</v>
      </c>
      <c r="N2850" s="11">
        <f t="shared" si="44"/>
        <v>10</v>
      </c>
    </row>
    <row r="2851" spans="1:14" ht="16" x14ac:dyDescent="0.2">
      <c r="A2851" s="3">
        <v>43568.084176954188</v>
      </c>
      <c r="B2851" s="1" t="s">
        <v>3086</v>
      </c>
      <c r="C2851" t="s">
        <v>386</v>
      </c>
      <c r="D2851">
        <v>17</v>
      </c>
      <c r="E2851">
        <v>110</v>
      </c>
      <c r="F2851">
        <v>55</v>
      </c>
      <c r="G2851">
        <v>1870</v>
      </c>
      <c r="H2851" s="4">
        <v>935</v>
      </c>
      <c r="I2851" s="4">
        <v>935</v>
      </c>
      <c r="J2851" t="s">
        <v>207</v>
      </c>
      <c r="K2851" t="s">
        <v>42</v>
      </c>
      <c r="L2851" s="4">
        <v>12.177709716438097</v>
      </c>
      <c r="M2851" s="1" t="s">
        <v>38</v>
      </c>
      <c r="N2851" s="11">
        <f t="shared" si="44"/>
        <v>5</v>
      </c>
    </row>
    <row r="2852" spans="1:14" ht="16" x14ac:dyDescent="0.2">
      <c r="A2852" s="3">
        <v>43644.90435998395</v>
      </c>
      <c r="B2852" s="1" t="s">
        <v>3087</v>
      </c>
      <c r="C2852" t="s">
        <v>93</v>
      </c>
      <c r="D2852">
        <v>9</v>
      </c>
      <c r="E2852">
        <v>204</v>
      </c>
      <c r="F2852">
        <v>51</v>
      </c>
      <c r="G2852">
        <v>1836</v>
      </c>
      <c r="H2852" s="4">
        <v>459</v>
      </c>
      <c r="I2852" s="4">
        <v>1377</v>
      </c>
      <c r="J2852" t="s">
        <v>73</v>
      </c>
      <c r="K2852" t="s">
        <v>58</v>
      </c>
      <c r="L2852" s="4">
        <v>8.2871811249429097</v>
      </c>
      <c r="M2852" s="1" t="s">
        <v>38</v>
      </c>
      <c r="N2852" s="11">
        <f t="shared" si="44"/>
        <v>5</v>
      </c>
    </row>
    <row r="2853" spans="1:14" ht="16" x14ac:dyDescent="0.2">
      <c r="A2853" s="3">
        <v>44436.89303809619</v>
      </c>
      <c r="B2853" s="1" t="s">
        <v>3088</v>
      </c>
      <c r="C2853" t="s">
        <v>120</v>
      </c>
      <c r="D2853">
        <v>4</v>
      </c>
      <c r="E2853">
        <v>252</v>
      </c>
      <c r="F2853">
        <v>63</v>
      </c>
      <c r="G2853">
        <v>1008</v>
      </c>
      <c r="H2853" s="4">
        <v>252</v>
      </c>
      <c r="I2853" s="4">
        <v>756</v>
      </c>
      <c r="J2853" t="s">
        <v>335</v>
      </c>
      <c r="K2853" t="s">
        <v>53</v>
      </c>
      <c r="L2853" s="4">
        <v>12.148236977735172</v>
      </c>
      <c r="M2853" s="1" t="s">
        <v>38</v>
      </c>
      <c r="N2853" s="11">
        <f t="shared" si="44"/>
        <v>5</v>
      </c>
    </row>
    <row r="2854" spans="1:14" ht="16" x14ac:dyDescent="0.2">
      <c r="A2854" s="3">
        <v>44517.873758219321</v>
      </c>
      <c r="B2854" s="1" t="s">
        <v>3089</v>
      </c>
      <c r="C2854" t="s">
        <v>261</v>
      </c>
      <c r="D2854">
        <v>16</v>
      </c>
      <c r="E2854">
        <v>92</v>
      </c>
      <c r="F2854">
        <v>46</v>
      </c>
      <c r="G2854">
        <v>1472</v>
      </c>
      <c r="H2854" s="4">
        <v>736</v>
      </c>
      <c r="I2854" s="4">
        <v>736</v>
      </c>
      <c r="J2854" t="s">
        <v>238</v>
      </c>
      <c r="K2854" t="s">
        <v>86</v>
      </c>
      <c r="L2854" s="4">
        <v>14.593670394271927</v>
      </c>
      <c r="M2854" s="1" t="s">
        <v>54</v>
      </c>
      <c r="N2854" s="11">
        <f t="shared" si="44"/>
        <v>10</v>
      </c>
    </row>
    <row r="2855" spans="1:14" ht="16" x14ac:dyDescent="0.2">
      <c r="A2855" s="3">
        <v>44049.184878371234</v>
      </c>
      <c r="B2855" s="1" t="s">
        <v>3090</v>
      </c>
      <c r="C2855" t="s">
        <v>317</v>
      </c>
      <c r="D2855">
        <v>14</v>
      </c>
      <c r="E2855">
        <v>352</v>
      </c>
      <c r="F2855">
        <v>88</v>
      </c>
      <c r="G2855">
        <v>4928</v>
      </c>
      <c r="H2855" s="4">
        <v>1232</v>
      </c>
      <c r="I2855" s="4">
        <v>3696</v>
      </c>
      <c r="J2855" t="s">
        <v>1068</v>
      </c>
      <c r="K2855" t="s">
        <v>42</v>
      </c>
      <c r="L2855" s="4">
        <v>8.1352386075080023</v>
      </c>
      <c r="M2855" s="1" t="s">
        <v>54</v>
      </c>
      <c r="N2855" s="11">
        <f t="shared" si="44"/>
        <v>10</v>
      </c>
    </row>
    <row r="2856" spans="1:14" ht="16" x14ac:dyDescent="0.2">
      <c r="A2856" s="3">
        <v>44520.873503887859</v>
      </c>
      <c r="B2856" s="1" t="s">
        <v>3091</v>
      </c>
      <c r="C2856" t="s">
        <v>196</v>
      </c>
      <c r="D2856">
        <v>18</v>
      </c>
      <c r="E2856">
        <v>192</v>
      </c>
      <c r="F2856">
        <v>96</v>
      </c>
      <c r="G2856">
        <v>3456</v>
      </c>
      <c r="H2856" s="4">
        <v>1728</v>
      </c>
      <c r="I2856" s="4">
        <v>1728</v>
      </c>
      <c r="J2856" t="s">
        <v>707</v>
      </c>
      <c r="K2856" t="s">
        <v>49</v>
      </c>
      <c r="L2856" s="4">
        <v>11.779256317174871</v>
      </c>
      <c r="M2856" s="1" t="s">
        <v>38</v>
      </c>
      <c r="N2856" s="11">
        <f t="shared" si="44"/>
        <v>5</v>
      </c>
    </row>
    <row r="2857" spans="1:14" ht="16" x14ac:dyDescent="0.2">
      <c r="A2857" s="3">
        <v>43531.386938646225</v>
      </c>
      <c r="B2857" s="1" t="s">
        <v>3092</v>
      </c>
      <c r="C2857" t="s">
        <v>31</v>
      </c>
      <c r="D2857">
        <v>3</v>
      </c>
      <c r="E2857">
        <v>280</v>
      </c>
      <c r="F2857">
        <v>70</v>
      </c>
      <c r="G2857">
        <v>840</v>
      </c>
      <c r="H2857" s="4">
        <v>210</v>
      </c>
      <c r="I2857" s="4">
        <v>630</v>
      </c>
      <c r="J2857" t="s">
        <v>1358</v>
      </c>
      <c r="K2857" t="s">
        <v>86</v>
      </c>
      <c r="L2857" s="4">
        <v>13.811876869930865</v>
      </c>
      <c r="M2857" s="1" t="s">
        <v>38</v>
      </c>
      <c r="N2857" s="11">
        <f t="shared" si="44"/>
        <v>5</v>
      </c>
    </row>
    <row r="2858" spans="1:14" ht="16" x14ac:dyDescent="0.2">
      <c r="A2858" s="3">
        <v>45321.835579556617</v>
      </c>
      <c r="B2858" s="1" t="s">
        <v>3093</v>
      </c>
      <c r="C2858" t="s">
        <v>160</v>
      </c>
      <c r="D2858">
        <v>5</v>
      </c>
      <c r="E2858">
        <v>132</v>
      </c>
      <c r="F2858">
        <v>33</v>
      </c>
      <c r="G2858">
        <v>660</v>
      </c>
      <c r="H2858" s="4">
        <v>165</v>
      </c>
      <c r="I2858" s="4">
        <v>495</v>
      </c>
      <c r="J2858" t="s">
        <v>938</v>
      </c>
      <c r="K2858" t="s">
        <v>33</v>
      </c>
      <c r="L2858" s="4">
        <v>13.397308081757757</v>
      </c>
      <c r="M2858" s="1" t="s">
        <v>34</v>
      </c>
      <c r="N2858" s="11">
        <f t="shared" si="44"/>
        <v>1</v>
      </c>
    </row>
    <row r="2859" spans="1:14" ht="16" x14ac:dyDescent="0.2">
      <c r="A2859" s="3">
        <v>44018.509568093046</v>
      </c>
      <c r="B2859" s="1" t="s">
        <v>3094</v>
      </c>
      <c r="C2859" t="s">
        <v>44</v>
      </c>
      <c r="D2859">
        <v>9</v>
      </c>
      <c r="E2859">
        <v>114</v>
      </c>
      <c r="F2859">
        <v>57</v>
      </c>
      <c r="G2859">
        <v>1026</v>
      </c>
      <c r="H2859" s="4">
        <v>513</v>
      </c>
      <c r="I2859" s="4">
        <v>513</v>
      </c>
      <c r="J2859" t="s">
        <v>1414</v>
      </c>
      <c r="K2859" t="s">
        <v>42</v>
      </c>
      <c r="L2859" s="4">
        <v>8.6625575824723242</v>
      </c>
      <c r="M2859" s="1" t="s">
        <v>38</v>
      </c>
      <c r="N2859" s="11">
        <f t="shared" si="44"/>
        <v>5</v>
      </c>
    </row>
    <row r="2860" spans="1:14" ht="16" x14ac:dyDescent="0.2">
      <c r="A2860" s="3">
        <v>44044.865597843491</v>
      </c>
      <c r="B2860" s="1" t="s">
        <v>3095</v>
      </c>
      <c r="C2860" t="s">
        <v>592</v>
      </c>
      <c r="D2860">
        <v>9</v>
      </c>
      <c r="E2860">
        <v>312</v>
      </c>
      <c r="F2860">
        <v>78</v>
      </c>
      <c r="G2860">
        <v>2808</v>
      </c>
      <c r="H2860" s="4">
        <v>702</v>
      </c>
      <c r="I2860" s="4">
        <v>2106</v>
      </c>
      <c r="J2860" t="s">
        <v>67</v>
      </c>
      <c r="K2860" t="s">
        <v>64</v>
      </c>
      <c r="L2860" s="4">
        <v>15.602184182549776</v>
      </c>
      <c r="M2860" s="1" t="s">
        <v>38</v>
      </c>
      <c r="N2860" s="11">
        <f t="shared" si="44"/>
        <v>5</v>
      </c>
    </row>
    <row r="2861" spans="1:14" ht="16" x14ac:dyDescent="0.2">
      <c r="A2861" s="3">
        <v>43179.269002121211</v>
      </c>
      <c r="B2861" s="1" t="s">
        <v>3096</v>
      </c>
      <c r="C2861" t="s">
        <v>375</v>
      </c>
      <c r="D2861">
        <v>4</v>
      </c>
      <c r="E2861">
        <v>360</v>
      </c>
      <c r="F2861">
        <v>90</v>
      </c>
      <c r="G2861">
        <v>1440</v>
      </c>
      <c r="H2861" s="4">
        <v>360</v>
      </c>
      <c r="I2861" s="4">
        <v>1080</v>
      </c>
      <c r="J2861" t="s">
        <v>720</v>
      </c>
      <c r="K2861" t="s">
        <v>53</v>
      </c>
      <c r="L2861" s="4">
        <v>13.106678263594747</v>
      </c>
      <c r="M2861" s="1" t="s">
        <v>38</v>
      </c>
      <c r="N2861" s="11">
        <f t="shared" si="44"/>
        <v>5</v>
      </c>
    </row>
    <row r="2862" spans="1:14" ht="16" x14ac:dyDescent="0.2">
      <c r="A2862" s="3">
        <v>43522.48968096434</v>
      </c>
      <c r="B2862" s="1" t="s">
        <v>3097</v>
      </c>
      <c r="C2862" t="s">
        <v>218</v>
      </c>
      <c r="D2862">
        <v>7</v>
      </c>
      <c r="E2862">
        <v>264</v>
      </c>
      <c r="F2862">
        <v>88</v>
      </c>
      <c r="G2862">
        <v>1848</v>
      </c>
      <c r="H2862" s="4">
        <v>616</v>
      </c>
      <c r="I2862" s="4">
        <v>1232</v>
      </c>
      <c r="J2862" t="s">
        <v>862</v>
      </c>
      <c r="K2862" t="s">
        <v>58</v>
      </c>
      <c r="L2862" s="4">
        <v>13.827196127590291</v>
      </c>
      <c r="M2862" s="1" t="s">
        <v>38</v>
      </c>
      <c r="N2862" s="11">
        <f t="shared" si="44"/>
        <v>5</v>
      </c>
    </row>
    <row r="2863" spans="1:14" ht="16" x14ac:dyDescent="0.2">
      <c r="A2863" s="3">
        <v>44098.719755667167</v>
      </c>
      <c r="B2863" s="1" t="s">
        <v>1975</v>
      </c>
      <c r="C2863" t="s">
        <v>431</v>
      </c>
      <c r="D2863">
        <v>1</v>
      </c>
      <c r="E2863">
        <v>356</v>
      </c>
      <c r="F2863">
        <v>89</v>
      </c>
      <c r="G2863">
        <v>356</v>
      </c>
      <c r="H2863" s="4">
        <v>89</v>
      </c>
      <c r="I2863" s="4">
        <v>267</v>
      </c>
      <c r="J2863" t="s">
        <v>660</v>
      </c>
      <c r="K2863" t="s">
        <v>86</v>
      </c>
      <c r="L2863" s="4">
        <v>10.163794912095831</v>
      </c>
      <c r="M2863" s="1" t="s">
        <v>54</v>
      </c>
      <c r="N2863" s="11">
        <f t="shared" si="44"/>
        <v>10</v>
      </c>
    </row>
    <row r="2864" spans="1:14" ht="16" x14ac:dyDescent="0.2">
      <c r="A2864" s="3">
        <v>42913.739010445381</v>
      </c>
      <c r="B2864" s="1" t="s">
        <v>3098</v>
      </c>
      <c r="C2864" t="s">
        <v>72</v>
      </c>
      <c r="D2864">
        <v>9</v>
      </c>
      <c r="E2864">
        <v>352</v>
      </c>
      <c r="F2864">
        <v>88</v>
      </c>
      <c r="G2864">
        <v>3168</v>
      </c>
      <c r="H2864" s="4">
        <v>792</v>
      </c>
      <c r="I2864" s="4">
        <v>2376</v>
      </c>
      <c r="J2864" t="s">
        <v>1157</v>
      </c>
      <c r="K2864" t="s">
        <v>42</v>
      </c>
      <c r="L2864" s="4">
        <v>10.517826055804084</v>
      </c>
      <c r="M2864" s="1" t="s">
        <v>54</v>
      </c>
      <c r="N2864" s="11">
        <f t="shared" si="44"/>
        <v>10</v>
      </c>
    </row>
    <row r="2865" spans="1:14" ht="16" x14ac:dyDescent="0.2">
      <c r="A2865" s="3">
        <v>44494.373649050111</v>
      </c>
      <c r="B2865" s="1" t="s">
        <v>3099</v>
      </c>
      <c r="C2865" t="s">
        <v>340</v>
      </c>
      <c r="D2865">
        <v>1</v>
      </c>
      <c r="E2865">
        <v>180</v>
      </c>
      <c r="F2865">
        <v>45</v>
      </c>
      <c r="G2865">
        <v>180</v>
      </c>
      <c r="H2865" s="4">
        <v>45</v>
      </c>
      <c r="I2865" s="4">
        <v>135</v>
      </c>
      <c r="J2865" t="s">
        <v>745</v>
      </c>
      <c r="K2865" t="s">
        <v>33</v>
      </c>
      <c r="L2865" s="4">
        <v>9.1057685343725456</v>
      </c>
      <c r="M2865" s="1" t="s">
        <v>54</v>
      </c>
      <c r="N2865" s="11">
        <f t="shared" si="44"/>
        <v>10</v>
      </c>
    </row>
    <row r="2866" spans="1:14" ht="16" x14ac:dyDescent="0.2">
      <c r="A2866" s="3">
        <v>43854.019632464144</v>
      </c>
      <c r="B2866" s="1" t="s">
        <v>3100</v>
      </c>
      <c r="C2866" t="s">
        <v>113</v>
      </c>
      <c r="D2866">
        <v>15</v>
      </c>
      <c r="E2866">
        <v>66</v>
      </c>
      <c r="F2866">
        <v>33</v>
      </c>
      <c r="G2866">
        <v>990</v>
      </c>
      <c r="H2866" s="4">
        <v>495</v>
      </c>
      <c r="I2866" s="4">
        <v>495</v>
      </c>
      <c r="J2866" t="s">
        <v>912</v>
      </c>
      <c r="K2866" t="s">
        <v>64</v>
      </c>
      <c r="L2866" s="4">
        <v>11.816651848338852</v>
      </c>
      <c r="M2866" s="1" t="s">
        <v>38</v>
      </c>
      <c r="N2866" s="11">
        <f t="shared" si="44"/>
        <v>5</v>
      </c>
    </row>
    <row r="2867" spans="1:14" ht="16" x14ac:dyDescent="0.2">
      <c r="A2867" s="3">
        <v>43061.961117455154</v>
      </c>
      <c r="B2867" s="1" t="s">
        <v>3101</v>
      </c>
      <c r="C2867" t="s">
        <v>337</v>
      </c>
      <c r="D2867">
        <v>13</v>
      </c>
      <c r="E2867">
        <v>135</v>
      </c>
      <c r="F2867">
        <v>45</v>
      </c>
      <c r="G2867">
        <v>1755</v>
      </c>
      <c r="H2867" s="4">
        <v>585</v>
      </c>
      <c r="I2867" s="4">
        <v>1170</v>
      </c>
      <c r="J2867" t="s">
        <v>382</v>
      </c>
      <c r="K2867" t="s">
        <v>49</v>
      </c>
      <c r="L2867" s="4">
        <v>12.299779975023837</v>
      </c>
      <c r="M2867" s="1" t="s">
        <v>38</v>
      </c>
      <c r="N2867" s="11">
        <f t="shared" si="44"/>
        <v>5</v>
      </c>
    </row>
    <row r="2868" spans="1:14" ht="16" x14ac:dyDescent="0.2">
      <c r="A2868" s="3">
        <v>44096.394556196014</v>
      </c>
      <c r="B2868" s="1" t="s">
        <v>3102</v>
      </c>
      <c r="C2868" t="s">
        <v>69</v>
      </c>
      <c r="D2868">
        <v>14</v>
      </c>
      <c r="E2868">
        <v>184</v>
      </c>
      <c r="F2868">
        <v>92</v>
      </c>
      <c r="G2868">
        <v>2576</v>
      </c>
      <c r="H2868" s="4">
        <v>1288</v>
      </c>
      <c r="I2868" s="4">
        <v>1288</v>
      </c>
      <c r="J2868" t="s">
        <v>471</v>
      </c>
      <c r="K2868" t="s">
        <v>58</v>
      </c>
      <c r="L2868" s="4">
        <v>10.764293826791503</v>
      </c>
      <c r="M2868" s="1" t="s">
        <v>38</v>
      </c>
      <c r="N2868" s="11">
        <f t="shared" si="44"/>
        <v>5</v>
      </c>
    </row>
    <row r="2869" spans="1:14" ht="16" x14ac:dyDescent="0.2">
      <c r="A2869" s="3">
        <v>43822.752419709628</v>
      </c>
      <c r="B2869" s="1" t="s">
        <v>3103</v>
      </c>
      <c r="C2869" t="s">
        <v>110</v>
      </c>
      <c r="D2869">
        <v>3</v>
      </c>
      <c r="E2869">
        <v>144</v>
      </c>
      <c r="F2869">
        <v>36</v>
      </c>
      <c r="G2869">
        <v>432</v>
      </c>
      <c r="H2869" s="4">
        <v>108</v>
      </c>
      <c r="I2869" s="4">
        <v>324</v>
      </c>
      <c r="J2869" t="s">
        <v>121</v>
      </c>
      <c r="K2869" t="s">
        <v>64</v>
      </c>
      <c r="L2869" s="4">
        <v>14.16303548174143</v>
      </c>
      <c r="M2869" s="1" t="s">
        <v>34</v>
      </c>
      <c r="N2869" s="11">
        <f t="shared" si="44"/>
        <v>1</v>
      </c>
    </row>
    <row r="2870" spans="1:14" ht="16" x14ac:dyDescent="0.2">
      <c r="A2870" s="3">
        <v>44123.640915069642</v>
      </c>
      <c r="B2870" s="1" t="s">
        <v>3104</v>
      </c>
      <c r="C2870" t="s">
        <v>410</v>
      </c>
      <c r="D2870">
        <v>19</v>
      </c>
      <c r="E2870">
        <v>84</v>
      </c>
      <c r="F2870">
        <v>21</v>
      </c>
      <c r="G2870">
        <v>1596</v>
      </c>
      <c r="H2870" s="4">
        <v>399</v>
      </c>
      <c r="I2870" s="4">
        <v>1197</v>
      </c>
      <c r="J2870" t="s">
        <v>635</v>
      </c>
      <c r="K2870" t="s">
        <v>33</v>
      </c>
      <c r="L2870" s="4">
        <v>15.478388039566896</v>
      </c>
      <c r="M2870" s="1" t="s">
        <v>38</v>
      </c>
      <c r="N2870" s="11">
        <f t="shared" si="44"/>
        <v>5</v>
      </c>
    </row>
    <row r="2871" spans="1:14" ht="16" x14ac:dyDescent="0.2">
      <c r="A2871" s="3">
        <v>44164.938652586236</v>
      </c>
      <c r="B2871" s="1" t="s">
        <v>3105</v>
      </c>
      <c r="C2871" t="s">
        <v>209</v>
      </c>
      <c r="D2871">
        <v>1</v>
      </c>
      <c r="E2871">
        <v>150</v>
      </c>
      <c r="F2871">
        <v>75</v>
      </c>
      <c r="G2871">
        <v>150</v>
      </c>
      <c r="H2871" s="4">
        <v>75</v>
      </c>
      <c r="I2871" s="4">
        <v>75</v>
      </c>
      <c r="J2871" t="s">
        <v>490</v>
      </c>
      <c r="K2871" t="s">
        <v>64</v>
      </c>
      <c r="L2871" s="4">
        <v>11.249825090458803</v>
      </c>
      <c r="M2871" s="1" t="s">
        <v>54</v>
      </c>
      <c r="N2871" s="11">
        <f t="shared" si="44"/>
        <v>10</v>
      </c>
    </row>
    <row r="2872" spans="1:14" ht="16" x14ac:dyDescent="0.2">
      <c r="A2872" s="3">
        <v>43615.439850970317</v>
      </c>
      <c r="B2872" s="1" t="s">
        <v>3106</v>
      </c>
      <c r="C2872" t="s">
        <v>154</v>
      </c>
      <c r="D2872">
        <v>7</v>
      </c>
      <c r="E2872">
        <v>308</v>
      </c>
      <c r="F2872">
        <v>77</v>
      </c>
      <c r="G2872">
        <v>2156</v>
      </c>
      <c r="H2872" s="4">
        <v>539</v>
      </c>
      <c r="I2872" s="4">
        <v>1617</v>
      </c>
      <c r="J2872" t="s">
        <v>225</v>
      </c>
      <c r="K2872" t="s">
        <v>33</v>
      </c>
      <c r="L2872" s="4">
        <v>11.083482342133532</v>
      </c>
      <c r="M2872" s="1" t="s">
        <v>38</v>
      </c>
      <c r="N2872" s="11">
        <f t="shared" si="44"/>
        <v>5</v>
      </c>
    </row>
    <row r="2873" spans="1:14" ht="16" x14ac:dyDescent="0.2">
      <c r="A2873" s="3">
        <v>43444.113171251418</v>
      </c>
      <c r="B2873" s="1" t="s">
        <v>3107</v>
      </c>
      <c r="C2873" t="s">
        <v>266</v>
      </c>
      <c r="D2873">
        <v>2</v>
      </c>
      <c r="E2873">
        <v>50</v>
      </c>
      <c r="F2873">
        <v>25</v>
      </c>
      <c r="G2873">
        <v>100</v>
      </c>
      <c r="H2873" s="4">
        <v>50</v>
      </c>
      <c r="I2873" s="4">
        <v>50</v>
      </c>
      <c r="J2873" t="s">
        <v>1008</v>
      </c>
      <c r="K2873" t="s">
        <v>58</v>
      </c>
      <c r="L2873" s="4">
        <v>9.9471686551317795</v>
      </c>
      <c r="M2873" s="1" t="s">
        <v>38</v>
      </c>
      <c r="N2873" s="11">
        <f t="shared" si="44"/>
        <v>5</v>
      </c>
    </row>
    <row r="2874" spans="1:14" ht="16" x14ac:dyDescent="0.2">
      <c r="A2874" s="3">
        <v>44201.23674971224</v>
      </c>
      <c r="B2874" s="1" t="s">
        <v>3108</v>
      </c>
      <c r="C2874" t="s">
        <v>98</v>
      </c>
      <c r="D2874">
        <v>7</v>
      </c>
      <c r="E2874">
        <v>156</v>
      </c>
      <c r="F2874">
        <v>78</v>
      </c>
      <c r="G2874">
        <v>1092</v>
      </c>
      <c r="H2874" s="4">
        <v>546</v>
      </c>
      <c r="I2874" s="4">
        <v>546</v>
      </c>
      <c r="J2874" t="s">
        <v>432</v>
      </c>
      <c r="K2874" t="s">
        <v>49</v>
      </c>
      <c r="L2874" s="4">
        <v>13.857835104514242</v>
      </c>
      <c r="M2874" s="1" t="s">
        <v>38</v>
      </c>
      <c r="N2874" s="11">
        <f t="shared" si="44"/>
        <v>5</v>
      </c>
    </row>
    <row r="2875" spans="1:14" ht="16" x14ac:dyDescent="0.2">
      <c r="A2875" s="3">
        <v>43717.221561949533</v>
      </c>
      <c r="B2875" s="1" t="s">
        <v>3109</v>
      </c>
      <c r="C2875" t="s">
        <v>130</v>
      </c>
      <c r="D2875">
        <v>4</v>
      </c>
      <c r="E2875">
        <v>144</v>
      </c>
      <c r="F2875">
        <v>48</v>
      </c>
      <c r="G2875">
        <v>576</v>
      </c>
      <c r="H2875" s="4">
        <v>192</v>
      </c>
      <c r="I2875" s="4">
        <v>384</v>
      </c>
      <c r="J2875" t="s">
        <v>1358</v>
      </c>
      <c r="K2875" t="s">
        <v>86</v>
      </c>
      <c r="L2875" s="4">
        <v>13.811876869930865</v>
      </c>
      <c r="M2875" s="1" t="s">
        <v>34</v>
      </c>
      <c r="N2875" s="11">
        <f t="shared" si="44"/>
        <v>1</v>
      </c>
    </row>
    <row r="2876" spans="1:14" ht="16" x14ac:dyDescent="0.2">
      <c r="A2876" s="3">
        <v>43766.056287333187</v>
      </c>
      <c r="B2876" s="1" t="s">
        <v>1252</v>
      </c>
      <c r="C2876" t="s">
        <v>312</v>
      </c>
      <c r="D2876">
        <v>1</v>
      </c>
      <c r="E2876">
        <v>240</v>
      </c>
      <c r="F2876">
        <v>80</v>
      </c>
      <c r="G2876">
        <v>240</v>
      </c>
      <c r="H2876" s="4">
        <v>80</v>
      </c>
      <c r="I2876" s="4">
        <v>160</v>
      </c>
      <c r="J2876" t="s">
        <v>825</v>
      </c>
      <c r="K2876" t="s">
        <v>42</v>
      </c>
      <c r="L2876" s="4">
        <v>14.060995290679429</v>
      </c>
      <c r="M2876" s="1" t="s">
        <v>54</v>
      </c>
      <c r="N2876" s="11">
        <f t="shared" si="44"/>
        <v>10</v>
      </c>
    </row>
    <row r="2877" spans="1:14" ht="16" x14ac:dyDescent="0.2">
      <c r="A2877" s="3">
        <v>43276.118808859428</v>
      </c>
      <c r="B2877" s="1" t="s">
        <v>2539</v>
      </c>
      <c r="C2877" t="s">
        <v>196</v>
      </c>
      <c r="D2877">
        <v>5</v>
      </c>
      <c r="E2877">
        <v>192</v>
      </c>
      <c r="F2877">
        <v>96</v>
      </c>
      <c r="G2877">
        <v>960</v>
      </c>
      <c r="H2877" s="4">
        <v>480</v>
      </c>
      <c r="I2877" s="4">
        <v>480</v>
      </c>
      <c r="J2877" t="s">
        <v>313</v>
      </c>
      <c r="K2877" t="s">
        <v>49</v>
      </c>
      <c r="L2877" s="4">
        <v>11.99399163482429</v>
      </c>
      <c r="M2877" s="1" t="s">
        <v>38</v>
      </c>
      <c r="N2877" s="11">
        <f t="shared" si="44"/>
        <v>5</v>
      </c>
    </row>
    <row r="2878" spans="1:14" ht="16" x14ac:dyDescent="0.2">
      <c r="A2878" s="3">
        <v>43826.227363592938</v>
      </c>
      <c r="B2878" s="1" t="s">
        <v>3110</v>
      </c>
      <c r="C2878" t="s">
        <v>607</v>
      </c>
      <c r="D2878">
        <v>13</v>
      </c>
      <c r="E2878">
        <v>225</v>
      </c>
      <c r="F2878">
        <v>75</v>
      </c>
      <c r="G2878">
        <v>2925</v>
      </c>
      <c r="H2878" s="4">
        <v>975</v>
      </c>
      <c r="I2878" s="4">
        <v>1950</v>
      </c>
      <c r="J2878" t="s">
        <v>689</v>
      </c>
      <c r="K2878" t="s">
        <v>58</v>
      </c>
      <c r="L2878" s="4">
        <v>13.486912834801583</v>
      </c>
      <c r="M2878" s="1" t="s">
        <v>54</v>
      </c>
      <c r="N2878" s="11">
        <f t="shared" si="44"/>
        <v>10</v>
      </c>
    </row>
    <row r="2879" spans="1:14" ht="16" x14ac:dyDescent="0.2">
      <c r="A2879" s="3">
        <v>43648.26842014875</v>
      </c>
      <c r="B2879" s="1" t="s">
        <v>3111</v>
      </c>
      <c r="C2879" t="s">
        <v>286</v>
      </c>
      <c r="D2879">
        <v>2</v>
      </c>
      <c r="E2879">
        <v>34</v>
      </c>
      <c r="F2879">
        <v>17</v>
      </c>
      <c r="G2879">
        <v>68</v>
      </c>
      <c r="H2879" s="4">
        <v>34</v>
      </c>
      <c r="I2879" s="4">
        <v>34</v>
      </c>
      <c r="J2879" t="s">
        <v>665</v>
      </c>
      <c r="K2879" t="s">
        <v>33</v>
      </c>
      <c r="L2879" s="4">
        <v>6.9183250411917196</v>
      </c>
      <c r="M2879" s="1" t="s">
        <v>38</v>
      </c>
      <c r="N2879" s="11">
        <f t="shared" si="44"/>
        <v>5</v>
      </c>
    </row>
    <row r="2880" spans="1:14" ht="16" x14ac:dyDescent="0.2">
      <c r="A2880" s="3">
        <v>44065.588725592177</v>
      </c>
      <c r="B2880" s="1" t="s">
        <v>3112</v>
      </c>
      <c r="C2880" t="s">
        <v>410</v>
      </c>
      <c r="D2880">
        <v>12</v>
      </c>
      <c r="E2880">
        <v>84</v>
      </c>
      <c r="F2880">
        <v>21</v>
      </c>
      <c r="G2880">
        <v>1008</v>
      </c>
      <c r="H2880" s="4">
        <v>252</v>
      </c>
      <c r="I2880" s="4">
        <v>756</v>
      </c>
      <c r="J2880" t="s">
        <v>1379</v>
      </c>
      <c r="K2880" t="s">
        <v>86</v>
      </c>
      <c r="L2880" s="4">
        <v>14.157909724393564</v>
      </c>
      <c r="M2880" s="1" t="s">
        <v>38</v>
      </c>
      <c r="N2880" s="11">
        <f t="shared" si="44"/>
        <v>5</v>
      </c>
    </row>
    <row r="2881" spans="1:14" ht="16" x14ac:dyDescent="0.2">
      <c r="A2881" s="3">
        <v>43885.615549705748</v>
      </c>
      <c r="B2881" s="1" t="s">
        <v>3113</v>
      </c>
      <c r="C2881" t="s">
        <v>399</v>
      </c>
      <c r="D2881">
        <v>18</v>
      </c>
      <c r="E2881">
        <v>160</v>
      </c>
      <c r="F2881">
        <v>80</v>
      </c>
      <c r="G2881">
        <v>2880</v>
      </c>
      <c r="H2881" s="4">
        <v>1440</v>
      </c>
      <c r="I2881" s="4">
        <v>1440</v>
      </c>
      <c r="J2881" t="s">
        <v>378</v>
      </c>
      <c r="K2881" t="s">
        <v>53</v>
      </c>
      <c r="L2881" s="4">
        <v>14.423322704129969</v>
      </c>
      <c r="M2881" s="1" t="s">
        <v>54</v>
      </c>
      <c r="N2881" s="11">
        <f t="shared" si="44"/>
        <v>10</v>
      </c>
    </row>
    <row r="2882" spans="1:14" ht="16" x14ac:dyDescent="0.2">
      <c r="A2882" s="3">
        <v>43705.173209156332</v>
      </c>
      <c r="B2882" s="1" t="s">
        <v>3114</v>
      </c>
      <c r="C2882" t="s">
        <v>84</v>
      </c>
      <c r="D2882">
        <v>14</v>
      </c>
      <c r="E2882">
        <v>126</v>
      </c>
      <c r="F2882">
        <v>42</v>
      </c>
      <c r="G2882">
        <v>1764</v>
      </c>
      <c r="H2882" s="4">
        <v>588</v>
      </c>
      <c r="I2882" s="4">
        <v>1176</v>
      </c>
      <c r="J2882" t="s">
        <v>52</v>
      </c>
      <c r="K2882" t="s">
        <v>53</v>
      </c>
      <c r="L2882" s="4">
        <v>12.169266722245851</v>
      </c>
      <c r="M2882" s="1" t="s">
        <v>38</v>
      </c>
      <c r="N2882" s="11">
        <f t="shared" si="44"/>
        <v>5</v>
      </c>
    </row>
    <row r="2883" spans="1:14" ht="16" x14ac:dyDescent="0.2">
      <c r="A2883" s="3">
        <v>43964.727036406955</v>
      </c>
      <c r="B2883" s="1" t="s">
        <v>1969</v>
      </c>
      <c r="C2883" t="s">
        <v>503</v>
      </c>
      <c r="D2883">
        <v>11</v>
      </c>
      <c r="E2883">
        <v>50</v>
      </c>
      <c r="F2883">
        <v>25</v>
      </c>
      <c r="G2883">
        <v>550</v>
      </c>
      <c r="H2883" s="4">
        <v>275</v>
      </c>
      <c r="I2883" s="4">
        <v>275</v>
      </c>
      <c r="J2883" t="s">
        <v>914</v>
      </c>
      <c r="K2883" t="s">
        <v>42</v>
      </c>
      <c r="L2883" s="4">
        <v>13.853438793083487</v>
      </c>
      <c r="M2883" s="1" t="s">
        <v>38</v>
      </c>
      <c r="N2883" s="11">
        <f t="shared" ref="N2883:N2946" si="45">+IF(M2883="Dissatisfied",1,IF(M2883="Satisfied",10,5))</f>
        <v>5</v>
      </c>
    </row>
    <row r="2884" spans="1:14" ht="16" x14ac:dyDescent="0.2">
      <c r="A2884" s="3">
        <v>44126.397710907608</v>
      </c>
      <c r="B2884" s="1" t="s">
        <v>3115</v>
      </c>
      <c r="C2884" t="s">
        <v>40</v>
      </c>
      <c r="D2884">
        <v>20</v>
      </c>
      <c r="E2884">
        <v>46</v>
      </c>
      <c r="F2884">
        <v>23</v>
      </c>
      <c r="G2884">
        <v>920</v>
      </c>
      <c r="H2884" s="4">
        <v>460</v>
      </c>
      <c r="I2884" s="4">
        <v>460</v>
      </c>
      <c r="J2884" t="s">
        <v>108</v>
      </c>
      <c r="K2884" t="s">
        <v>64</v>
      </c>
      <c r="L2884" s="4">
        <v>9.7467096260695598</v>
      </c>
      <c r="M2884" s="1" t="s">
        <v>54</v>
      </c>
      <c r="N2884" s="11">
        <f t="shared" si="45"/>
        <v>10</v>
      </c>
    </row>
    <row r="2885" spans="1:14" ht="16" x14ac:dyDescent="0.2">
      <c r="A2885" s="3">
        <v>43769.958930541623</v>
      </c>
      <c r="B2885" s="1" t="s">
        <v>3116</v>
      </c>
      <c r="C2885" t="s">
        <v>523</v>
      </c>
      <c r="D2885">
        <v>6</v>
      </c>
      <c r="E2885">
        <v>92</v>
      </c>
      <c r="F2885">
        <v>46</v>
      </c>
      <c r="G2885">
        <v>552</v>
      </c>
      <c r="H2885" s="4">
        <v>276</v>
      </c>
      <c r="I2885" s="4">
        <v>276</v>
      </c>
      <c r="J2885" t="s">
        <v>738</v>
      </c>
      <c r="K2885" t="s">
        <v>33</v>
      </c>
      <c r="L2885" s="4">
        <v>12.985332015423809</v>
      </c>
      <c r="M2885" s="1" t="s">
        <v>54</v>
      </c>
      <c r="N2885" s="11">
        <f t="shared" si="45"/>
        <v>10</v>
      </c>
    </row>
    <row r="2886" spans="1:14" ht="16" x14ac:dyDescent="0.2">
      <c r="A2886" s="3">
        <v>43682.122031251456</v>
      </c>
      <c r="B2886" s="1" t="s">
        <v>3117</v>
      </c>
      <c r="C2886" t="s">
        <v>473</v>
      </c>
      <c r="D2886">
        <v>2</v>
      </c>
      <c r="E2886">
        <v>72</v>
      </c>
      <c r="F2886">
        <v>36</v>
      </c>
      <c r="G2886">
        <v>144</v>
      </c>
      <c r="H2886" s="4">
        <v>72</v>
      </c>
      <c r="I2886" s="4">
        <v>72</v>
      </c>
      <c r="J2886" t="s">
        <v>997</v>
      </c>
      <c r="K2886" t="s">
        <v>58</v>
      </c>
      <c r="L2886" s="4">
        <v>12.173451788225162</v>
      </c>
      <c r="M2886" s="1" t="s">
        <v>54</v>
      </c>
      <c r="N2886" s="11">
        <f t="shared" si="45"/>
        <v>10</v>
      </c>
    </row>
    <row r="2887" spans="1:14" ht="16" x14ac:dyDescent="0.2">
      <c r="A2887" s="3">
        <v>43812.948857763266</v>
      </c>
      <c r="B2887" s="1" t="s">
        <v>2824</v>
      </c>
      <c r="C2887" t="s">
        <v>148</v>
      </c>
      <c r="D2887">
        <v>7</v>
      </c>
      <c r="E2887">
        <v>144</v>
      </c>
      <c r="F2887">
        <v>36</v>
      </c>
      <c r="G2887">
        <v>1008</v>
      </c>
      <c r="H2887" s="4">
        <v>252</v>
      </c>
      <c r="I2887" s="4">
        <v>756</v>
      </c>
      <c r="J2887" t="s">
        <v>609</v>
      </c>
      <c r="K2887" t="s">
        <v>64</v>
      </c>
      <c r="L2887" s="4">
        <v>12.564315242820944</v>
      </c>
      <c r="M2887" s="1" t="s">
        <v>38</v>
      </c>
      <c r="N2887" s="11">
        <f t="shared" si="45"/>
        <v>5</v>
      </c>
    </row>
    <row r="2888" spans="1:14" ht="16" x14ac:dyDescent="0.2">
      <c r="A2888" s="3">
        <v>44375.24997375477</v>
      </c>
      <c r="B2888" s="1" t="s">
        <v>3118</v>
      </c>
      <c r="C2888" t="s">
        <v>328</v>
      </c>
      <c r="D2888">
        <v>14</v>
      </c>
      <c r="E2888">
        <v>124</v>
      </c>
      <c r="F2888">
        <v>62</v>
      </c>
      <c r="G2888">
        <v>1736</v>
      </c>
      <c r="H2888" s="4">
        <v>868</v>
      </c>
      <c r="I2888" s="4">
        <v>868</v>
      </c>
      <c r="J2888" t="s">
        <v>48</v>
      </c>
      <c r="K2888" t="s">
        <v>49</v>
      </c>
      <c r="L2888" s="4">
        <v>15.24190997853951</v>
      </c>
      <c r="M2888" s="1" t="s">
        <v>34</v>
      </c>
      <c r="N2888" s="11">
        <f t="shared" si="45"/>
        <v>1</v>
      </c>
    </row>
    <row r="2889" spans="1:14" ht="16" x14ac:dyDescent="0.2">
      <c r="A2889" s="3">
        <v>43702.066906629181</v>
      </c>
      <c r="B2889" s="1" t="s">
        <v>2545</v>
      </c>
      <c r="C2889" t="s">
        <v>88</v>
      </c>
      <c r="D2889">
        <v>17</v>
      </c>
      <c r="E2889">
        <v>210</v>
      </c>
      <c r="F2889">
        <v>70</v>
      </c>
      <c r="G2889">
        <v>3570</v>
      </c>
      <c r="H2889" s="4">
        <v>1190</v>
      </c>
      <c r="I2889" s="4">
        <v>2380</v>
      </c>
      <c r="J2889" t="s">
        <v>290</v>
      </c>
      <c r="K2889" t="s">
        <v>86</v>
      </c>
      <c r="L2889" s="4">
        <v>12.758430621858414</v>
      </c>
      <c r="M2889" s="1" t="s">
        <v>54</v>
      </c>
      <c r="N2889" s="11">
        <f t="shared" si="45"/>
        <v>10</v>
      </c>
    </row>
    <row r="2890" spans="1:14" ht="16" x14ac:dyDescent="0.2">
      <c r="A2890" s="3">
        <v>44066.277354825594</v>
      </c>
      <c r="B2890" s="1" t="s">
        <v>3119</v>
      </c>
      <c r="C2890" t="s">
        <v>299</v>
      </c>
      <c r="D2890">
        <v>16</v>
      </c>
      <c r="E2890">
        <v>225</v>
      </c>
      <c r="F2890">
        <v>75</v>
      </c>
      <c r="G2890">
        <v>3600</v>
      </c>
      <c r="H2890" s="4">
        <v>1200</v>
      </c>
      <c r="I2890" s="4">
        <v>2400</v>
      </c>
      <c r="J2890" t="s">
        <v>638</v>
      </c>
      <c r="K2890" t="s">
        <v>33</v>
      </c>
      <c r="L2890" s="4">
        <v>12.131375018945562</v>
      </c>
      <c r="M2890" s="1" t="s">
        <v>54</v>
      </c>
      <c r="N2890" s="11">
        <f t="shared" si="45"/>
        <v>10</v>
      </c>
    </row>
    <row r="2891" spans="1:14" ht="16" x14ac:dyDescent="0.2">
      <c r="A2891" s="3">
        <v>43803.47290147793</v>
      </c>
      <c r="B2891" s="1" t="s">
        <v>3120</v>
      </c>
      <c r="C2891" t="s">
        <v>399</v>
      </c>
      <c r="D2891">
        <v>13</v>
      </c>
      <c r="E2891">
        <v>160</v>
      </c>
      <c r="F2891">
        <v>80</v>
      </c>
      <c r="G2891">
        <v>2080</v>
      </c>
      <c r="H2891" s="4">
        <v>1040</v>
      </c>
      <c r="I2891" s="4">
        <v>1040</v>
      </c>
      <c r="J2891" t="s">
        <v>1195</v>
      </c>
      <c r="K2891" t="s">
        <v>33</v>
      </c>
      <c r="L2891" s="4">
        <v>11.971065679104063</v>
      </c>
      <c r="M2891" s="1" t="s">
        <v>34</v>
      </c>
      <c r="N2891" s="11">
        <f t="shared" si="45"/>
        <v>1</v>
      </c>
    </row>
    <row r="2892" spans="1:14" ht="16" x14ac:dyDescent="0.2">
      <c r="A2892" s="3">
        <v>44684.065779861812</v>
      </c>
      <c r="B2892" s="1" t="s">
        <v>3121</v>
      </c>
      <c r="C2892" t="s">
        <v>193</v>
      </c>
      <c r="D2892">
        <v>8</v>
      </c>
      <c r="E2892">
        <v>348</v>
      </c>
      <c r="F2892">
        <v>87</v>
      </c>
      <c r="G2892">
        <v>2784</v>
      </c>
      <c r="H2892" s="4">
        <v>696</v>
      </c>
      <c r="I2892" s="4">
        <v>2088</v>
      </c>
      <c r="J2892" t="s">
        <v>580</v>
      </c>
      <c r="K2892" t="s">
        <v>58</v>
      </c>
      <c r="L2892" s="4">
        <v>14.66147716237918</v>
      </c>
      <c r="M2892" s="1" t="s">
        <v>54</v>
      </c>
      <c r="N2892" s="11">
        <f t="shared" si="45"/>
        <v>10</v>
      </c>
    </row>
    <row r="2893" spans="1:14" ht="16" x14ac:dyDescent="0.2">
      <c r="A2893" s="3">
        <v>44176.401393170119</v>
      </c>
      <c r="B2893" s="1" t="s">
        <v>3122</v>
      </c>
      <c r="C2893" t="s">
        <v>81</v>
      </c>
      <c r="D2893">
        <v>12</v>
      </c>
      <c r="E2893">
        <v>166</v>
      </c>
      <c r="F2893">
        <v>83</v>
      </c>
      <c r="G2893">
        <v>1992</v>
      </c>
      <c r="H2893" s="4">
        <v>996</v>
      </c>
      <c r="I2893" s="4">
        <v>996</v>
      </c>
      <c r="J2893" t="s">
        <v>223</v>
      </c>
      <c r="K2893" t="s">
        <v>64</v>
      </c>
      <c r="L2893" s="4">
        <v>14.030594525378042</v>
      </c>
      <c r="M2893" s="1" t="s">
        <v>38</v>
      </c>
      <c r="N2893" s="11">
        <f t="shared" si="45"/>
        <v>5</v>
      </c>
    </row>
    <row r="2894" spans="1:14" ht="16" x14ac:dyDescent="0.2">
      <c r="A2894" s="3">
        <v>43941.78171695707</v>
      </c>
      <c r="B2894" s="1" t="s">
        <v>3123</v>
      </c>
      <c r="C2894" t="s">
        <v>133</v>
      </c>
      <c r="D2894">
        <v>2</v>
      </c>
      <c r="E2894">
        <v>189</v>
      </c>
      <c r="F2894">
        <v>63</v>
      </c>
      <c r="G2894">
        <v>378</v>
      </c>
      <c r="H2894" s="4">
        <v>126</v>
      </c>
      <c r="I2894" s="4">
        <v>252</v>
      </c>
      <c r="J2894" t="s">
        <v>321</v>
      </c>
      <c r="K2894" t="s">
        <v>42</v>
      </c>
      <c r="L2894" s="4">
        <v>7.7337149713827413</v>
      </c>
      <c r="M2894" s="1" t="s">
        <v>38</v>
      </c>
      <c r="N2894" s="11">
        <f t="shared" si="45"/>
        <v>5</v>
      </c>
    </row>
    <row r="2895" spans="1:14" ht="16" x14ac:dyDescent="0.2">
      <c r="A2895" s="3">
        <v>43633.987076241159</v>
      </c>
      <c r="B2895" s="1" t="s">
        <v>3124</v>
      </c>
      <c r="C2895" t="s">
        <v>101</v>
      </c>
      <c r="D2895">
        <v>16</v>
      </c>
      <c r="E2895">
        <v>50</v>
      </c>
      <c r="F2895">
        <v>25</v>
      </c>
      <c r="G2895">
        <v>800</v>
      </c>
      <c r="H2895" s="4">
        <v>400</v>
      </c>
      <c r="I2895" s="4">
        <v>400</v>
      </c>
      <c r="J2895" t="s">
        <v>123</v>
      </c>
      <c r="K2895" t="s">
        <v>53</v>
      </c>
      <c r="L2895" s="4">
        <v>10.42743035829395</v>
      </c>
      <c r="M2895" s="1" t="s">
        <v>54</v>
      </c>
      <c r="N2895" s="11">
        <f t="shared" si="45"/>
        <v>10</v>
      </c>
    </row>
    <row r="2896" spans="1:14" ht="16" x14ac:dyDescent="0.2">
      <c r="A2896" s="3">
        <v>43740.138816371407</v>
      </c>
      <c r="B2896" s="1" t="s">
        <v>3125</v>
      </c>
      <c r="C2896" t="s">
        <v>62</v>
      </c>
      <c r="D2896">
        <v>9</v>
      </c>
      <c r="E2896">
        <v>80</v>
      </c>
      <c r="F2896">
        <v>20</v>
      </c>
      <c r="G2896">
        <v>720</v>
      </c>
      <c r="H2896" s="4">
        <v>180</v>
      </c>
      <c r="I2896" s="4">
        <v>540</v>
      </c>
      <c r="J2896" t="s">
        <v>426</v>
      </c>
      <c r="K2896" t="s">
        <v>53</v>
      </c>
      <c r="L2896" s="4">
        <v>13.923194761258239</v>
      </c>
      <c r="M2896" s="1" t="s">
        <v>54</v>
      </c>
      <c r="N2896" s="11">
        <f t="shared" si="45"/>
        <v>10</v>
      </c>
    </row>
    <row r="2897" spans="1:14" ht="16" x14ac:dyDescent="0.2">
      <c r="A2897" s="3">
        <v>43705.525624704365</v>
      </c>
      <c r="B2897" s="1" t="s">
        <v>3126</v>
      </c>
      <c r="C2897" t="s">
        <v>391</v>
      </c>
      <c r="D2897">
        <v>15</v>
      </c>
      <c r="E2897">
        <v>72</v>
      </c>
      <c r="F2897">
        <v>36</v>
      </c>
      <c r="G2897">
        <v>1080</v>
      </c>
      <c r="H2897" s="4">
        <v>540</v>
      </c>
      <c r="I2897" s="4">
        <v>540</v>
      </c>
      <c r="J2897" t="s">
        <v>111</v>
      </c>
      <c r="K2897" t="s">
        <v>53</v>
      </c>
      <c r="L2897" s="4">
        <v>13.407340878370247</v>
      </c>
      <c r="M2897" s="1" t="s">
        <v>34</v>
      </c>
      <c r="N2897" s="11">
        <f t="shared" si="45"/>
        <v>1</v>
      </c>
    </row>
    <row r="2898" spans="1:14" ht="16" x14ac:dyDescent="0.2">
      <c r="A2898" s="3">
        <v>43442.047579828504</v>
      </c>
      <c r="B2898" s="1" t="s">
        <v>602</v>
      </c>
      <c r="C2898" t="s">
        <v>81</v>
      </c>
      <c r="D2898">
        <v>11</v>
      </c>
      <c r="E2898">
        <v>166</v>
      </c>
      <c r="F2898">
        <v>83</v>
      </c>
      <c r="G2898">
        <v>1826</v>
      </c>
      <c r="H2898" s="4">
        <v>913</v>
      </c>
      <c r="I2898" s="4">
        <v>913</v>
      </c>
      <c r="J2898" t="s">
        <v>1008</v>
      </c>
      <c r="K2898" t="s">
        <v>58</v>
      </c>
      <c r="L2898" s="4">
        <v>9.9471686551317795</v>
      </c>
      <c r="M2898" s="1" t="s">
        <v>54</v>
      </c>
      <c r="N2898" s="11">
        <f t="shared" si="45"/>
        <v>10</v>
      </c>
    </row>
    <row r="2899" spans="1:14" ht="16" x14ac:dyDescent="0.2">
      <c r="A2899" s="3">
        <v>43583.614772310888</v>
      </c>
      <c r="B2899" s="1" t="s">
        <v>3127</v>
      </c>
      <c r="C2899" t="s">
        <v>98</v>
      </c>
      <c r="D2899">
        <v>19</v>
      </c>
      <c r="E2899">
        <v>156</v>
      </c>
      <c r="F2899">
        <v>78</v>
      </c>
      <c r="G2899">
        <v>2964</v>
      </c>
      <c r="H2899" s="4">
        <v>1482</v>
      </c>
      <c r="I2899" s="4">
        <v>1482</v>
      </c>
      <c r="J2899" t="s">
        <v>354</v>
      </c>
      <c r="K2899" t="s">
        <v>42</v>
      </c>
      <c r="L2899" s="4">
        <v>13.518413464873573</v>
      </c>
      <c r="M2899" s="1" t="s">
        <v>34</v>
      </c>
      <c r="N2899" s="11">
        <f t="shared" si="45"/>
        <v>1</v>
      </c>
    </row>
    <row r="2900" spans="1:14" ht="16" x14ac:dyDescent="0.2">
      <c r="A2900" s="3">
        <v>43431.098237456616</v>
      </c>
      <c r="B2900" s="1" t="s">
        <v>3128</v>
      </c>
      <c r="C2900" t="s">
        <v>125</v>
      </c>
      <c r="D2900">
        <v>16</v>
      </c>
      <c r="E2900">
        <v>176</v>
      </c>
      <c r="F2900">
        <v>88</v>
      </c>
      <c r="G2900">
        <v>2816</v>
      </c>
      <c r="H2900" s="4">
        <v>1408</v>
      </c>
      <c r="I2900" s="4">
        <v>1408</v>
      </c>
      <c r="J2900" t="s">
        <v>411</v>
      </c>
      <c r="K2900" t="s">
        <v>64</v>
      </c>
      <c r="L2900" s="4">
        <v>13.115597690631557</v>
      </c>
      <c r="M2900" s="1" t="s">
        <v>54</v>
      </c>
      <c r="N2900" s="11">
        <f t="shared" si="45"/>
        <v>10</v>
      </c>
    </row>
    <row r="2901" spans="1:14" ht="16" x14ac:dyDescent="0.2">
      <c r="A2901" s="3">
        <v>43867.376124042501</v>
      </c>
      <c r="B2901" s="1" t="s">
        <v>3129</v>
      </c>
      <c r="C2901" t="s">
        <v>75</v>
      </c>
      <c r="D2901">
        <v>17</v>
      </c>
      <c r="E2901">
        <v>76</v>
      </c>
      <c r="F2901">
        <v>19</v>
      </c>
      <c r="G2901">
        <v>1292</v>
      </c>
      <c r="H2901" s="4">
        <v>323</v>
      </c>
      <c r="I2901" s="4">
        <v>969</v>
      </c>
      <c r="J2901" t="s">
        <v>1379</v>
      </c>
      <c r="K2901" t="s">
        <v>86</v>
      </c>
      <c r="L2901" s="4">
        <v>14.157909724393564</v>
      </c>
      <c r="M2901" s="1" t="s">
        <v>38</v>
      </c>
      <c r="N2901" s="11">
        <f t="shared" si="45"/>
        <v>5</v>
      </c>
    </row>
    <row r="2902" spans="1:14" ht="16" x14ac:dyDescent="0.2">
      <c r="A2902" s="3">
        <v>44664.898639922445</v>
      </c>
      <c r="B2902" s="1" t="s">
        <v>3130</v>
      </c>
      <c r="C2902" t="s">
        <v>157</v>
      </c>
      <c r="D2902">
        <v>17</v>
      </c>
      <c r="E2902">
        <v>50</v>
      </c>
      <c r="F2902">
        <v>25</v>
      </c>
      <c r="G2902">
        <v>850</v>
      </c>
      <c r="H2902" s="4">
        <v>425</v>
      </c>
      <c r="I2902" s="4">
        <v>425</v>
      </c>
      <c r="J2902" t="s">
        <v>691</v>
      </c>
      <c r="K2902" t="s">
        <v>33</v>
      </c>
      <c r="L2902" s="4">
        <v>10.248947386022252</v>
      </c>
      <c r="M2902" s="1" t="s">
        <v>38</v>
      </c>
      <c r="N2902" s="11">
        <f t="shared" si="45"/>
        <v>5</v>
      </c>
    </row>
    <row r="2903" spans="1:14" ht="16" x14ac:dyDescent="0.2">
      <c r="A2903" s="3">
        <v>43934.894005050293</v>
      </c>
      <c r="B2903" s="1" t="s">
        <v>3131</v>
      </c>
      <c r="C2903" t="s">
        <v>227</v>
      </c>
      <c r="D2903">
        <v>18</v>
      </c>
      <c r="E2903">
        <v>144</v>
      </c>
      <c r="F2903">
        <v>48</v>
      </c>
      <c r="G2903">
        <v>2592</v>
      </c>
      <c r="H2903" s="4">
        <v>864</v>
      </c>
      <c r="I2903" s="4">
        <v>1728</v>
      </c>
      <c r="J2903" t="s">
        <v>774</v>
      </c>
      <c r="K2903" t="s">
        <v>49</v>
      </c>
      <c r="L2903" s="4">
        <v>13.392447352247808</v>
      </c>
      <c r="M2903" s="1" t="s">
        <v>38</v>
      </c>
      <c r="N2903" s="11">
        <f t="shared" si="45"/>
        <v>5</v>
      </c>
    </row>
    <row r="2904" spans="1:14" ht="16" x14ac:dyDescent="0.2">
      <c r="A2904" s="3">
        <v>44448.006388567446</v>
      </c>
      <c r="B2904" s="1" t="s">
        <v>3132</v>
      </c>
      <c r="C2904" t="s">
        <v>72</v>
      </c>
      <c r="D2904">
        <v>12</v>
      </c>
      <c r="E2904">
        <v>352</v>
      </c>
      <c r="F2904">
        <v>88</v>
      </c>
      <c r="G2904">
        <v>4224</v>
      </c>
      <c r="H2904" s="4">
        <v>1056</v>
      </c>
      <c r="I2904" s="4">
        <v>3168</v>
      </c>
      <c r="J2904" t="s">
        <v>1721</v>
      </c>
      <c r="K2904" t="s">
        <v>58</v>
      </c>
      <c r="L2904" s="4">
        <v>13.537350739681813</v>
      </c>
      <c r="M2904" s="1" t="s">
        <v>38</v>
      </c>
      <c r="N2904" s="11">
        <f t="shared" si="45"/>
        <v>5</v>
      </c>
    </row>
    <row r="2905" spans="1:14" ht="16" x14ac:dyDescent="0.2">
      <c r="A2905" s="3">
        <v>43697.78442844349</v>
      </c>
      <c r="B2905" s="1" t="s">
        <v>381</v>
      </c>
      <c r="C2905" t="s">
        <v>171</v>
      </c>
      <c r="D2905">
        <v>10</v>
      </c>
      <c r="E2905">
        <v>225</v>
      </c>
      <c r="F2905">
        <v>75</v>
      </c>
      <c r="G2905">
        <v>2250</v>
      </c>
      <c r="H2905" s="4">
        <v>750</v>
      </c>
      <c r="I2905" s="4">
        <v>1500</v>
      </c>
      <c r="J2905" t="s">
        <v>521</v>
      </c>
      <c r="K2905" t="s">
        <v>58</v>
      </c>
      <c r="L2905" s="4">
        <v>8.8514729234790472</v>
      </c>
      <c r="M2905" s="1" t="s">
        <v>38</v>
      </c>
      <c r="N2905" s="11">
        <f t="shared" si="45"/>
        <v>5</v>
      </c>
    </row>
    <row r="2906" spans="1:14" ht="16" x14ac:dyDescent="0.2">
      <c r="A2906" s="3">
        <v>43934.839310506439</v>
      </c>
      <c r="B2906" s="1" t="s">
        <v>3133</v>
      </c>
      <c r="C2906" t="s">
        <v>276</v>
      </c>
      <c r="D2906">
        <v>10</v>
      </c>
      <c r="E2906">
        <v>57</v>
      </c>
      <c r="F2906">
        <v>19</v>
      </c>
      <c r="G2906">
        <v>570</v>
      </c>
      <c r="H2906" s="4">
        <v>190</v>
      </c>
      <c r="I2906" s="4">
        <v>380</v>
      </c>
      <c r="J2906" t="s">
        <v>223</v>
      </c>
      <c r="K2906" t="s">
        <v>64</v>
      </c>
      <c r="L2906" s="4">
        <v>14.030594525378042</v>
      </c>
      <c r="M2906" s="1" t="s">
        <v>54</v>
      </c>
      <c r="N2906" s="11">
        <f t="shared" si="45"/>
        <v>10</v>
      </c>
    </row>
    <row r="2907" spans="1:14" ht="16" x14ac:dyDescent="0.2">
      <c r="A2907" s="3">
        <v>44711.784889007242</v>
      </c>
      <c r="B2907" s="1" t="s">
        <v>3134</v>
      </c>
      <c r="C2907" t="s">
        <v>252</v>
      </c>
      <c r="D2907">
        <v>15</v>
      </c>
      <c r="E2907">
        <v>252</v>
      </c>
      <c r="F2907">
        <v>63</v>
      </c>
      <c r="G2907">
        <v>3780</v>
      </c>
      <c r="H2907" s="4">
        <v>945</v>
      </c>
      <c r="I2907" s="4">
        <v>2835</v>
      </c>
      <c r="J2907" t="s">
        <v>877</v>
      </c>
      <c r="K2907" t="s">
        <v>49</v>
      </c>
      <c r="L2907" s="4">
        <v>13.275355576494196</v>
      </c>
      <c r="M2907" s="1" t="s">
        <v>38</v>
      </c>
      <c r="N2907" s="11">
        <f t="shared" si="45"/>
        <v>5</v>
      </c>
    </row>
    <row r="2908" spans="1:14" ht="16" x14ac:dyDescent="0.2">
      <c r="A2908" s="3">
        <v>44287.893537141055</v>
      </c>
      <c r="B2908" s="1" t="s">
        <v>3135</v>
      </c>
      <c r="C2908" t="s">
        <v>212</v>
      </c>
      <c r="D2908">
        <v>1</v>
      </c>
      <c r="E2908">
        <v>300</v>
      </c>
      <c r="F2908">
        <v>75</v>
      </c>
      <c r="G2908">
        <v>300</v>
      </c>
      <c r="H2908" s="4">
        <v>75</v>
      </c>
      <c r="I2908" s="4">
        <v>225</v>
      </c>
      <c r="J2908" t="s">
        <v>366</v>
      </c>
      <c r="K2908" t="s">
        <v>64</v>
      </c>
      <c r="L2908" s="4">
        <v>12.342715162719054</v>
      </c>
      <c r="M2908" s="1" t="s">
        <v>38</v>
      </c>
      <c r="N2908" s="11">
        <f t="shared" si="45"/>
        <v>5</v>
      </c>
    </row>
    <row r="2909" spans="1:14" ht="16" x14ac:dyDescent="0.2">
      <c r="A2909" s="3">
        <v>43547.290315291553</v>
      </c>
      <c r="B2909" s="1" t="s">
        <v>3136</v>
      </c>
      <c r="C2909" t="s">
        <v>36</v>
      </c>
      <c r="D2909">
        <v>18</v>
      </c>
      <c r="E2909">
        <v>102</v>
      </c>
      <c r="F2909">
        <v>51</v>
      </c>
      <c r="G2909">
        <v>1836</v>
      </c>
      <c r="H2909" s="4">
        <v>918</v>
      </c>
      <c r="I2909" s="4">
        <v>918</v>
      </c>
      <c r="J2909" t="s">
        <v>371</v>
      </c>
      <c r="K2909" t="s">
        <v>58</v>
      </c>
      <c r="L2909" s="4">
        <v>12.004541523616258</v>
      </c>
      <c r="M2909" s="1" t="s">
        <v>54</v>
      </c>
      <c r="N2909" s="11">
        <f t="shared" si="45"/>
        <v>10</v>
      </c>
    </row>
    <row r="2910" spans="1:14" ht="16" x14ac:dyDescent="0.2">
      <c r="A2910" s="3">
        <v>44206.076868300232</v>
      </c>
      <c r="B2910" s="1" t="s">
        <v>865</v>
      </c>
      <c r="C2910" t="s">
        <v>544</v>
      </c>
      <c r="D2910">
        <v>10</v>
      </c>
      <c r="E2910">
        <v>267</v>
      </c>
      <c r="F2910">
        <v>89</v>
      </c>
      <c r="G2910">
        <v>2670</v>
      </c>
      <c r="H2910" s="4">
        <v>890</v>
      </c>
      <c r="I2910" s="4">
        <v>1780</v>
      </c>
      <c r="J2910" t="s">
        <v>380</v>
      </c>
      <c r="K2910" t="s">
        <v>64</v>
      </c>
      <c r="L2910" s="4">
        <v>11.416048240262977</v>
      </c>
      <c r="M2910" s="1" t="s">
        <v>38</v>
      </c>
      <c r="N2910" s="11">
        <f t="shared" si="45"/>
        <v>5</v>
      </c>
    </row>
    <row r="2911" spans="1:14" ht="16" x14ac:dyDescent="0.2">
      <c r="A2911" s="3">
        <v>44223.316863780092</v>
      </c>
      <c r="B2911" s="1" t="s">
        <v>3137</v>
      </c>
      <c r="C2911" t="s">
        <v>370</v>
      </c>
      <c r="D2911">
        <v>19</v>
      </c>
      <c r="E2911">
        <v>144</v>
      </c>
      <c r="F2911">
        <v>36</v>
      </c>
      <c r="G2911">
        <v>2736</v>
      </c>
      <c r="H2911" s="4">
        <v>684</v>
      </c>
      <c r="I2911" s="4">
        <v>2052</v>
      </c>
      <c r="J2911" t="s">
        <v>73</v>
      </c>
      <c r="K2911" t="s">
        <v>58</v>
      </c>
      <c r="L2911" s="4">
        <v>8.2871811249429097</v>
      </c>
      <c r="M2911" s="1" t="s">
        <v>38</v>
      </c>
      <c r="N2911" s="11">
        <f t="shared" si="45"/>
        <v>5</v>
      </c>
    </row>
    <row r="2912" spans="1:14" ht="16" x14ac:dyDescent="0.2">
      <c r="A2912" s="3">
        <v>43390.091378824036</v>
      </c>
      <c r="B2912" s="1" t="s">
        <v>3138</v>
      </c>
      <c r="C2912" t="s">
        <v>286</v>
      </c>
      <c r="D2912">
        <v>14</v>
      </c>
      <c r="E2912">
        <v>34</v>
      </c>
      <c r="F2912">
        <v>17</v>
      </c>
      <c r="G2912">
        <v>476</v>
      </c>
      <c r="H2912" s="4">
        <v>238</v>
      </c>
      <c r="I2912" s="4">
        <v>238</v>
      </c>
      <c r="J2912" t="s">
        <v>506</v>
      </c>
      <c r="K2912" t="s">
        <v>33</v>
      </c>
      <c r="L2912" s="4">
        <v>13.917704159139552</v>
      </c>
      <c r="M2912" s="1" t="s">
        <v>38</v>
      </c>
      <c r="N2912" s="11">
        <f t="shared" si="45"/>
        <v>5</v>
      </c>
    </row>
    <row r="2913" spans="1:14" ht="16" x14ac:dyDescent="0.2">
      <c r="A2913" s="3">
        <v>43726.674283327528</v>
      </c>
      <c r="B2913" s="1" t="s">
        <v>3139</v>
      </c>
      <c r="C2913" t="s">
        <v>125</v>
      </c>
      <c r="D2913">
        <v>19</v>
      </c>
      <c r="E2913">
        <v>176</v>
      </c>
      <c r="F2913">
        <v>88</v>
      </c>
      <c r="G2913">
        <v>3344</v>
      </c>
      <c r="H2913" s="4">
        <v>1672</v>
      </c>
      <c r="I2913" s="4">
        <v>1672</v>
      </c>
      <c r="J2913" t="s">
        <v>603</v>
      </c>
      <c r="K2913" t="s">
        <v>64</v>
      </c>
      <c r="L2913" s="4">
        <v>11.072271050116964</v>
      </c>
      <c r="M2913" s="1" t="s">
        <v>34</v>
      </c>
      <c r="N2913" s="11">
        <f t="shared" si="45"/>
        <v>1</v>
      </c>
    </row>
    <row r="2914" spans="1:14" ht="16" x14ac:dyDescent="0.2">
      <c r="A2914" s="3">
        <v>44520.597335442224</v>
      </c>
      <c r="B2914" s="1" t="s">
        <v>3140</v>
      </c>
      <c r="C2914" t="s">
        <v>538</v>
      </c>
      <c r="D2914">
        <v>2</v>
      </c>
      <c r="E2914">
        <v>261</v>
      </c>
      <c r="F2914">
        <v>87</v>
      </c>
      <c r="G2914">
        <v>522</v>
      </c>
      <c r="H2914" s="4">
        <v>174</v>
      </c>
      <c r="I2914" s="4">
        <v>348</v>
      </c>
      <c r="J2914" t="s">
        <v>366</v>
      </c>
      <c r="K2914" t="s">
        <v>64</v>
      </c>
      <c r="L2914" s="4">
        <v>12.342715162719054</v>
      </c>
      <c r="M2914" s="1" t="s">
        <v>54</v>
      </c>
      <c r="N2914" s="11">
        <f t="shared" si="45"/>
        <v>10</v>
      </c>
    </row>
    <row r="2915" spans="1:14" ht="16" x14ac:dyDescent="0.2">
      <c r="A2915" s="3">
        <v>44212.315887940014</v>
      </c>
      <c r="B2915" s="1" t="s">
        <v>3141</v>
      </c>
      <c r="C2915" t="s">
        <v>93</v>
      </c>
      <c r="D2915">
        <v>18</v>
      </c>
      <c r="E2915">
        <v>204</v>
      </c>
      <c r="F2915">
        <v>51</v>
      </c>
      <c r="G2915">
        <v>3672</v>
      </c>
      <c r="H2915" s="4">
        <v>918</v>
      </c>
      <c r="I2915" s="4">
        <v>2754</v>
      </c>
      <c r="J2915" t="s">
        <v>140</v>
      </c>
      <c r="K2915" t="s">
        <v>53</v>
      </c>
      <c r="L2915" s="4">
        <v>7.1104128275166252</v>
      </c>
      <c r="M2915" s="1" t="s">
        <v>34</v>
      </c>
      <c r="N2915" s="11">
        <f t="shared" si="45"/>
        <v>1</v>
      </c>
    </row>
    <row r="2916" spans="1:14" ht="16" x14ac:dyDescent="0.2">
      <c r="A2916" s="3">
        <v>44119.49691947009</v>
      </c>
      <c r="B2916" s="1" t="s">
        <v>3142</v>
      </c>
      <c r="C2916" t="s">
        <v>544</v>
      </c>
      <c r="D2916">
        <v>15</v>
      </c>
      <c r="E2916">
        <v>267</v>
      </c>
      <c r="F2916">
        <v>89</v>
      </c>
      <c r="G2916">
        <v>4005</v>
      </c>
      <c r="H2916" s="4">
        <v>1335</v>
      </c>
      <c r="I2916" s="4">
        <v>2670</v>
      </c>
      <c r="J2916" t="s">
        <v>401</v>
      </c>
      <c r="K2916" t="s">
        <v>58</v>
      </c>
      <c r="L2916" s="4">
        <v>11.394777319422785</v>
      </c>
      <c r="M2916" s="1" t="s">
        <v>54</v>
      </c>
      <c r="N2916" s="11">
        <f t="shared" si="45"/>
        <v>10</v>
      </c>
    </row>
    <row r="2917" spans="1:14" ht="16" x14ac:dyDescent="0.2">
      <c r="A2917" s="3">
        <v>44051.010387314687</v>
      </c>
      <c r="B2917" s="1" t="s">
        <v>3143</v>
      </c>
      <c r="C2917" t="s">
        <v>301</v>
      </c>
      <c r="D2917">
        <v>4</v>
      </c>
      <c r="E2917">
        <v>188</v>
      </c>
      <c r="F2917">
        <v>94</v>
      </c>
      <c r="G2917">
        <v>752</v>
      </c>
      <c r="H2917" s="4">
        <v>376</v>
      </c>
      <c r="I2917" s="4">
        <v>376</v>
      </c>
      <c r="J2917" t="s">
        <v>223</v>
      </c>
      <c r="K2917" t="s">
        <v>64</v>
      </c>
      <c r="L2917" s="4">
        <v>14.030594525378042</v>
      </c>
      <c r="M2917" s="1" t="s">
        <v>54</v>
      </c>
      <c r="N2917" s="11">
        <f t="shared" si="45"/>
        <v>10</v>
      </c>
    </row>
    <row r="2918" spans="1:14" ht="16" x14ac:dyDescent="0.2">
      <c r="A2918" s="3">
        <v>44233.648560521928</v>
      </c>
      <c r="B2918" s="1" t="s">
        <v>3144</v>
      </c>
      <c r="C2918" t="s">
        <v>62</v>
      </c>
      <c r="D2918">
        <v>16</v>
      </c>
      <c r="E2918">
        <v>80</v>
      </c>
      <c r="F2918">
        <v>20</v>
      </c>
      <c r="G2918">
        <v>1280</v>
      </c>
      <c r="H2918" s="4">
        <v>320</v>
      </c>
      <c r="I2918" s="4">
        <v>960</v>
      </c>
      <c r="J2918" t="s">
        <v>384</v>
      </c>
      <c r="K2918" t="s">
        <v>33</v>
      </c>
      <c r="L2918" s="4">
        <v>11.687634894637348</v>
      </c>
      <c r="M2918" s="1" t="s">
        <v>38</v>
      </c>
      <c r="N2918" s="11">
        <f t="shared" si="45"/>
        <v>5</v>
      </c>
    </row>
    <row r="2919" spans="1:14" ht="16" x14ac:dyDescent="0.2">
      <c r="A2919" s="3">
        <v>44294.497483349376</v>
      </c>
      <c r="B2919" s="1" t="s">
        <v>3145</v>
      </c>
      <c r="C2919" t="s">
        <v>328</v>
      </c>
      <c r="D2919">
        <v>8</v>
      </c>
      <c r="E2919">
        <v>124</v>
      </c>
      <c r="F2919">
        <v>62</v>
      </c>
      <c r="G2919">
        <v>992</v>
      </c>
      <c r="H2919" s="4">
        <v>496</v>
      </c>
      <c r="I2919" s="4">
        <v>496</v>
      </c>
      <c r="J2919" t="s">
        <v>246</v>
      </c>
      <c r="K2919" t="s">
        <v>58</v>
      </c>
      <c r="L2919" s="4">
        <v>15.234329552872023</v>
      </c>
      <c r="M2919" s="1" t="s">
        <v>34</v>
      </c>
      <c r="N2919" s="11">
        <f t="shared" si="45"/>
        <v>1</v>
      </c>
    </row>
    <row r="2920" spans="1:14" ht="16" x14ac:dyDescent="0.2">
      <c r="A2920" s="3">
        <v>44060.519281957699</v>
      </c>
      <c r="B2920" s="1" t="s">
        <v>3146</v>
      </c>
      <c r="C2920" t="s">
        <v>288</v>
      </c>
      <c r="D2920">
        <v>17</v>
      </c>
      <c r="E2920">
        <v>48</v>
      </c>
      <c r="F2920">
        <v>24</v>
      </c>
      <c r="G2920">
        <v>816</v>
      </c>
      <c r="H2920" s="4">
        <v>408</v>
      </c>
      <c r="I2920" s="4">
        <v>408</v>
      </c>
      <c r="J2920" t="s">
        <v>1253</v>
      </c>
      <c r="K2920" t="s">
        <v>49</v>
      </c>
      <c r="L2920" s="4">
        <v>10.518436853046438</v>
      </c>
      <c r="M2920" s="1" t="s">
        <v>38</v>
      </c>
      <c r="N2920" s="11">
        <f t="shared" si="45"/>
        <v>5</v>
      </c>
    </row>
    <row r="2921" spans="1:14" ht="16" x14ac:dyDescent="0.2">
      <c r="A2921" s="3">
        <v>43621.182445641389</v>
      </c>
      <c r="B2921" s="1" t="s">
        <v>878</v>
      </c>
      <c r="C2921" t="s">
        <v>583</v>
      </c>
      <c r="D2921">
        <v>14</v>
      </c>
      <c r="E2921">
        <v>57</v>
      </c>
      <c r="F2921">
        <v>19</v>
      </c>
      <c r="G2921">
        <v>798</v>
      </c>
      <c r="H2921" s="4">
        <v>266</v>
      </c>
      <c r="I2921" s="4">
        <v>532</v>
      </c>
      <c r="J2921" t="s">
        <v>440</v>
      </c>
      <c r="K2921" t="s">
        <v>33</v>
      </c>
      <c r="L2921" s="4">
        <v>10.408704992688252</v>
      </c>
      <c r="M2921" s="1" t="s">
        <v>38</v>
      </c>
      <c r="N2921" s="11">
        <f t="shared" si="45"/>
        <v>5</v>
      </c>
    </row>
    <row r="2922" spans="1:14" ht="16" x14ac:dyDescent="0.2">
      <c r="A2922" s="3">
        <v>44391.227486929587</v>
      </c>
      <c r="B2922" s="1" t="s">
        <v>3147</v>
      </c>
      <c r="C2922" t="s">
        <v>36</v>
      </c>
      <c r="D2922">
        <v>6</v>
      </c>
      <c r="E2922">
        <v>102</v>
      </c>
      <c r="F2922">
        <v>51</v>
      </c>
      <c r="G2922">
        <v>612</v>
      </c>
      <c r="H2922" s="4">
        <v>306</v>
      </c>
      <c r="I2922" s="4">
        <v>306</v>
      </c>
      <c r="J2922" t="s">
        <v>366</v>
      </c>
      <c r="K2922" t="s">
        <v>64</v>
      </c>
      <c r="L2922" s="4">
        <v>12.342715162719054</v>
      </c>
      <c r="M2922" s="1" t="s">
        <v>54</v>
      </c>
      <c r="N2922" s="11">
        <f t="shared" si="45"/>
        <v>10</v>
      </c>
    </row>
    <row r="2923" spans="1:14" ht="16" x14ac:dyDescent="0.2">
      <c r="A2923" s="3">
        <v>44183.544453841656</v>
      </c>
      <c r="B2923" s="1" t="s">
        <v>3148</v>
      </c>
      <c r="C2923" t="s">
        <v>160</v>
      </c>
      <c r="D2923">
        <v>9</v>
      </c>
      <c r="E2923">
        <v>132</v>
      </c>
      <c r="F2923">
        <v>33</v>
      </c>
      <c r="G2923">
        <v>1188</v>
      </c>
      <c r="H2923" s="4">
        <v>297</v>
      </c>
      <c r="I2923" s="4">
        <v>891</v>
      </c>
      <c r="J2923" t="s">
        <v>116</v>
      </c>
      <c r="K2923" t="s">
        <v>64</v>
      </c>
      <c r="L2923" s="4">
        <v>14.697745043716761</v>
      </c>
      <c r="M2923" s="1" t="s">
        <v>34</v>
      </c>
      <c r="N2923" s="11">
        <f t="shared" si="45"/>
        <v>1</v>
      </c>
    </row>
    <row r="2924" spans="1:14" ht="16" x14ac:dyDescent="0.2">
      <c r="A2924" s="3">
        <v>44707.963966557829</v>
      </c>
      <c r="B2924" s="1" t="s">
        <v>3149</v>
      </c>
      <c r="C2924" t="s">
        <v>255</v>
      </c>
      <c r="D2924">
        <v>15</v>
      </c>
      <c r="E2924">
        <v>140</v>
      </c>
      <c r="F2924">
        <v>70</v>
      </c>
      <c r="G2924">
        <v>2100</v>
      </c>
      <c r="H2924" s="4">
        <v>1050</v>
      </c>
      <c r="I2924" s="4">
        <v>1050</v>
      </c>
      <c r="J2924" t="s">
        <v>1107</v>
      </c>
      <c r="K2924" t="s">
        <v>53</v>
      </c>
      <c r="L2924" s="4">
        <v>10.28240320324797</v>
      </c>
      <c r="M2924" s="1" t="s">
        <v>38</v>
      </c>
      <c r="N2924" s="11">
        <f t="shared" si="45"/>
        <v>5</v>
      </c>
    </row>
    <row r="2925" spans="1:14" ht="16" x14ac:dyDescent="0.2">
      <c r="A2925" s="3">
        <v>44485.046686940361</v>
      </c>
      <c r="B2925" s="1" t="s">
        <v>3150</v>
      </c>
      <c r="C2925" t="s">
        <v>212</v>
      </c>
      <c r="D2925">
        <v>8</v>
      </c>
      <c r="E2925">
        <v>300</v>
      </c>
      <c r="F2925">
        <v>75</v>
      </c>
      <c r="G2925">
        <v>2400</v>
      </c>
      <c r="H2925" s="4">
        <v>600</v>
      </c>
      <c r="I2925" s="4">
        <v>1800</v>
      </c>
      <c r="J2925" t="s">
        <v>102</v>
      </c>
      <c r="K2925" t="s">
        <v>49</v>
      </c>
      <c r="L2925" s="4">
        <v>15.12637675023732</v>
      </c>
      <c r="M2925" s="1" t="s">
        <v>34</v>
      </c>
      <c r="N2925" s="11">
        <f t="shared" si="45"/>
        <v>1</v>
      </c>
    </row>
    <row r="2926" spans="1:14" ht="16" x14ac:dyDescent="0.2">
      <c r="A2926" s="3">
        <v>44846.753977117238</v>
      </c>
      <c r="B2926" s="1" t="s">
        <v>3151</v>
      </c>
      <c r="C2926" t="s">
        <v>72</v>
      </c>
      <c r="D2926">
        <v>9</v>
      </c>
      <c r="E2926">
        <v>352</v>
      </c>
      <c r="F2926">
        <v>88</v>
      </c>
      <c r="G2926">
        <v>3168</v>
      </c>
      <c r="H2926" s="4">
        <v>792</v>
      </c>
      <c r="I2926" s="4">
        <v>2376</v>
      </c>
      <c r="J2926" t="s">
        <v>401</v>
      </c>
      <c r="K2926" t="s">
        <v>58</v>
      </c>
      <c r="L2926" s="4">
        <v>11.394777319422785</v>
      </c>
      <c r="M2926" s="1" t="s">
        <v>54</v>
      </c>
      <c r="N2926" s="11">
        <f t="shared" si="45"/>
        <v>10</v>
      </c>
    </row>
    <row r="2927" spans="1:14" ht="16" x14ac:dyDescent="0.2">
      <c r="A2927" s="3">
        <v>44478.860634005643</v>
      </c>
      <c r="B2927" s="1" t="s">
        <v>3152</v>
      </c>
      <c r="C2927" t="s">
        <v>193</v>
      </c>
      <c r="D2927">
        <v>2</v>
      </c>
      <c r="E2927">
        <v>348</v>
      </c>
      <c r="F2927">
        <v>87</v>
      </c>
      <c r="G2927">
        <v>696</v>
      </c>
      <c r="H2927" s="4">
        <v>174</v>
      </c>
      <c r="I2927" s="4">
        <v>522</v>
      </c>
      <c r="J2927" t="s">
        <v>140</v>
      </c>
      <c r="K2927" t="s">
        <v>53</v>
      </c>
      <c r="L2927" s="4">
        <v>7.1104128275166252</v>
      </c>
      <c r="M2927" s="1" t="s">
        <v>38</v>
      </c>
      <c r="N2927" s="11">
        <f t="shared" si="45"/>
        <v>5</v>
      </c>
    </row>
    <row r="2928" spans="1:14" ht="16" x14ac:dyDescent="0.2">
      <c r="A2928" s="3">
        <v>44053.128777674094</v>
      </c>
      <c r="B2928" s="1" t="s">
        <v>2448</v>
      </c>
      <c r="C2928" t="s">
        <v>47</v>
      </c>
      <c r="D2928">
        <v>8</v>
      </c>
      <c r="E2928">
        <v>231</v>
      </c>
      <c r="F2928">
        <v>77</v>
      </c>
      <c r="G2928">
        <v>1848</v>
      </c>
      <c r="H2928" s="4">
        <v>616</v>
      </c>
      <c r="I2928" s="4">
        <v>1232</v>
      </c>
      <c r="J2928" t="s">
        <v>406</v>
      </c>
      <c r="K2928" t="s">
        <v>58</v>
      </c>
      <c r="L2928" s="4">
        <v>11.082295381980092</v>
      </c>
      <c r="M2928" s="1" t="s">
        <v>54</v>
      </c>
      <c r="N2928" s="11">
        <f t="shared" si="45"/>
        <v>10</v>
      </c>
    </row>
    <row r="2929" spans="1:14" ht="16" x14ac:dyDescent="0.2">
      <c r="A2929" s="3">
        <v>43465.116080215354</v>
      </c>
      <c r="B2929" s="1" t="s">
        <v>3153</v>
      </c>
      <c r="C2929" t="s">
        <v>375</v>
      </c>
      <c r="D2929">
        <v>6</v>
      </c>
      <c r="E2929">
        <v>360</v>
      </c>
      <c r="F2929">
        <v>90</v>
      </c>
      <c r="G2929">
        <v>2160</v>
      </c>
      <c r="H2929" s="4">
        <v>540</v>
      </c>
      <c r="I2929" s="4">
        <v>1620</v>
      </c>
      <c r="J2929" t="s">
        <v>980</v>
      </c>
      <c r="K2929" t="s">
        <v>33</v>
      </c>
      <c r="L2929" s="4">
        <v>8.1743378387804331</v>
      </c>
      <c r="M2929" s="1" t="s">
        <v>34</v>
      </c>
      <c r="N2929" s="11">
        <f t="shared" si="45"/>
        <v>1</v>
      </c>
    </row>
    <row r="2930" spans="1:14" ht="16" x14ac:dyDescent="0.2">
      <c r="A2930" s="3">
        <v>44208.686330751465</v>
      </c>
      <c r="B2930" s="1" t="s">
        <v>3154</v>
      </c>
      <c r="C2930" t="s">
        <v>340</v>
      </c>
      <c r="D2930">
        <v>19</v>
      </c>
      <c r="E2930">
        <v>180</v>
      </c>
      <c r="F2930">
        <v>45</v>
      </c>
      <c r="G2930">
        <v>3420</v>
      </c>
      <c r="H2930" s="4">
        <v>855</v>
      </c>
      <c r="I2930" s="4">
        <v>2565</v>
      </c>
      <c r="J2930" t="s">
        <v>875</v>
      </c>
      <c r="K2930" t="s">
        <v>58</v>
      </c>
      <c r="L2930" s="4">
        <v>11.485823039755857</v>
      </c>
      <c r="M2930" s="1" t="s">
        <v>54</v>
      </c>
      <c r="N2930" s="11">
        <f t="shared" si="45"/>
        <v>10</v>
      </c>
    </row>
    <row r="2931" spans="1:14" ht="16" x14ac:dyDescent="0.2">
      <c r="A2931" s="3">
        <v>44312.372426177455</v>
      </c>
      <c r="B2931" s="1" t="s">
        <v>3155</v>
      </c>
      <c r="C2931" t="s">
        <v>583</v>
      </c>
      <c r="D2931">
        <v>18</v>
      </c>
      <c r="E2931">
        <v>57</v>
      </c>
      <c r="F2931">
        <v>19</v>
      </c>
      <c r="G2931">
        <v>1026</v>
      </c>
      <c r="H2931" s="4">
        <v>342</v>
      </c>
      <c r="I2931" s="4">
        <v>684</v>
      </c>
      <c r="J2931" t="s">
        <v>795</v>
      </c>
      <c r="K2931" t="s">
        <v>49</v>
      </c>
      <c r="L2931" s="4">
        <v>11.661237375491201</v>
      </c>
      <c r="M2931" s="1" t="s">
        <v>38</v>
      </c>
      <c r="N2931" s="11">
        <f t="shared" si="45"/>
        <v>5</v>
      </c>
    </row>
    <row r="2932" spans="1:14" ht="16" x14ac:dyDescent="0.2">
      <c r="A2932" s="3">
        <v>44063.789284194128</v>
      </c>
      <c r="B2932" s="1" t="s">
        <v>1876</v>
      </c>
      <c r="C2932" t="s">
        <v>75</v>
      </c>
      <c r="D2932">
        <v>17</v>
      </c>
      <c r="E2932">
        <v>76</v>
      </c>
      <c r="F2932">
        <v>19</v>
      </c>
      <c r="G2932">
        <v>1292</v>
      </c>
      <c r="H2932" s="4">
        <v>323</v>
      </c>
      <c r="I2932" s="4">
        <v>969</v>
      </c>
      <c r="J2932" t="s">
        <v>284</v>
      </c>
      <c r="K2932" t="s">
        <v>58</v>
      </c>
      <c r="L2932" s="4">
        <v>10.570474361325047</v>
      </c>
      <c r="M2932" s="1" t="s">
        <v>38</v>
      </c>
      <c r="N2932" s="11">
        <f t="shared" si="45"/>
        <v>5</v>
      </c>
    </row>
    <row r="2933" spans="1:14" ht="16" x14ac:dyDescent="0.2">
      <c r="A2933" s="3">
        <v>44791.148280280897</v>
      </c>
      <c r="B2933" s="1" t="s">
        <v>3156</v>
      </c>
      <c r="C2933" t="s">
        <v>88</v>
      </c>
      <c r="D2933">
        <v>13</v>
      </c>
      <c r="E2933">
        <v>210</v>
      </c>
      <c r="F2933">
        <v>70</v>
      </c>
      <c r="G2933">
        <v>2730</v>
      </c>
      <c r="H2933" s="4">
        <v>910</v>
      </c>
      <c r="I2933" s="4">
        <v>1820</v>
      </c>
      <c r="J2933" t="s">
        <v>1253</v>
      </c>
      <c r="K2933" t="s">
        <v>49</v>
      </c>
      <c r="L2933" s="4">
        <v>10.518436853046438</v>
      </c>
      <c r="M2933" s="1" t="s">
        <v>38</v>
      </c>
      <c r="N2933" s="11">
        <f t="shared" si="45"/>
        <v>5</v>
      </c>
    </row>
    <row r="2934" spans="1:14" ht="16" x14ac:dyDescent="0.2">
      <c r="A2934" s="3">
        <v>43432.339629744652</v>
      </c>
      <c r="B2934" s="1" t="s">
        <v>3157</v>
      </c>
      <c r="C2934" t="s">
        <v>370</v>
      </c>
      <c r="D2934">
        <v>9</v>
      </c>
      <c r="E2934">
        <v>144</v>
      </c>
      <c r="F2934">
        <v>36</v>
      </c>
      <c r="G2934">
        <v>1296</v>
      </c>
      <c r="H2934" s="4">
        <v>324</v>
      </c>
      <c r="I2934" s="4">
        <v>972</v>
      </c>
      <c r="J2934" t="s">
        <v>292</v>
      </c>
      <c r="K2934" t="s">
        <v>49</v>
      </c>
      <c r="L2934" s="4">
        <v>11.710935611749917</v>
      </c>
      <c r="M2934" s="1" t="s">
        <v>38</v>
      </c>
      <c r="N2934" s="11">
        <f t="shared" si="45"/>
        <v>5</v>
      </c>
    </row>
    <row r="2935" spans="1:14" ht="16" x14ac:dyDescent="0.2">
      <c r="A2935" s="3">
        <v>43863.649589044762</v>
      </c>
      <c r="B2935" s="1" t="s">
        <v>3158</v>
      </c>
      <c r="C2935" t="s">
        <v>299</v>
      </c>
      <c r="D2935">
        <v>9</v>
      </c>
      <c r="E2935">
        <v>225</v>
      </c>
      <c r="F2935">
        <v>75</v>
      </c>
      <c r="G2935">
        <v>2025</v>
      </c>
      <c r="H2935" s="4">
        <v>675</v>
      </c>
      <c r="I2935" s="4">
        <v>1350</v>
      </c>
      <c r="J2935" t="s">
        <v>521</v>
      </c>
      <c r="K2935" t="s">
        <v>58</v>
      </c>
      <c r="L2935" s="4">
        <v>8.8514729234790472</v>
      </c>
      <c r="M2935" s="1" t="s">
        <v>34</v>
      </c>
      <c r="N2935" s="11">
        <f t="shared" si="45"/>
        <v>1</v>
      </c>
    </row>
    <row r="2936" spans="1:14" ht="16" x14ac:dyDescent="0.2">
      <c r="A2936" s="3">
        <v>43500.056145517556</v>
      </c>
      <c r="B2936" s="1" t="s">
        <v>3159</v>
      </c>
      <c r="C2936" t="s">
        <v>252</v>
      </c>
      <c r="D2936">
        <v>20</v>
      </c>
      <c r="E2936">
        <v>252</v>
      </c>
      <c r="F2936">
        <v>63</v>
      </c>
      <c r="G2936">
        <v>5040</v>
      </c>
      <c r="H2936" s="4">
        <v>1260</v>
      </c>
      <c r="I2936" s="4">
        <v>3780</v>
      </c>
      <c r="J2936" t="s">
        <v>318</v>
      </c>
      <c r="K2936" t="s">
        <v>33</v>
      </c>
      <c r="L2936" s="4">
        <v>9.0350666811770921</v>
      </c>
      <c r="M2936" s="1" t="s">
        <v>54</v>
      </c>
      <c r="N2936" s="11">
        <f t="shared" si="45"/>
        <v>10</v>
      </c>
    </row>
    <row r="2937" spans="1:14" ht="16" x14ac:dyDescent="0.2">
      <c r="A2937" s="3">
        <v>43898.343048006871</v>
      </c>
      <c r="B2937" s="1" t="s">
        <v>3160</v>
      </c>
      <c r="C2937" t="s">
        <v>312</v>
      </c>
      <c r="D2937">
        <v>14</v>
      </c>
      <c r="E2937">
        <v>240</v>
      </c>
      <c r="F2937">
        <v>80</v>
      </c>
      <c r="G2937">
        <v>3360</v>
      </c>
      <c r="H2937" s="4">
        <v>1120</v>
      </c>
      <c r="I2937" s="4">
        <v>2240</v>
      </c>
      <c r="J2937" t="s">
        <v>438</v>
      </c>
      <c r="K2937" t="s">
        <v>64</v>
      </c>
      <c r="L2937" s="4">
        <v>12.532428411174646</v>
      </c>
      <c r="M2937" s="1" t="s">
        <v>54</v>
      </c>
      <c r="N2937" s="11">
        <f t="shared" si="45"/>
        <v>10</v>
      </c>
    </row>
    <row r="2938" spans="1:14" ht="16" x14ac:dyDescent="0.2">
      <c r="A2938" s="3">
        <v>44545.732784818916</v>
      </c>
      <c r="B2938" s="1" t="s">
        <v>3161</v>
      </c>
      <c r="C2938" t="s">
        <v>178</v>
      </c>
      <c r="D2938">
        <v>9</v>
      </c>
      <c r="E2938">
        <v>189</v>
      </c>
      <c r="F2938">
        <v>63</v>
      </c>
      <c r="G2938">
        <v>1701</v>
      </c>
      <c r="H2938" s="4">
        <v>567</v>
      </c>
      <c r="I2938" s="4">
        <v>1134</v>
      </c>
      <c r="J2938" t="s">
        <v>786</v>
      </c>
      <c r="K2938" t="s">
        <v>86</v>
      </c>
      <c r="L2938" s="4">
        <v>13.095446915421235</v>
      </c>
      <c r="M2938" s="1" t="s">
        <v>54</v>
      </c>
      <c r="N2938" s="11">
        <f t="shared" si="45"/>
        <v>10</v>
      </c>
    </row>
    <row r="2939" spans="1:14" ht="16" x14ac:dyDescent="0.2">
      <c r="A2939" s="3">
        <v>44835.660473851523</v>
      </c>
      <c r="B2939" s="1" t="s">
        <v>3162</v>
      </c>
      <c r="C2939" t="s">
        <v>93</v>
      </c>
      <c r="D2939">
        <v>12</v>
      </c>
      <c r="E2939">
        <v>204</v>
      </c>
      <c r="F2939">
        <v>51</v>
      </c>
      <c r="G2939">
        <v>2448</v>
      </c>
      <c r="H2939" s="4">
        <v>612</v>
      </c>
      <c r="I2939" s="4">
        <v>1836</v>
      </c>
      <c r="J2939" t="s">
        <v>329</v>
      </c>
      <c r="K2939" t="s">
        <v>33</v>
      </c>
      <c r="L2939" s="4">
        <v>12.545140403858928</v>
      </c>
      <c r="M2939" s="1" t="s">
        <v>34</v>
      </c>
      <c r="N2939" s="11">
        <f t="shared" si="45"/>
        <v>1</v>
      </c>
    </row>
    <row r="2940" spans="1:14" ht="16" x14ac:dyDescent="0.2">
      <c r="A2940" s="3">
        <v>43403.381210740888</v>
      </c>
      <c r="B2940" s="1" t="s">
        <v>3163</v>
      </c>
      <c r="C2940" t="s">
        <v>196</v>
      </c>
      <c r="D2940">
        <v>3</v>
      </c>
      <c r="E2940">
        <v>192</v>
      </c>
      <c r="F2940">
        <v>96</v>
      </c>
      <c r="G2940">
        <v>576</v>
      </c>
      <c r="H2940" s="4">
        <v>288</v>
      </c>
      <c r="I2940" s="4">
        <v>288</v>
      </c>
      <c r="J2940" t="s">
        <v>569</v>
      </c>
      <c r="K2940" t="s">
        <v>33</v>
      </c>
      <c r="L2940" s="4">
        <v>12.921682080641304</v>
      </c>
      <c r="M2940" s="1" t="s">
        <v>34</v>
      </c>
      <c r="N2940" s="11">
        <f t="shared" si="45"/>
        <v>1</v>
      </c>
    </row>
    <row r="2941" spans="1:14" ht="16" x14ac:dyDescent="0.2">
      <c r="A2941" s="3">
        <v>44076.471780010477</v>
      </c>
      <c r="B2941" s="1" t="s">
        <v>402</v>
      </c>
      <c r="C2941" t="s">
        <v>301</v>
      </c>
      <c r="D2941">
        <v>19</v>
      </c>
      <c r="E2941">
        <v>188</v>
      </c>
      <c r="F2941">
        <v>94</v>
      </c>
      <c r="G2941">
        <v>3572</v>
      </c>
      <c r="H2941" s="4">
        <v>1786</v>
      </c>
      <c r="I2941" s="4">
        <v>1786</v>
      </c>
      <c r="J2941" t="s">
        <v>230</v>
      </c>
      <c r="K2941" t="s">
        <v>42</v>
      </c>
      <c r="L2941" s="4">
        <v>12.172922939334034</v>
      </c>
      <c r="M2941" s="1" t="s">
        <v>34</v>
      </c>
      <c r="N2941" s="11">
        <f t="shared" si="45"/>
        <v>1</v>
      </c>
    </row>
    <row r="2942" spans="1:14" ht="16" x14ac:dyDescent="0.2">
      <c r="A2942" s="3">
        <v>43564.795901326303</v>
      </c>
      <c r="B2942" s="1" t="s">
        <v>3164</v>
      </c>
      <c r="C2942" t="s">
        <v>110</v>
      </c>
      <c r="D2942">
        <v>2</v>
      </c>
      <c r="E2942">
        <v>144</v>
      </c>
      <c r="F2942">
        <v>36</v>
      </c>
      <c r="G2942">
        <v>288</v>
      </c>
      <c r="H2942" s="4">
        <v>72</v>
      </c>
      <c r="I2942" s="4">
        <v>216</v>
      </c>
      <c r="J2942" t="s">
        <v>60</v>
      </c>
      <c r="K2942" t="s">
        <v>53</v>
      </c>
      <c r="L2942" s="4">
        <v>11.048444680405545</v>
      </c>
      <c r="M2942" s="1" t="s">
        <v>34</v>
      </c>
      <c r="N2942" s="11">
        <f t="shared" si="45"/>
        <v>1</v>
      </c>
    </row>
    <row r="2943" spans="1:14" ht="16" x14ac:dyDescent="0.2">
      <c r="A2943" s="3">
        <v>44362.92673766191</v>
      </c>
      <c r="B2943" s="1" t="s">
        <v>3165</v>
      </c>
      <c r="C2943" t="s">
        <v>204</v>
      </c>
      <c r="D2943">
        <v>13</v>
      </c>
      <c r="E2943">
        <v>57</v>
      </c>
      <c r="F2943">
        <v>19</v>
      </c>
      <c r="G2943">
        <v>741</v>
      </c>
      <c r="H2943" s="4">
        <v>247</v>
      </c>
      <c r="I2943" s="4">
        <v>494</v>
      </c>
      <c r="J2943" t="s">
        <v>310</v>
      </c>
      <c r="K2943" t="s">
        <v>58</v>
      </c>
      <c r="L2943" s="4">
        <v>11.03324198943719</v>
      </c>
      <c r="M2943" s="1" t="s">
        <v>34</v>
      </c>
      <c r="N2943" s="11">
        <f t="shared" si="45"/>
        <v>1</v>
      </c>
    </row>
    <row r="2944" spans="1:14" ht="16" x14ac:dyDescent="0.2">
      <c r="A2944" s="3">
        <v>42322.453009890065</v>
      </c>
      <c r="B2944" s="1" t="s">
        <v>3166</v>
      </c>
      <c r="C2944" t="s">
        <v>105</v>
      </c>
      <c r="D2944">
        <v>17</v>
      </c>
      <c r="E2944">
        <v>201</v>
      </c>
      <c r="F2944">
        <v>67</v>
      </c>
      <c r="G2944">
        <v>3417</v>
      </c>
      <c r="H2944" s="4">
        <v>1139</v>
      </c>
      <c r="I2944" s="4">
        <v>2278</v>
      </c>
      <c r="J2944" t="s">
        <v>1022</v>
      </c>
      <c r="K2944" t="s">
        <v>49</v>
      </c>
      <c r="L2944" s="4">
        <v>15.268550004010105</v>
      </c>
      <c r="M2944" s="1" t="s">
        <v>54</v>
      </c>
      <c r="N2944" s="11">
        <f t="shared" si="45"/>
        <v>10</v>
      </c>
    </row>
    <row r="2945" spans="1:14" ht="16" x14ac:dyDescent="0.2">
      <c r="A2945" s="3">
        <v>44354.446525988693</v>
      </c>
      <c r="B2945" s="1" t="s">
        <v>3167</v>
      </c>
      <c r="C2945" t="s">
        <v>204</v>
      </c>
      <c r="D2945">
        <v>13</v>
      </c>
      <c r="E2945">
        <v>57</v>
      </c>
      <c r="F2945">
        <v>19</v>
      </c>
      <c r="G2945">
        <v>741</v>
      </c>
      <c r="H2945" s="4">
        <v>247</v>
      </c>
      <c r="I2945" s="4">
        <v>494</v>
      </c>
      <c r="J2945" t="s">
        <v>733</v>
      </c>
      <c r="K2945" t="s">
        <v>53</v>
      </c>
      <c r="L2945" s="4">
        <v>16.148992525516267</v>
      </c>
      <c r="M2945" s="1" t="s">
        <v>34</v>
      </c>
      <c r="N2945" s="11">
        <f t="shared" si="45"/>
        <v>1</v>
      </c>
    </row>
    <row r="2946" spans="1:14" ht="16" x14ac:dyDescent="0.2">
      <c r="A2946" s="3">
        <v>44219.029873790729</v>
      </c>
      <c r="B2946" s="1" t="s">
        <v>1481</v>
      </c>
      <c r="C2946" t="s">
        <v>328</v>
      </c>
      <c r="D2946">
        <v>5</v>
      </c>
      <c r="E2946">
        <v>124</v>
      </c>
      <c r="F2946">
        <v>62</v>
      </c>
      <c r="G2946">
        <v>620</v>
      </c>
      <c r="H2946" s="4">
        <v>310</v>
      </c>
      <c r="I2946" s="4">
        <v>310</v>
      </c>
      <c r="J2946" t="s">
        <v>482</v>
      </c>
      <c r="K2946" t="s">
        <v>42</v>
      </c>
      <c r="L2946" s="4">
        <v>11.311040680082275</v>
      </c>
      <c r="M2946" s="1" t="s">
        <v>54</v>
      </c>
      <c r="N2946" s="11">
        <f t="shared" si="45"/>
        <v>10</v>
      </c>
    </row>
    <row r="2947" spans="1:14" ht="16" x14ac:dyDescent="0.2">
      <c r="A2947" s="3">
        <v>43747.209331039332</v>
      </c>
      <c r="B2947" s="1" t="s">
        <v>3168</v>
      </c>
      <c r="C2947" t="s">
        <v>193</v>
      </c>
      <c r="D2947">
        <v>16</v>
      </c>
      <c r="E2947">
        <v>348</v>
      </c>
      <c r="F2947">
        <v>87</v>
      </c>
      <c r="G2947">
        <v>5568</v>
      </c>
      <c r="H2947" s="4">
        <v>1392</v>
      </c>
      <c r="I2947" s="4">
        <v>4176</v>
      </c>
      <c r="J2947" t="s">
        <v>1042</v>
      </c>
      <c r="K2947" t="s">
        <v>58</v>
      </c>
      <c r="L2947" s="4">
        <v>10.588336269016523</v>
      </c>
      <c r="M2947" s="1" t="s">
        <v>54</v>
      </c>
      <c r="N2947" s="11">
        <f t="shared" ref="N2947:N3010" si="46">+IF(M2947="Dissatisfied",1,IF(M2947="Satisfied",10,5))</f>
        <v>10</v>
      </c>
    </row>
    <row r="2948" spans="1:14" ht="16" x14ac:dyDescent="0.2">
      <c r="A2948" s="3">
        <v>43575.10469425864</v>
      </c>
      <c r="B2948" s="1" t="s">
        <v>3169</v>
      </c>
      <c r="C2948" t="s">
        <v>299</v>
      </c>
      <c r="D2948">
        <v>19</v>
      </c>
      <c r="E2948">
        <v>225</v>
      </c>
      <c r="F2948">
        <v>75</v>
      </c>
      <c r="G2948">
        <v>4275</v>
      </c>
      <c r="H2948" s="4">
        <v>1425</v>
      </c>
      <c r="I2948" s="4">
        <v>2850</v>
      </c>
      <c r="J2948" t="s">
        <v>548</v>
      </c>
      <c r="K2948" t="s">
        <v>53</v>
      </c>
      <c r="L2948" s="4">
        <v>16.695690968264284</v>
      </c>
      <c r="M2948" s="1" t="s">
        <v>38</v>
      </c>
      <c r="N2948" s="11">
        <f t="shared" si="46"/>
        <v>5</v>
      </c>
    </row>
    <row r="2949" spans="1:14" ht="16" x14ac:dyDescent="0.2">
      <c r="A2949" s="3">
        <v>43380.48013857277</v>
      </c>
      <c r="B2949" s="1" t="s">
        <v>3170</v>
      </c>
      <c r="C2949" t="s">
        <v>561</v>
      </c>
      <c r="D2949">
        <v>7</v>
      </c>
      <c r="E2949">
        <v>384</v>
      </c>
      <c r="F2949">
        <v>96</v>
      </c>
      <c r="G2949">
        <v>2688</v>
      </c>
      <c r="H2949" s="4">
        <v>672</v>
      </c>
      <c r="I2949" s="4">
        <v>2016</v>
      </c>
      <c r="J2949" t="s">
        <v>1012</v>
      </c>
      <c r="K2949" t="s">
        <v>33</v>
      </c>
      <c r="L2949" s="4">
        <v>14.538471643780088</v>
      </c>
      <c r="M2949" s="1" t="s">
        <v>54</v>
      </c>
      <c r="N2949" s="11">
        <f t="shared" si="46"/>
        <v>10</v>
      </c>
    </row>
    <row r="2950" spans="1:14" ht="16" x14ac:dyDescent="0.2">
      <c r="A2950" s="3">
        <v>44025.374741809428</v>
      </c>
      <c r="B2950" s="1" t="s">
        <v>3171</v>
      </c>
      <c r="C2950" t="s">
        <v>154</v>
      </c>
      <c r="D2950">
        <v>15</v>
      </c>
      <c r="E2950">
        <v>308</v>
      </c>
      <c r="F2950">
        <v>77</v>
      </c>
      <c r="G2950">
        <v>4620</v>
      </c>
      <c r="H2950" s="4">
        <v>1155</v>
      </c>
      <c r="I2950" s="4">
        <v>3465</v>
      </c>
      <c r="J2950" t="s">
        <v>70</v>
      </c>
      <c r="K2950" t="s">
        <v>49</v>
      </c>
      <c r="L2950" s="4">
        <v>12.957303170959879</v>
      </c>
      <c r="M2950" s="1" t="s">
        <v>38</v>
      </c>
      <c r="N2950" s="11">
        <f t="shared" si="46"/>
        <v>5</v>
      </c>
    </row>
    <row r="2951" spans="1:14" ht="16" x14ac:dyDescent="0.2">
      <c r="A2951" s="3">
        <v>44588.147419762907</v>
      </c>
      <c r="B2951" s="1" t="s">
        <v>3172</v>
      </c>
      <c r="C2951" t="s">
        <v>130</v>
      </c>
      <c r="D2951">
        <v>2</v>
      </c>
      <c r="E2951">
        <v>144</v>
      </c>
      <c r="F2951">
        <v>48</v>
      </c>
      <c r="G2951">
        <v>288</v>
      </c>
      <c r="H2951" s="4">
        <v>96</v>
      </c>
      <c r="I2951" s="4">
        <v>192</v>
      </c>
      <c r="J2951" t="s">
        <v>844</v>
      </c>
      <c r="K2951" t="s">
        <v>33</v>
      </c>
      <c r="L2951" s="4">
        <v>11.816654396440285</v>
      </c>
      <c r="M2951" s="1" t="s">
        <v>38</v>
      </c>
      <c r="N2951" s="11">
        <f t="shared" si="46"/>
        <v>5</v>
      </c>
    </row>
    <row r="2952" spans="1:14" ht="16" x14ac:dyDescent="0.2">
      <c r="A2952" s="3">
        <v>43989.890631124472</v>
      </c>
      <c r="B2952" s="1" t="s">
        <v>3173</v>
      </c>
      <c r="C2952" t="s">
        <v>130</v>
      </c>
      <c r="D2952">
        <v>7</v>
      </c>
      <c r="E2952">
        <v>144</v>
      </c>
      <c r="F2952">
        <v>48</v>
      </c>
      <c r="G2952">
        <v>1008</v>
      </c>
      <c r="H2952" s="4">
        <v>336</v>
      </c>
      <c r="I2952" s="4">
        <v>672</v>
      </c>
      <c r="J2952" t="s">
        <v>681</v>
      </c>
      <c r="K2952" t="s">
        <v>86</v>
      </c>
      <c r="L2952" s="4">
        <v>8.1628930629234038</v>
      </c>
      <c r="M2952" s="1" t="s">
        <v>38</v>
      </c>
      <c r="N2952" s="11">
        <f t="shared" si="46"/>
        <v>5</v>
      </c>
    </row>
    <row r="2953" spans="1:14" ht="16" x14ac:dyDescent="0.2">
      <c r="A2953" s="3">
        <v>44152.789119732617</v>
      </c>
      <c r="B2953" s="1" t="s">
        <v>3174</v>
      </c>
      <c r="C2953" t="s">
        <v>301</v>
      </c>
      <c r="D2953">
        <v>16</v>
      </c>
      <c r="E2953">
        <v>188</v>
      </c>
      <c r="F2953">
        <v>94</v>
      </c>
      <c r="G2953">
        <v>3008</v>
      </c>
      <c r="H2953" s="4">
        <v>1504</v>
      </c>
      <c r="I2953" s="4">
        <v>1504</v>
      </c>
      <c r="J2953" t="s">
        <v>418</v>
      </c>
      <c r="K2953" t="s">
        <v>42</v>
      </c>
      <c r="L2953" s="4">
        <v>11.644564584314265</v>
      </c>
      <c r="M2953" s="1" t="s">
        <v>38</v>
      </c>
      <c r="N2953" s="11">
        <f t="shared" si="46"/>
        <v>5</v>
      </c>
    </row>
    <row r="2954" spans="1:14" ht="16" x14ac:dyDescent="0.2">
      <c r="A2954" s="3">
        <v>44067.647982706119</v>
      </c>
      <c r="B2954" s="1" t="s">
        <v>3175</v>
      </c>
      <c r="C2954" t="s">
        <v>425</v>
      </c>
      <c r="D2954">
        <v>15</v>
      </c>
      <c r="E2954">
        <v>352</v>
      </c>
      <c r="F2954">
        <v>88</v>
      </c>
      <c r="G2954">
        <v>5280</v>
      </c>
      <c r="H2954" s="4">
        <v>1320</v>
      </c>
      <c r="I2954" s="4">
        <v>3960</v>
      </c>
      <c r="J2954" t="s">
        <v>482</v>
      </c>
      <c r="K2954" t="s">
        <v>42</v>
      </c>
      <c r="L2954" s="4">
        <v>11.311040680082275</v>
      </c>
      <c r="M2954" s="1" t="s">
        <v>38</v>
      </c>
      <c r="N2954" s="11">
        <f t="shared" si="46"/>
        <v>5</v>
      </c>
    </row>
    <row r="2955" spans="1:14" ht="16" x14ac:dyDescent="0.2">
      <c r="A2955" s="3">
        <v>43976.734756286838</v>
      </c>
      <c r="B2955" s="1" t="s">
        <v>3176</v>
      </c>
      <c r="C2955" t="s">
        <v>88</v>
      </c>
      <c r="D2955">
        <v>15</v>
      </c>
      <c r="E2955">
        <v>210</v>
      </c>
      <c r="F2955">
        <v>70</v>
      </c>
      <c r="G2955">
        <v>3150</v>
      </c>
      <c r="H2955" s="4">
        <v>1050</v>
      </c>
      <c r="I2955" s="4">
        <v>2100</v>
      </c>
      <c r="J2955" t="s">
        <v>806</v>
      </c>
      <c r="K2955" t="s">
        <v>86</v>
      </c>
      <c r="L2955" s="4">
        <v>11.927799225928501</v>
      </c>
      <c r="M2955" s="1" t="s">
        <v>38</v>
      </c>
      <c r="N2955" s="11">
        <f t="shared" si="46"/>
        <v>5</v>
      </c>
    </row>
    <row r="2956" spans="1:14" ht="16" x14ac:dyDescent="0.2">
      <c r="A2956" s="3">
        <v>44385.560562711544</v>
      </c>
      <c r="B2956" s="1" t="s">
        <v>3003</v>
      </c>
      <c r="C2956" t="s">
        <v>340</v>
      </c>
      <c r="D2956">
        <v>8</v>
      </c>
      <c r="E2956">
        <v>180</v>
      </c>
      <c r="F2956">
        <v>45</v>
      </c>
      <c r="G2956">
        <v>1440</v>
      </c>
      <c r="H2956" s="4">
        <v>360</v>
      </c>
      <c r="I2956" s="4">
        <v>1080</v>
      </c>
      <c r="J2956" t="s">
        <v>752</v>
      </c>
      <c r="K2956" t="s">
        <v>49</v>
      </c>
      <c r="L2956" s="4">
        <v>11.862005526237752</v>
      </c>
      <c r="M2956" s="1" t="s">
        <v>34</v>
      </c>
      <c r="N2956" s="11">
        <f t="shared" si="46"/>
        <v>1</v>
      </c>
    </row>
    <row r="2957" spans="1:14" ht="16" x14ac:dyDescent="0.2">
      <c r="A2957" s="3">
        <v>44033.012085473521</v>
      </c>
      <c r="B2957" s="1" t="s">
        <v>3177</v>
      </c>
      <c r="C2957" t="s">
        <v>105</v>
      </c>
      <c r="D2957">
        <v>17</v>
      </c>
      <c r="E2957">
        <v>201</v>
      </c>
      <c r="F2957">
        <v>67</v>
      </c>
      <c r="G2957">
        <v>3417</v>
      </c>
      <c r="H2957" s="4">
        <v>1139</v>
      </c>
      <c r="I2957" s="4">
        <v>2278</v>
      </c>
      <c r="J2957" t="s">
        <v>1671</v>
      </c>
      <c r="K2957" t="s">
        <v>86</v>
      </c>
      <c r="L2957" s="4">
        <v>15.239568994601312</v>
      </c>
      <c r="M2957" s="1" t="s">
        <v>54</v>
      </c>
      <c r="N2957" s="11">
        <f t="shared" si="46"/>
        <v>10</v>
      </c>
    </row>
    <row r="2958" spans="1:14" ht="16" x14ac:dyDescent="0.2">
      <c r="A2958" s="3">
        <v>43402.918979515198</v>
      </c>
      <c r="B2958" s="1" t="s">
        <v>3178</v>
      </c>
      <c r="C2958" t="s">
        <v>592</v>
      </c>
      <c r="D2958">
        <v>1</v>
      </c>
      <c r="E2958">
        <v>312</v>
      </c>
      <c r="F2958">
        <v>78</v>
      </c>
      <c r="G2958">
        <v>312</v>
      </c>
      <c r="H2958" s="4">
        <v>78</v>
      </c>
      <c r="I2958" s="4">
        <v>234</v>
      </c>
      <c r="J2958" t="s">
        <v>413</v>
      </c>
      <c r="K2958" t="s">
        <v>64</v>
      </c>
      <c r="L2958" s="4">
        <v>12.682358648534777</v>
      </c>
      <c r="M2958" s="1" t="s">
        <v>38</v>
      </c>
      <c r="N2958" s="11">
        <f t="shared" si="46"/>
        <v>5</v>
      </c>
    </row>
    <row r="2959" spans="1:14" ht="16" x14ac:dyDescent="0.2">
      <c r="A2959" s="3">
        <v>43034.675336766595</v>
      </c>
      <c r="B2959" s="1" t="s">
        <v>3179</v>
      </c>
      <c r="C2959" t="s">
        <v>317</v>
      </c>
      <c r="D2959">
        <v>8</v>
      </c>
      <c r="E2959">
        <v>352</v>
      </c>
      <c r="F2959">
        <v>88</v>
      </c>
      <c r="G2959">
        <v>2816</v>
      </c>
      <c r="H2959" s="4">
        <v>704</v>
      </c>
      <c r="I2959" s="4">
        <v>2112</v>
      </c>
      <c r="J2959" t="s">
        <v>411</v>
      </c>
      <c r="K2959" t="s">
        <v>64</v>
      </c>
      <c r="L2959" s="4">
        <v>13.115597690631557</v>
      </c>
      <c r="M2959" s="1" t="s">
        <v>34</v>
      </c>
      <c r="N2959" s="11">
        <f t="shared" si="46"/>
        <v>1</v>
      </c>
    </row>
    <row r="2960" spans="1:14" ht="16" x14ac:dyDescent="0.2">
      <c r="A2960" s="3">
        <v>44063.302999442967</v>
      </c>
      <c r="B2960" s="1" t="s">
        <v>3180</v>
      </c>
      <c r="C2960" t="s">
        <v>175</v>
      </c>
      <c r="D2960">
        <v>5</v>
      </c>
      <c r="E2960">
        <v>38</v>
      </c>
      <c r="F2960">
        <v>19</v>
      </c>
      <c r="G2960">
        <v>190</v>
      </c>
      <c r="H2960" s="4">
        <v>95</v>
      </c>
      <c r="I2960" s="4">
        <v>95</v>
      </c>
      <c r="J2960" t="s">
        <v>397</v>
      </c>
      <c r="K2960" t="s">
        <v>49</v>
      </c>
      <c r="L2960" s="4">
        <v>9.4239783062860578</v>
      </c>
      <c r="M2960" s="1" t="s">
        <v>34</v>
      </c>
      <c r="N2960" s="11">
        <f t="shared" si="46"/>
        <v>1</v>
      </c>
    </row>
    <row r="2961" spans="1:14" ht="16" x14ac:dyDescent="0.2">
      <c r="A2961" s="3">
        <v>44026.500146464161</v>
      </c>
      <c r="B2961" s="1" t="s">
        <v>3181</v>
      </c>
      <c r="C2961" t="s">
        <v>151</v>
      </c>
      <c r="D2961">
        <v>13</v>
      </c>
      <c r="E2961">
        <v>153</v>
      </c>
      <c r="F2961">
        <v>51</v>
      </c>
      <c r="G2961">
        <v>1989</v>
      </c>
      <c r="H2961" s="4">
        <v>663</v>
      </c>
      <c r="I2961" s="4">
        <v>1326</v>
      </c>
      <c r="J2961" t="s">
        <v>191</v>
      </c>
      <c r="K2961" t="s">
        <v>42</v>
      </c>
      <c r="L2961" s="4">
        <v>10.523527521613014</v>
      </c>
      <c r="M2961" s="1" t="s">
        <v>34</v>
      </c>
      <c r="N2961" s="11">
        <f t="shared" si="46"/>
        <v>1</v>
      </c>
    </row>
    <row r="2962" spans="1:14" ht="16" x14ac:dyDescent="0.2">
      <c r="A2962" s="3">
        <v>43293.510674317266</v>
      </c>
      <c r="B2962" s="1" t="s">
        <v>3182</v>
      </c>
      <c r="C2962" t="s">
        <v>215</v>
      </c>
      <c r="D2962">
        <v>15</v>
      </c>
      <c r="E2962">
        <v>176</v>
      </c>
      <c r="F2962">
        <v>88</v>
      </c>
      <c r="G2962">
        <v>2640</v>
      </c>
      <c r="H2962" s="4">
        <v>1320</v>
      </c>
      <c r="I2962" s="4">
        <v>1320</v>
      </c>
      <c r="J2962" t="s">
        <v>264</v>
      </c>
      <c r="K2962" t="s">
        <v>42</v>
      </c>
      <c r="L2962" s="4">
        <v>12.514998090845811</v>
      </c>
      <c r="M2962" s="1" t="s">
        <v>38</v>
      </c>
      <c r="N2962" s="11">
        <f t="shared" si="46"/>
        <v>5</v>
      </c>
    </row>
    <row r="2963" spans="1:14" ht="16" x14ac:dyDescent="0.2">
      <c r="A2963" s="3">
        <v>44053.346684451855</v>
      </c>
      <c r="B2963" s="1" t="s">
        <v>3183</v>
      </c>
      <c r="C2963" t="s">
        <v>36</v>
      </c>
      <c r="D2963">
        <v>6</v>
      </c>
      <c r="E2963">
        <v>102</v>
      </c>
      <c r="F2963">
        <v>51</v>
      </c>
      <c r="G2963">
        <v>612</v>
      </c>
      <c r="H2963" s="4">
        <v>306</v>
      </c>
      <c r="I2963" s="4">
        <v>306</v>
      </c>
      <c r="J2963" t="s">
        <v>681</v>
      </c>
      <c r="K2963" t="s">
        <v>86</v>
      </c>
      <c r="L2963" s="4">
        <v>8.1628930629234038</v>
      </c>
      <c r="M2963" s="1" t="s">
        <v>38</v>
      </c>
      <c r="N2963" s="11">
        <f t="shared" si="46"/>
        <v>5</v>
      </c>
    </row>
    <row r="2964" spans="1:14" ht="16" x14ac:dyDescent="0.2">
      <c r="A2964" s="3">
        <v>43890.087007192153</v>
      </c>
      <c r="B2964" s="1" t="s">
        <v>3184</v>
      </c>
      <c r="C2964" t="s">
        <v>212</v>
      </c>
      <c r="D2964">
        <v>10</v>
      </c>
      <c r="E2964">
        <v>300</v>
      </c>
      <c r="F2964">
        <v>75</v>
      </c>
      <c r="G2964">
        <v>3000</v>
      </c>
      <c r="H2964" s="4">
        <v>750</v>
      </c>
      <c r="I2964" s="4">
        <v>2250</v>
      </c>
      <c r="J2964" t="s">
        <v>776</v>
      </c>
      <c r="K2964" t="s">
        <v>86</v>
      </c>
      <c r="L2964" s="4">
        <v>13.611804647345796</v>
      </c>
      <c r="M2964" s="1" t="s">
        <v>38</v>
      </c>
      <c r="N2964" s="11">
        <f t="shared" si="46"/>
        <v>5</v>
      </c>
    </row>
    <row r="2965" spans="1:14" ht="16" x14ac:dyDescent="0.2">
      <c r="A2965" s="3">
        <v>44278.837338563935</v>
      </c>
      <c r="B2965" s="1" t="s">
        <v>3185</v>
      </c>
      <c r="C2965" t="s">
        <v>431</v>
      </c>
      <c r="D2965">
        <v>19</v>
      </c>
      <c r="E2965">
        <v>356</v>
      </c>
      <c r="F2965">
        <v>89</v>
      </c>
      <c r="G2965">
        <v>6764</v>
      </c>
      <c r="H2965" s="4">
        <v>1691</v>
      </c>
      <c r="I2965" s="4">
        <v>5073</v>
      </c>
      <c r="J2965" t="s">
        <v>681</v>
      </c>
      <c r="K2965" t="s">
        <v>86</v>
      </c>
      <c r="L2965" s="4">
        <v>8.1628930629234038</v>
      </c>
      <c r="M2965" s="1" t="s">
        <v>54</v>
      </c>
      <c r="N2965" s="11">
        <f t="shared" si="46"/>
        <v>10</v>
      </c>
    </row>
    <row r="2966" spans="1:14" ht="16" x14ac:dyDescent="0.2">
      <c r="A2966" s="3">
        <v>45015.714126089813</v>
      </c>
      <c r="B2966" s="1" t="s">
        <v>3186</v>
      </c>
      <c r="C2966" t="s">
        <v>51</v>
      </c>
      <c r="D2966">
        <v>19</v>
      </c>
      <c r="E2966">
        <v>160</v>
      </c>
      <c r="F2966">
        <v>80</v>
      </c>
      <c r="G2966">
        <v>3040</v>
      </c>
      <c r="H2966" s="4">
        <v>1520</v>
      </c>
      <c r="I2966" s="4">
        <v>1520</v>
      </c>
      <c r="J2966" t="s">
        <v>1259</v>
      </c>
      <c r="K2966" t="s">
        <v>64</v>
      </c>
      <c r="L2966" s="4">
        <v>10.01033276255276</v>
      </c>
      <c r="M2966" s="1" t="s">
        <v>38</v>
      </c>
      <c r="N2966" s="11">
        <f t="shared" si="46"/>
        <v>5</v>
      </c>
    </row>
    <row r="2967" spans="1:14" ht="16" x14ac:dyDescent="0.2">
      <c r="A2967" s="3">
        <v>43027.023107141358</v>
      </c>
      <c r="B2967" s="1" t="s">
        <v>3187</v>
      </c>
      <c r="C2967" t="s">
        <v>544</v>
      </c>
      <c r="D2967">
        <v>16</v>
      </c>
      <c r="E2967">
        <v>267</v>
      </c>
      <c r="F2967">
        <v>89</v>
      </c>
      <c r="G2967">
        <v>4272</v>
      </c>
      <c r="H2967" s="4">
        <v>1424</v>
      </c>
      <c r="I2967" s="4">
        <v>2848</v>
      </c>
      <c r="J2967" t="s">
        <v>315</v>
      </c>
      <c r="K2967" t="s">
        <v>42</v>
      </c>
      <c r="L2967" s="4">
        <v>10.966283117837653</v>
      </c>
      <c r="M2967" s="1" t="s">
        <v>38</v>
      </c>
      <c r="N2967" s="11">
        <f t="shared" si="46"/>
        <v>5</v>
      </c>
    </row>
    <row r="2968" spans="1:14" ht="16" x14ac:dyDescent="0.2">
      <c r="A2968" s="3">
        <v>43607.132114018968</v>
      </c>
      <c r="B2968" s="1" t="s">
        <v>3188</v>
      </c>
      <c r="C2968" t="s">
        <v>193</v>
      </c>
      <c r="D2968">
        <v>14</v>
      </c>
      <c r="E2968">
        <v>348</v>
      </c>
      <c r="F2968">
        <v>87</v>
      </c>
      <c r="G2968">
        <v>4872</v>
      </c>
      <c r="H2968" s="4">
        <v>1218</v>
      </c>
      <c r="I2968" s="4">
        <v>3654</v>
      </c>
      <c r="J2968" t="s">
        <v>542</v>
      </c>
      <c r="K2968" t="s">
        <v>58</v>
      </c>
      <c r="L2968" s="4">
        <v>13.929237493388955</v>
      </c>
      <c r="M2968" s="1" t="s">
        <v>38</v>
      </c>
      <c r="N2968" s="11">
        <f t="shared" si="46"/>
        <v>5</v>
      </c>
    </row>
    <row r="2969" spans="1:14" ht="16" x14ac:dyDescent="0.2">
      <c r="A2969" s="3">
        <v>44425.938933967649</v>
      </c>
      <c r="B2969" s="1" t="s">
        <v>3189</v>
      </c>
      <c r="C2969" t="s">
        <v>328</v>
      </c>
      <c r="D2969">
        <v>15</v>
      </c>
      <c r="E2969">
        <v>124</v>
      </c>
      <c r="F2969">
        <v>62</v>
      </c>
      <c r="G2969">
        <v>1860</v>
      </c>
      <c r="H2969" s="4">
        <v>930</v>
      </c>
      <c r="I2969" s="4">
        <v>930</v>
      </c>
      <c r="J2969" t="s">
        <v>363</v>
      </c>
      <c r="K2969" t="s">
        <v>64</v>
      </c>
      <c r="L2969" s="4">
        <v>14.690198582365463</v>
      </c>
      <c r="M2969" s="1" t="s">
        <v>34</v>
      </c>
      <c r="N2969" s="11">
        <f t="shared" si="46"/>
        <v>1</v>
      </c>
    </row>
    <row r="2970" spans="1:14" ht="16" x14ac:dyDescent="0.2">
      <c r="A2970" s="3">
        <v>43857.828752523295</v>
      </c>
      <c r="B2970" s="1" t="s">
        <v>698</v>
      </c>
      <c r="C2970" t="s">
        <v>328</v>
      </c>
      <c r="D2970">
        <v>5</v>
      </c>
      <c r="E2970">
        <v>124</v>
      </c>
      <c r="F2970">
        <v>62</v>
      </c>
      <c r="G2970">
        <v>620</v>
      </c>
      <c r="H2970" s="4">
        <v>310</v>
      </c>
      <c r="I2970" s="4">
        <v>310</v>
      </c>
      <c r="J2970" t="s">
        <v>587</v>
      </c>
      <c r="K2970" t="s">
        <v>49</v>
      </c>
      <c r="L2970" s="4">
        <v>14.760829371220243</v>
      </c>
      <c r="M2970" s="1" t="s">
        <v>38</v>
      </c>
      <c r="N2970" s="11">
        <f t="shared" si="46"/>
        <v>5</v>
      </c>
    </row>
    <row r="2971" spans="1:14" ht="16" x14ac:dyDescent="0.2">
      <c r="A2971" s="3">
        <v>43680.855388894044</v>
      </c>
      <c r="B2971" s="1" t="s">
        <v>3190</v>
      </c>
      <c r="C2971" t="s">
        <v>394</v>
      </c>
      <c r="D2971">
        <v>2</v>
      </c>
      <c r="E2971">
        <v>58</v>
      </c>
      <c r="F2971">
        <v>29</v>
      </c>
      <c r="G2971">
        <v>116</v>
      </c>
      <c r="H2971" s="4">
        <v>58</v>
      </c>
      <c r="I2971" s="4">
        <v>58</v>
      </c>
      <c r="J2971" t="s">
        <v>111</v>
      </c>
      <c r="K2971" t="s">
        <v>53</v>
      </c>
      <c r="L2971" s="4">
        <v>13.407340878370247</v>
      </c>
      <c r="M2971" s="1" t="s">
        <v>38</v>
      </c>
      <c r="N2971" s="11">
        <f t="shared" si="46"/>
        <v>5</v>
      </c>
    </row>
    <row r="2972" spans="1:14" ht="16" x14ac:dyDescent="0.2">
      <c r="A2972" s="3">
        <v>43661.846397740781</v>
      </c>
      <c r="B2972" s="1" t="s">
        <v>3191</v>
      </c>
      <c r="C2972" t="s">
        <v>145</v>
      </c>
      <c r="D2972">
        <v>18</v>
      </c>
      <c r="E2972">
        <v>207</v>
      </c>
      <c r="F2972">
        <v>69</v>
      </c>
      <c r="G2972">
        <v>3726</v>
      </c>
      <c r="H2972" s="4">
        <v>1242</v>
      </c>
      <c r="I2972" s="4">
        <v>2484</v>
      </c>
      <c r="J2972" t="s">
        <v>413</v>
      </c>
      <c r="K2972" t="s">
        <v>64</v>
      </c>
      <c r="L2972" s="4">
        <v>12.682358648534777</v>
      </c>
      <c r="M2972" s="1" t="s">
        <v>34</v>
      </c>
      <c r="N2972" s="11">
        <f t="shared" si="46"/>
        <v>1</v>
      </c>
    </row>
    <row r="2973" spans="1:14" ht="16" x14ac:dyDescent="0.2">
      <c r="A2973" s="3">
        <v>43536.398815372297</v>
      </c>
      <c r="B2973" s="1" t="s">
        <v>3192</v>
      </c>
      <c r="C2973" t="s">
        <v>88</v>
      </c>
      <c r="D2973">
        <v>19</v>
      </c>
      <c r="E2973">
        <v>210</v>
      </c>
      <c r="F2973">
        <v>70</v>
      </c>
      <c r="G2973">
        <v>3990</v>
      </c>
      <c r="H2973" s="4">
        <v>1330</v>
      </c>
      <c r="I2973" s="4">
        <v>2660</v>
      </c>
      <c r="J2973" t="s">
        <v>191</v>
      </c>
      <c r="K2973" t="s">
        <v>42</v>
      </c>
      <c r="L2973" s="4">
        <v>10.523527521613014</v>
      </c>
      <c r="M2973" s="1" t="s">
        <v>34</v>
      </c>
      <c r="N2973" s="11">
        <f t="shared" si="46"/>
        <v>1</v>
      </c>
    </row>
    <row r="2974" spans="1:14" ht="16" x14ac:dyDescent="0.2">
      <c r="A2974" s="3">
        <v>43241.612871396421</v>
      </c>
      <c r="B2974" s="1" t="s">
        <v>3193</v>
      </c>
      <c r="C2974" t="s">
        <v>193</v>
      </c>
      <c r="D2974">
        <v>16</v>
      </c>
      <c r="E2974">
        <v>348</v>
      </c>
      <c r="F2974">
        <v>87</v>
      </c>
      <c r="G2974">
        <v>5568</v>
      </c>
      <c r="H2974" s="4">
        <v>1392</v>
      </c>
      <c r="I2974" s="4">
        <v>4176</v>
      </c>
      <c r="J2974" t="s">
        <v>143</v>
      </c>
      <c r="K2974" t="s">
        <v>64</v>
      </c>
      <c r="L2974" s="4">
        <v>11.406233913305266</v>
      </c>
      <c r="M2974" s="1" t="s">
        <v>34</v>
      </c>
      <c r="N2974" s="11">
        <f t="shared" si="46"/>
        <v>1</v>
      </c>
    </row>
    <row r="2975" spans="1:14" ht="16" x14ac:dyDescent="0.2">
      <c r="A2975" s="3">
        <v>43385.2059266004</v>
      </c>
      <c r="B2975" s="1" t="s">
        <v>3194</v>
      </c>
      <c r="C2975" t="s">
        <v>44</v>
      </c>
      <c r="D2975">
        <v>6</v>
      </c>
      <c r="E2975">
        <v>114</v>
      </c>
      <c r="F2975">
        <v>57</v>
      </c>
      <c r="G2975">
        <v>684</v>
      </c>
      <c r="H2975" s="4">
        <v>342</v>
      </c>
      <c r="I2975" s="4">
        <v>342</v>
      </c>
      <c r="J2975" t="s">
        <v>1560</v>
      </c>
      <c r="K2975" t="s">
        <v>86</v>
      </c>
      <c r="L2975" s="4">
        <v>14.412865837260112</v>
      </c>
      <c r="M2975" s="1" t="s">
        <v>34</v>
      </c>
      <c r="N2975" s="11">
        <f t="shared" si="46"/>
        <v>1</v>
      </c>
    </row>
    <row r="2976" spans="1:14" ht="16" x14ac:dyDescent="0.2">
      <c r="A2976" s="3">
        <v>43992.177115818355</v>
      </c>
      <c r="B2976" s="1" t="s">
        <v>3195</v>
      </c>
      <c r="C2976" t="s">
        <v>248</v>
      </c>
      <c r="D2976">
        <v>8</v>
      </c>
      <c r="E2976">
        <v>132</v>
      </c>
      <c r="F2976">
        <v>44</v>
      </c>
      <c r="G2976">
        <v>1056</v>
      </c>
      <c r="H2976" s="4">
        <v>352</v>
      </c>
      <c r="I2976" s="4">
        <v>704</v>
      </c>
      <c r="J2976" t="s">
        <v>232</v>
      </c>
      <c r="K2976" t="s">
        <v>86</v>
      </c>
      <c r="L2976" s="4">
        <v>11.346510807401776</v>
      </c>
      <c r="M2976" s="1" t="s">
        <v>38</v>
      </c>
      <c r="N2976" s="11">
        <f t="shared" si="46"/>
        <v>5</v>
      </c>
    </row>
    <row r="2977" spans="1:14" ht="16" x14ac:dyDescent="0.2">
      <c r="A2977" s="3">
        <v>43734.689224547074</v>
      </c>
      <c r="B2977" s="1" t="s">
        <v>3196</v>
      </c>
      <c r="C2977" t="s">
        <v>201</v>
      </c>
      <c r="D2977">
        <v>3</v>
      </c>
      <c r="E2977">
        <v>30</v>
      </c>
      <c r="F2977">
        <v>15</v>
      </c>
      <c r="G2977">
        <v>90</v>
      </c>
      <c r="H2977" s="4">
        <v>45</v>
      </c>
      <c r="I2977" s="4">
        <v>45</v>
      </c>
      <c r="J2977" t="s">
        <v>143</v>
      </c>
      <c r="K2977" t="s">
        <v>64</v>
      </c>
      <c r="L2977" s="4">
        <v>11.406233913305266</v>
      </c>
      <c r="M2977" s="1" t="s">
        <v>38</v>
      </c>
      <c r="N2977" s="11">
        <f t="shared" si="46"/>
        <v>5</v>
      </c>
    </row>
    <row r="2978" spans="1:14" ht="16" x14ac:dyDescent="0.2">
      <c r="A2978" s="3">
        <v>44139.001526107721</v>
      </c>
      <c r="B2978" s="1" t="s">
        <v>3197</v>
      </c>
      <c r="C2978" t="s">
        <v>163</v>
      </c>
      <c r="D2978">
        <v>6</v>
      </c>
      <c r="E2978">
        <v>108</v>
      </c>
      <c r="F2978">
        <v>36</v>
      </c>
      <c r="G2978">
        <v>648</v>
      </c>
      <c r="H2978" s="4">
        <v>216</v>
      </c>
      <c r="I2978" s="4">
        <v>432</v>
      </c>
      <c r="J2978" t="s">
        <v>542</v>
      </c>
      <c r="K2978" t="s">
        <v>58</v>
      </c>
      <c r="L2978" s="4">
        <v>13.929237493388955</v>
      </c>
      <c r="M2978" s="1" t="s">
        <v>38</v>
      </c>
      <c r="N2978" s="11">
        <f t="shared" si="46"/>
        <v>5</v>
      </c>
    </row>
    <row r="2979" spans="1:14" ht="16" x14ac:dyDescent="0.2">
      <c r="A2979" s="3">
        <v>43068.791366409307</v>
      </c>
      <c r="B2979" s="1" t="s">
        <v>3198</v>
      </c>
      <c r="C2979" t="s">
        <v>148</v>
      </c>
      <c r="D2979">
        <v>13</v>
      </c>
      <c r="E2979">
        <v>144</v>
      </c>
      <c r="F2979">
        <v>36</v>
      </c>
      <c r="G2979">
        <v>1872</v>
      </c>
      <c r="H2979" s="4">
        <v>468</v>
      </c>
      <c r="I2979" s="4">
        <v>1404</v>
      </c>
      <c r="J2979" t="s">
        <v>819</v>
      </c>
      <c r="K2979" t="s">
        <v>86</v>
      </c>
      <c r="L2979" s="4">
        <v>12.155895475340943</v>
      </c>
      <c r="M2979" s="1" t="s">
        <v>38</v>
      </c>
      <c r="N2979" s="11">
        <f t="shared" si="46"/>
        <v>5</v>
      </c>
    </row>
    <row r="2980" spans="1:14" ht="16" x14ac:dyDescent="0.2">
      <c r="A2980" s="3">
        <v>43937.409589854185</v>
      </c>
      <c r="B2980" s="1" t="s">
        <v>3199</v>
      </c>
      <c r="C2980" t="s">
        <v>391</v>
      </c>
      <c r="D2980">
        <v>13</v>
      </c>
      <c r="E2980">
        <v>72</v>
      </c>
      <c r="F2980">
        <v>36</v>
      </c>
      <c r="G2980">
        <v>936</v>
      </c>
      <c r="H2980" s="4">
        <v>468</v>
      </c>
      <c r="I2980" s="4">
        <v>468</v>
      </c>
      <c r="J2980" t="s">
        <v>418</v>
      </c>
      <c r="K2980" t="s">
        <v>42</v>
      </c>
      <c r="L2980" s="4">
        <v>11.644564584314265</v>
      </c>
      <c r="M2980" s="1" t="s">
        <v>38</v>
      </c>
      <c r="N2980" s="11">
        <f t="shared" si="46"/>
        <v>5</v>
      </c>
    </row>
    <row r="2981" spans="1:14" ht="16" x14ac:dyDescent="0.2">
      <c r="A2981" s="3">
        <v>42760.795480716042</v>
      </c>
      <c r="B2981" s="1" t="s">
        <v>3200</v>
      </c>
      <c r="C2981" t="s">
        <v>299</v>
      </c>
      <c r="D2981">
        <v>6</v>
      </c>
      <c r="E2981">
        <v>225</v>
      </c>
      <c r="F2981">
        <v>75</v>
      </c>
      <c r="G2981">
        <v>1350</v>
      </c>
      <c r="H2981" s="4">
        <v>450</v>
      </c>
      <c r="I2981" s="4">
        <v>900</v>
      </c>
      <c r="J2981" t="s">
        <v>123</v>
      </c>
      <c r="K2981" t="s">
        <v>53</v>
      </c>
      <c r="L2981" s="4">
        <v>10.42743035829395</v>
      </c>
      <c r="M2981" s="1" t="s">
        <v>54</v>
      </c>
      <c r="N2981" s="11">
        <f t="shared" si="46"/>
        <v>10</v>
      </c>
    </row>
    <row r="2982" spans="1:14" ht="16" x14ac:dyDescent="0.2">
      <c r="A2982" s="3">
        <v>44683.584163979031</v>
      </c>
      <c r="B2982" s="1" t="s">
        <v>3201</v>
      </c>
      <c r="C2982" t="s">
        <v>175</v>
      </c>
      <c r="D2982">
        <v>10</v>
      </c>
      <c r="E2982">
        <v>38</v>
      </c>
      <c r="F2982">
        <v>19</v>
      </c>
      <c r="G2982">
        <v>380</v>
      </c>
      <c r="H2982" s="4">
        <v>190</v>
      </c>
      <c r="I2982" s="4">
        <v>190</v>
      </c>
      <c r="J2982" t="s">
        <v>890</v>
      </c>
      <c r="K2982" t="s">
        <v>86</v>
      </c>
      <c r="L2982" s="4">
        <v>15.856807810268592</v>
      </c>
      <c r="M2982" s="1" t="s">
        <v>38</v>
      </c>
      <c r="N2982" s="11">
        <f t="shared" si="46"/>
        <v>5</v>
      </c>
    </row>
    <row r="2983" spans="1:14" ht="16" x14ac:dyDescent="0.2">
      <c r="A2983" s="3">
        <v>43732.70036259554</v>
      </c>
      <c r="B2983" s="1" t="s">
        <v>3202</v>
      </c>
      <c r="C2983" t="s">
        <v>297</v>
      </c>
      <c r="D2983">
        <v>18</v>
      </c>
      <c r="E2983">
        <v>108</v>
      </c>
      <c r="F2983">
        <v>36</v>
      </c>
      <c r="G2983">
        <v>1944</v>
      </c>
      <c r="H2983" s="4">
        <v>648</v>
      </c>
      <c r="I2983" s="4">
        <v>1296</v>
      </c>
      <c r="J2983" t="s">
        <v>387</v>
      </c>
      <c r="K2983" t="s">
        <v>86</v>
      </c>
      <c r="L2983" s="4">
        <v>15.60430546146185</v>
      </c>
      <c r="M2983" s="1" t="s">
        <v>34</v>
      </c>
      <c r="N2983" s="11">
        <f t="shared" si="46"/>
        <v>1</v>
      </c>
    </row>
    <row r="2984" spans="1:14" ht="16" x14ac:dyDescent="0.2">
      <c r="A2984" s="3">
        <v>44179.64948016523</v>
      </c>
      <c r="B2984" s="1" t="s">
        <v>3203</v>
      </c>
      <c r="C2984" t="s">
        <v>317</v>
      </c>
      <c r="D2984">
        <v>7</v>
      </c>
      <c r="E2984">
        <v>352</v>
      </c>
      <c r="F2984">
        <v>88</v>
      </c>
      <c r="G2984">
        <v>2464</v>
      </c>
      <c r="H2984" s="4">
        <v>616</v>
      </c>
      <c r="I2984" s="4">
        <v>1848</v>
      </c>
      <c r="J2984" t="s">
        <v>1065</v>
      </c>
      <c r="K2984" t="s">
        <v>53</v>
      </c>
      <c r="L2984" s="4">
        <v>13.00553764131261</v>
      </c>
      <c r="M2984" s="1" t="s">
        <v>38</v>
      </c>
      <c r="N2984" s="11">
        <f t="shared" si="46"/>
        <v>5</v>
      </c>
    </row>
    <row r="2985" spans="1:14" ht="16" x14ac:dyDescent="0.2">
      <c r="A2985" s="3">
        <v>44194.862842227303</v>
      </c>
      <c r="B2985" s="1" t="s">
        <v>644</v>
      </c>
      <c r="C2985" t="s">
        <v>788</v>
      </c>
      <c r="D2985">
        <v>10</v>
      </c>
      <c r="E2985">
        <v>100</v>
      </c>
      <c r="F2985">
        <v>25</v>
      </c>
      <c r="G2985">
        <v>1000</v>
      </c>
      <c r="H2985" s="4">
        <v>250</v>
      </c>
      <c r="I2985" s="4">
        <v>750</v>
      </c>
      <c r="J2985" t="s">
        <v>488</v>
      </c>
      <c r="K2985" t="s">
        <v>64</v>
      </c>
      <c r="L2985" s="4">
        <v>9.458617986208397</v>
      </c>
      <c r="M2985" s="1" t="s">
        <v>38</v>
      </c>
      <c r="N2985" s="11">
        <f t="shared" si="46"/>
        <v>5</v>
      </c>
    </row>
    <row r="2986" spans="1:14" ht="16" x14ac:dyDescent="0.2">
      <c r="A2986" s="3">
        <v>44100.390433913795</v>
      </c>
      <c r="B2986" s="1" t="s">
        <v>3204</v>
      </c>
      <c r="C2986" t="s">
        <v>261</v>
      </c>
      <c r="D2986">
        <v>12</v>
      </c>
      <c r="E2986">
        <v>92</v>
      </c>
      <c r="F2986">
        <v>46</v>
      </c>
      <c r="G2986">
        <v>1104</v>
      </c>
      <c r="H2986" s="4">
        <v>552</v>
      </c>
      <c r="I2986" s="4">
        <v>552</v>
      </c>
      <c r="J2986" t="s">
        <v>270</v>
      </c>
      <c r="K2986" t="s">
        <v>42</v>
      </c>
      <c r="L2986" s="4">
        <v>12.661538237835474</v>
      </c>
      <c r="M2986" s="1" t="s">
        <v>34</v>
      </c>
      <c r="N2986" s="11">
        <f t="shared" si="46"/>
        <v>1</v>
      </c>
    </row>
    <row r="2987" spans="1:14" ht="16" x14ac:dyDescent="0.2">
      <c r="A2987" s="3">
        <v>43861.203742158301</v>
      </c>
      <c r="B2987" s="1" t="s">
        <v>3205</v>
      </c>
      <c r="C2987" t="s">
        <v>257</v>
      </c>
      <c r="D2987">
        <v>16</v>
      </c>
      <c r="E2987">
        <v>160</v>
      </c>
      <c r="F2987">
        <v>80</v>
      </c>
      <c r="G2987">
        <v>2560</v>
      </c>
      <c r="H2987" s="4">
        <v>1280</v>
      </c>
      <c r="I2987" s="4">
        <v>1280</v>
      </c>
      <c r="J2987" t="s">
        <v>713</v>
      </c>
      <c r="K2987" t="s">
        <v>42</v>
      </c>
      <c r="L2987" s="4">
        <v>10.956589836772277</v>
      </c>
      <c r="M2987" s="1" t="s">
        <v>38</v>
      </c>
      <c r="N2987" s="11">
        <f t="shared" si="46"/>
        <v>5</v>
      </c>
    </row>
    <row r="2988" spans="1:14" ht="16" x14ac:dyDescent="0.2">
      <c r="A2988" s="3">
        <v>42994.284698480566</v>
      </c>
      <c r="B2988" s="1" t="s">
        <v>3206</v>
      </c>
      <c r="C2988" t="s">
        <v>125</v>
      </c>
      <c r="D2988">
        <v>17</v>
      </c>
      <c r="E2988">
        <v>176</v>
      </c>
      <c r="F2988">
        <v>88</v>
      </c>
      <c r="G2988">
        <v>2992</v>
      </c>
      <c r="H2988" s="4">
        <v>1496</v>
      </c>
      <c r="I2988" s="4">
        <v>1496</v>
      </c>
      <c r="J2988" t="s">
        <v>213</v>
      </c>
      <c r="K2988" t="s">
        <v>58</v>
      </c>
      <c r="L2988" s="4">
        <v>10.980884286450312</v>
      </c>
      <c r="M2988" s="1" t="s">
        <v>38</v>
      </c>
      <c r="N2988" s="11">
        <f t="shared" si="46"/>
        <v>5</v>
      </c>
    </row>
    <row r="2989" spans="1:14" ht="16" x14ac:dyDescent="0.2">
      <c r="A2989" s="3">
        <v>44222.774309638568</v>
      </c>
      <c r="B2989" s="1" t="s">
        <v>3207</v>
      </c>
      <c r="C2989" t="s">
        <v>151</v>
      </c>
      <c r="D2989">
        <v>8</v>
      </c>
      <c r="E2989">
        <v>153</v>
      </c>
      <c r="F2989">
        <v>51</v>
      </c>
      <c r="G2989">
        <v>1224</v>
      </c>
      <c r="H2989" s="4">
        <v>408</v>
      </c>
      <c r="I2989" s="4">
        <v>816</v>
      </c>
      <c r="J2989" t="s">
        <v>361</v>
      </c>
      <c r="K2989" t="s">
        <v>64</v>
      </c>
      <c r="L2989" s="4">
        <v>13.092530646074781</v>
      </c>
      <c r="M2989" s="1" t="s">
        <v>38</v>
      </c>
      <c r="N2989" s="11">
        <f t="shared" si="46"/>
        <v>5</v>
      </c>
    </row>
    <row r="2990" spans="1:14" ht="16" x14ac:dyDescent="0.2">
      <c r="A2990" s="3">
        <v>44926.501320047049</v>
      </c>
      <c r="B2990" s="1" t="s">
        <v>3208</v>
      </c>
      <c r="C2990" t="s">
        <v>93</v>
      </c>
      <c r="D2990">
        <v>12</v>
      </c>
      <c r="E2990">
        <v>204</v>
      </c>
      <c r="F2990">
        <v>51</v>
      </c>
      <c r="G2990">
        <v>2448</v>
      </c>
      <c r="H2990" s="4">
        <v>612</v>
      </c>
      <c r="I2990" s="4">
        <v>1836</v>
      </c>
      <c r="J2990" t="s">
        <v>767</v>
      </c>
      <c r="K2990" t="s">
        <v>42</v>
      </c>
      <c r="L2990" s="4">
        <v>11.289144410898391</v>
      </c>
      <c r="M2990" s="1" t="s">
        <v>38</v>
      </c>
      <c r="N2990" s="11">
        <f t="shared" si="46"/>
        <v>5</v>
      </c>
    </row>
    <row r="2991" spans="1:14" ht="16" x14ac:dyDescent="0.2">
      <c r="A2991" s="3">
        <v>43468.504018278996</v>
      </c>
      <c r="B2991" s="1" t="s">
        <v>3209</v>
      </c>
      <c r="C2991" t="s">
        <v>410</v>
      </c>
      <c r="D2991">
        <v>7</v>
      </c>
      <c r="E2991">
        <v>84</v>
      </c>
      <c r="F2991">
        <v>21</v>
      </c>
      <c r="G2991">
        <v>588</v>
      </c>
      <c r="H2991" s="4">
        <v>147</v>
      </c>
      <c r="I2991" s="4">
        <v>441</v>
      </c>
      <c r="J2991" t="s">
        <v>277</v>
      </c>
      <c r="K2991" t="s">
        <v>58</v>
      </c>
      <c r="L2991" s="4">
        <v>11.883396013219548</v>
      </c>
      <c r="M2991" s="1" t="s">
        <v>34</v>
      </c>
      <c r="N2991" s="11">
        <f t="shared" si="46"/>
        <v>1</v>
      </c>
    </row>
    <row r="2992" spans="1:14" ht="16" x14ac:dyDescent="0.2">
      <c r="A2992" s="3">
        <v>44141.532145822872</v>
      </c>
      <c r="B2992" s="1" t="s">
        <v>3210</v>
      </c>
      <c r="C2992" t="s">
        <v>473</v>
      </c>
      <c r="D2992">
        <v>1</v>
      </c>
      <c r="E2992">
        <v>72</v>
      </c>
      <c r="F2992">
        <v>36</v>
      </c>
      <c r="G2992">
        <v>72</v>
      </c>
      <c r="H2992" s="4">
        <v>36</v>
      </c>
      <c r="I2992" s="4">
        <v>36</v>
      </c>
      <c r="J2992" t="s">
        <v>811</v>
      </c>
      <c r="K2992" t="s">
        <v>58</v>
      </c>
      <c r="L2992" s="4">
        <v>14.308257477047373</v>
      </c>
      <c r="M2992" s="1" t="s">
        <v>38</v>
      </c>
      <c r="N2992" s="11">
        <f t="shared" si="46"/>
        <v>5</v>
      </c>
    </row>
    <row r="2993" spans="1:14" ht="16" x14ac:dyDescent="0.2">
      <c r="A2993" s="3">
        <v>43490.153450827056</v>
      </c>
      <c r="B2993" s="1" t="s">
        <v>1201</v>
      </c>
      <c r="C2993" t="s">
        <v>370</v>
      </c>
      <c r="D2993">
        <v>20</v>
      </c>
      <c r="E2993">
        <v>144</v>
      </c>
      <c r="F2993">
        <v>36</v>
      </c>
      <c r="G2993">
        <v>2880</v>
      </c>
      <c r="H2993" s="4">
        <v>720</v>
      </c>
      <c r="I2993" s="4">
        <v>2160</v>
      </c>
      <c r="J2993" t="s">
        <v>802</v>
      </c>
      <c r="K2993" t="s">
        <v>58</v>
      </c>
      <c r="L2993" s="4">
        <v>11.943192562152261</v>
      </c>
      <c r="M2993" s="1" t="s">
        <v>38</v>
      </c>
      <c r="N2993" s="11">
        <f t="shared" si="46"/>
        <v>5</v>
      </c>
    </row>
    <row r="2994" spans="1:14" ht="16" x14ac:dyDescent="0.2">
      <c r="A2994" s="3">
        <v>43224.347144777188</v>
      </c>
      <c r="B2994" s="1" t="s">
        <v>3211</v>
      </c>
      <c r="C2994" t="s">
        <v>583</v>
      </c>
      <c r="D2994">
        <v>19</v>
      </c>
      <c r="E2994">
        <v>57</v>
      </c>
      <c r="F2994">
        <v>19</v>
      </c>
      <c r="G2994">
        <v>1083</v>
      </c>
      <c r="H2994" s="4">
        <v>361</v>
      </c>
      <c r="I2994" s="4">
        <v>722</v>
      </c>
      <c r="J2994" t="s">
        <v>48</v>
      </c>
      <c r="K2994" t="s">
        <v>49</v>
      </c>
      <c r="L2994" s="4">
        <v>15.24190997853951</v>
      </c>
      <c r="M2994" s="1" t="s">
        <v>38</v>
      </c>
      <c r="N2994" s="11">
        <f t="shared" si="46"/>
        <v>5</v>
      </c>
    </row>
    <row r="2995" spans="1:14" ht="16" x14ac:dyDescent="0.2">
      <c r="A2995" s="3">
        <v>44140.803069075788</v>
      </c>
      <c r="B2995" s="1" t="s">
        <v>3212</v>
      </c>
      <c r="C2995" t="s">
        <v>255</v>
      </c>
      <c r="D2995">
        <v>3</v>
      </c>
      <c r="E2995">
        <v>140</v>
      </c>
      <c r="F2995">
        <v>70</v>
      </c>
      <c r="G2995">
        <v>420</v>
      </c>
      <c r="H2995" s="4">
        <v>210</v>
      </c>
      <c r="I2995" s="4">
        <v>210</v>
      </c>
      <c r="J2995" t="s">
        <v>506</v>
      </c>
      <c r="K2995" t="s">
        <v>33</v>
      </c>
      <c r="L2995" s="4">
        <v>13.917704159139552</v>
      </c>
      <c r="M2995" s="1" t="s">
        <v>34</v>
      </c>
      <c r="N2995" s="11">
        <f t="shared" si="46"/>
        <v>1</v>
      </c>
    </row>
    <row r="2996" spans="1:14" ht="16" x14ac:dyDescent="0.2">
      <c r="A2996" s="3">
        <v>43760.572506146207</v>
      </c>
      <c r="B2996" s="1" t="s">
        <v>3213</v>
      </c>
      <c r="C2996" t="s">
        <v>40</v>
      </c>
      <c r="D2996">
        <v>3</v>
      </c>
      <c r="E2996">
        <v>46</v>
      </c>
      <c r="F2996">
        <v>23</v>
      </c>
      <c r="G2996">
        <v>138</v>
      </c>
      <c r="H2996" s="4">
        <v>69</v>
      </c>
      <c r="I2996" s="4">
        <v>69</v>
      </c>
      <c r="J2996" t="s">
        <v>236</v>
      </c>
      <c r="K2996" t="s">
        <v>53</v>
      </c>
      <c r="L2996" s="4">
        <v>9.3014286057233697</v>
      </c>
      <c r="M2996" s="1" t="s">
        <v>38</v>
      </c>
      <c r="N2996" s="11">
        <f t="shared" si="46"/>
        <v>5</v>
      </c>
    </row>
    <row r="2997" spans="1:14" ht="16" x14ac:dyDescent="0.2">
      <c r="A2997" s="3">
        <v>44523.268529434841</v>
      </c>
      <c r="B2997" s="1" t="s">
        <v>3214</v>
      </c>
      <c r="C2997" t="s">
        <v>142</v>
      </c>
      <c r="D2997">
        <v>7</v>
      </c>
      <c r="E2997">
        <v>210</v>
      </c>
      <c r="F2997">
        <v>70</v>
      </c>
      <c r="G2997">
        <v>1470</v>
      </c>
      <c r="H2997" s="4">
        <v>490</v>
      </c>
      <c r="I2997" s="4">
        <v>980</v>
      </c>
      <c r="J2997" t="s">
        <v>958</v>
      </c>
      <c r="K2997" t="s">
        <v>58</v>
      </c>
      <c r="L2997" s="4">
        <v>9.1591412531773226</v>
      </c>
      <c r="M2997" s="1" t="s">
        <v>38</v>
      </c>
      <c r="N2997" s="11">
        <f t="shared" si="46"/>
        <v>5</v>
      </c>
    </row>
    <row r="2998" spans="1:14" ht="16" x14ac:dyDescent="0.2">
      <c r="A2998" s="3">
        <v>44021.943736659021</v>
      </c>
      <c r="B2998" s="1" t="s">
        <v>723</v>
      </c>
      <c r="C2998" t="s">
        <v>328</v>
      </c>
      <c r="D2998">
        <v>9</v>
      </c>
      <c r="E2998">
        <v>124</v>
      </c>
      <c r="F2998">
        <v>62</v>
      </c>
      <c r="G2998">
        <v>1116</v>
      </c>
      <c r="H2998" s="4">
        <v>558</v>
      </c>
      <c r="I2998" s="4">
        <v>558</v>
      </c>
      <c r="J2998" t="s">
        <v>567</v>
      </c>
      <c r="K2998" t="s">
        <v>49</v>
      </c>
      <c r="L2998" s="4">
        <v>12.147202500273634</v>
      </c>
      <c r="M2998" s="1" t="s">
        <v>34</v>
      </c>
      <c r="N2998" s="11">
        <f t="shared" si="46"/>
        <v>1</v>
      </c>
    </row>
    <row r="2999" spans="1:14" ht="16" x14ac:dyDescent="0.2">
      <c r="A2999" s="3">
        <v>44194.184174873262</v>
      </c>
      <c r="B2999" s="1" t="s">
        <v>3215</v>
      </c>
      <c r="C2999" t="s">
        <v>160</v>
      </c>
      <c r="D2999">
        <v>5</v>
      </c>
      <c r="E2999">
        <v>132</v>
      </c>
      <c r="F2999">
        <v>33</v>
      </c>
      <c r="G2999">
        <v>660</v>
      </c>
      <c r="H2999" s="4">
        <v>165</v>
      </c>
      <c r="I2999" s="4">
        <v>495</v>
      </c>
      <c r="J2999" t="s">
        <v>290</v>
      </c>
      <c r="K2999" t="s">
        <v>86</v>
      </c>
      <c r="L2999" s="4">
        <v>12.758430621858414</v>
      </c>
      <c r="M2999" s="1" t="s">
        <v>54</v>
      </c>
      <c r="N2999" s="11">
        <f t="shared" si="46"/>
        <v>10</v>
      </c>
    </row>
    <row r="3000" spans="1:14" ht="16" x14ac:dyDescent="0.2">
      <c r="A3000" s="3">
        <v>43946.475480555368</v>
      </c>
      <c r="B3000" s="1" t="s">
        <v>732</v>
      </c>
      <c r="C3000" t="s">
        <v>394</v>
      </c>
      <c r="D3000">
        <v>16</v>
      </c>
      <c r="E3000">
        <v>58</v>
      </c>
      <c r="F3000">
        <v>29</v>
      </c>
      <c r="G3000">
        <v>928</v>
      </c>
      <c r="H3000" s="4">
        <v>464</v>
      </c>
      <c r="I3000" s="4">
        <v>464</v>
      </c>
      <c r="J3000" t="s">
        <v>933</v>
      </c>
      <c r="K3000" t="s">
        <v>58</v>
      </c>
      <c r="L3000" s="4">
        <v>11.130819205617987</v>
      </c>
      <c r="M3000" s="1" t="s">
        <v>38</v>
      </c>
      <c r="N3000" s="11">
        <f t="shared" si="46"/>
        <v>5</v>
      </c>
    </row>
    <row r="3001" spans="1:14" ht="16" x14ac:dyDescent="0.2">
      <c r="A3001" s="3">
        <v>43790.503101934934</v>
      </c>
      <c r="B3001" s="1" t="s">
        <v>3087</v>
      </c>
      <c r="C3001" t="s">
        <v>72</v>
      </c>
      <c r="D3001">
        <v>18</v>
      </c>
      <c r="E3001">
        <v>352</v>
      </c>
      <c r="F3001">
        <v>88</v>
      </c>
      <c r="G3001">
        <v>6336</v>
      </c>
      <c r="H3001" s="4">
        <v>1584</v>
      </c>
      <c r="I3001" s="4">
        <v>4752</v>
      </c>
      <c r="J3001" t="s">
        <v>181</v>
      </c>
      <c r="K3001" t="s">
        <v>53</v>
      </c>
      <c r="L3001" s="4">
        <v>11.727497850343074</v>
      </c>
      <c r="M3001" s="1" t="s">
        <v>54</v>
      </c>
      <c r="N3001" s="11">
        <f t="shared" si="46"/>
        <v>10</v>
      </c>
    </row>
    <row r="3002" spans="1:14" ht="16" x14ac:dyDescent="0.2">
      <c r="A3002" s="3">
        <v>43790.503101934934</v>
      </c>
      <c r="B3002" s="1" t="s">
        <v>3216</v>
      </c>
      <c r="C3002" t="s">
        <v>218</v>
      </c>
      <c r="D3002">
        <v>1</v>
      </c>
      <c r="E3002">
        <v>264</v>
      </c>
      <c r="F3002">
        <v>88</v>
      </c>
      <c r="G3002">
        <v>264</v>
      </c>
      <c r="H3002" s="4">
        <v>88</v>
      </c>
      <c r="I3002" s="4">
        <v>176</v>
      </c>
      <c r="J3002" t="s">
        <v>1129</v>
      </c>
      <c r="K3002" t="s">
        <v>33</v>
      </c>
      <c r="L3002" s="4">
        <v>10.585251392347548</v>
      </c>
      <c r="M3002" s="1" t="s">
        <v>54</v>
      </c>
      <c r="N3002" s="11">
        <f t="shared" si="46"/>
        <v>10</v>
      </c>
    </row>
    <row r="3003" spans="1:14" ht="16" x14ac:dyDescent="0.2">
      <c r="A3003" s="3">
        <v>43791</v>
      </c>
      <c r="B3003" s="1" t="s">
        <v>3217</v>
      </c>
      <c r="C3003" t="s">
        <v>175</v>
      </c>
      <c r="D3003">
        <v>5</v>
      </c>
      <c r="E3003">
        <v>38</v>
      </c>
      <c r="F3003">
        <v>19</v>
      </c>
      <c r="G3003">
        <v>190</v>
      </c>
      <c r="H3003" s="4">
        <v>95</v>
      </c>
      <c r="I3003" s="4">
        <v>95</v>
      </c>
      <c r="J3003" t="s">
        <v>284</v>
      </c>
      <c r="K3003" t="s">
        <v>58</v>
      </c>
      <c r="L3003" s="4">
        <v>10.570474361325047</v>
      </c>
      <c r="M3003" s="1" t="s">
        <v>34</v>
      </c>
      <c r="N3003" s="11">
        <f t="shared" si="46"/>
        <v>1</v>
      </c>
    </row>
    <row r="3004" spans="1:14" ht="16" x14ac:dyDescent="0.2">
      <c r="A3004" s="3">
        <v>43792</v>
      </c>
      <c r="B3004" s="1" t="s">
        <v>1347</v>
      </c>
      <c r="C3004" t="s">
        <v>40</v>
      </c>
      <c r="D3004">
        <v>12</v>
      </c>
      <c r="E3004">
        <v>46</v>
      </c>
      <c r="F3004">
        <v>23</v>
      </c>
      <c r="G3004">
        <v>552</v>
      </c>
      <c r="H3004" s="4">
        <v>276</v>
      </c>
      <c r="I3004" s="4">
        <v>276</v>
      </c>
      <c r="J3004" t="s">
        <v>221</v>
      </c>
      <c r="K3004" t="s">
        <v>49</v>
      </c>
      <c r="L3004" s="4">
        <v>12.396052160428608</v>
      </c>
      <c r="M3004" s="1" t="s">
        <v>54</v>
      </c>
      <c r="N3004" s="11">
        <f t="shared" si="46"/>
        <v>10</v>
      </c>
    </row>
    <row r="3005" spans="1:14" ht="16" x14ac:dyDescent="0.2">
      <c r="A3005" s="3">
        <v>43793</v>
      </c>
      <c r="B3005" s="1" t="s">
        <v>3218</v>
      </c>
      <c r="C3005" t="s">
        <v>204</v>
      </c>
      <c r="D3005">
        <v>18</v>
      </c>
      <c r="E3005">
        <v>57</v>
      </c>
      <c r="F3005">
        <v>19</v>
      </c>
      <c r="G3005">
        <v>1026</v>
      </c>
      <c r="H3005" s="4">
        <v>342</v>
      </c>
      <c r="I3005" s="4">
        <v>684</v>
      </c>
      <c r="J3005" t="s">
        <v>448</v>
      </c>
      <c r="K3005" t="s">
        <v>58</v>
      </c>
      <c r="L3005" s="4">
        <v>15.770846827234339</v>
      </c>
      <c r="M3005" s="1" t="s">
        <v>38</v>
      </c>
      <c r="N3005" s="11">
        <f t="shared" si="46"/>
        <v>5</v>
      </c>
    </row>
    <row r="3006" spans="1:14" ht="16" x14ac:dyDescent="0.2">
      <c r="A3006" s="3">
        <v>43794</v>
      </c>
      <c r="B3006" s="1" t="s">
        <v>3219</v>
      </c>
      <c r="C3006" t="s">
        <v>47</v>
      </c>
      <c r="D3006">
        <v>6</v>
      </c>
      <c r="E3006">
        <v>231</v>
      </c>
      <c r="F3006">
        <v>77</v>
      </c>
      <c r="G3006">
        <v>1386</v>
      </c>
      <c r="H3006" s="4">
        <v>462</v>
      </c>
      <c r="I3006" s="4">
        <v>924</v>
      </c>
      <c r="J3006" t="s">
        <v>1107</v>
      </c>
      <c r="K3006" t="s">
        <v>53</v>
      </c>
      <c r="L3006" s="4">
        <v>10.28240320324797</v>
      </c>
      <c r="M3006" s="1" t="s">
        <v>54</v>
      </c>
      <c r="N3006" s="11">
        <f t="shared" si="46"/>
        <v>10</v>
      </c>
    </row>
    <row r="3007" spans="1:14" ht="16" x14ac:dyDescent="0.2">
      <c r="A3007" s="3">
        <v>43795</v>
      </c>
      <c r="B3007" s="1" t="s">
        <v>2951</v>
      </c>
      <c r="C3007" t="s">
        <v>91</v>
      </c>
      <c r="D3007">
        <v>14</v>
      </c>
      <c r="E3007">
        <v>300</v>
      </c>
      <c r="F3007">
        <v>75</v>
      </c>
      <c r="G3007">
        <v>4200</v>
      </c>
      <c r="H3007" s="4">
        <v>1050</v>
      </c>
      <c r="I3007" s="4">
        <v>3150</v>
      </c>
      <c r="J3007" t="s">
        <v>713</v>
      </c>
      <c r="K3007" t="s">
        <v>42</v>
      </c>
      <c r="L3007" s="4">
        <v>10.956589836772277</v>
      </c>
      <c r="M3007" s="1" t="s">
        <v>38</v>
      </c>
      <c r="N3007" s="11">
        <f t="shared" si="46"/>
        <v>5</v>
      </c>
    </row>
    <row r="3008" spans="1:14" ht="16" x14ac:dyDescent="0.2">
      <c r="A3008" s="3">
        <v>43796</v>
      </c>
      <c r="B3008" s="1" t="s">
        <v>3220</v>
      </c>
      <c r="C3008" t="s">
        <v>75</v>
      </c>
      <c r="D3008">
        <v>4</v>
      </c>
      <c r="E3008">
        <v>76</v>
      </c>
      <c r="F3008">
        <v>19</v>
      </c>
      <c r="G3008">
        <v>304</v>
      </c>
      <c r="H3008" s="4">
        <v>76</v>
      </c>
      <c r="I3008" s="4">
        <v>228</v>
      </c>
      <c r="J3008" t="s">
        <v>912</v>
      </c>
      <c r="K3008" t="s">
        <v>64</v>
      </c>
      <c r="L3008" s="4">
        <v>11.816651848338852</v>
      </c>
      <c r="M3008" s="1" t="s">
        <v>38</v>
      </c>
      <c r="N3008" s="11">
        <f t="shared" si="46"/>
        <v>5</v>
      </c>
    </row>
    <row r="3009" spans="1:14" ht="16" x14ac:dyDescent="0.2">
      <c r="A3009" s="3">
        <v>43797</v>
      </c>
      <c r="B3009" s="1" t="s">
        <v>3221</v>
      </c>
      <c r="C3009" t="s">
        <v>607</v>
      </c>
      <c r="D3009">
        <v>11</v>
      </c>
      <c r="E3009">
        <v>225</v>
      </c>
      <c r="F3009">
        <v>75</v>
      </c>
      <c r="G3009">
        <v>2475</v>
      </c>
      <c r="H3009" s="4">
        <v>825</v>
      </c>
      <c r="I3009" s="4">
        <v>1650</v>
      </c>
      <c r="J3009" t="s">
        <v>413</v>
      </c>
      <c r="K3009" t="s">
        <v>64</v>
      </c>
      <c r="L3009" s="4">
        <v>12.682358648534777</v>
      </c>
      <c r="M3009" s="1" t="s">
        <v>38</v>
      </c>
      <c r="N3009" s="11">
        <f t="shared" si="46"/>
        <v>5</v>
      </c>
    </row>
    <row r="3010" spans="1:14" ht="16" x14ac:dyDescent="0.2">
      <c r="A3010" s="3">
        <v>43798</v>
      </c>
      <c r="B3010" s="1" t="s">
        <v>3222</v>
      </c>
      <c r="C3010" t="s">
        <v>120</v>
      </c>
      <c r="D3010">
        <v>4</v>
      </c>
      <c r="E3010">
        <v>252</v>
      </c>
      <c r="F3010">
        <v>63</v>
      </c>
      <c r="G3010">
        <v>1008</v>
      </c>
      <c r="H3010" s="4">
        <v>252</v>
      </c>
      <c r="I3010" s="4">
        <v>756</v>
      </c>
      <c r="J3010" t="s">
        <v>238</v>
      </c>
      <c r="K3010" t="s">
        <v>86</v>
      </c>
      <c r="L3010" s="4">
        <v>14.593670394271927</v>
      </c>
      <c r="M3010" s="1" t="s">
        <v>54</v>
      </c>
      <c r="N3010" s="11">
        <f t="shared" si="46"/>
        <v>10</v>
      </c>
    </row>
    <row r="3011" spans="1:14" ht="16" x14ac:dyDescent="0.2">
      <c r="A3011" s="3">
        <v>43799</v>
      </c>
      <c r="B3011" s="1" t="s">
        <v>3223</v>
      </c>
      <c r="C3011" t="s">
        <v>171</v>
      </c>
      <c r="D3011">
        <v>2</v>
      </c>
      <c r="E3011">
        <v>225</v>
      </c>
      <c r="F3011">
        <v>75</v>
      </c>
      <c r="G3011">
        <v>450</v>
      </c>
      <c r="H3011" s="4">
        <v>150</v>
      </c>
      <c r="I3011" s="4">
        <v>300</v>
      </c>
      <c r="J3011" t="s">
        <v>225</v>
      </c>
      <c r="K3011" t="s">
        <v>33</v>
      </c>
      <c r="L3011" s="4">
        <v>11.083482342133532</v>
      </c>
      <c r="M3011" s="1" t="s">
        <v>38</v>
      </c>
      <c r="N3011" s="11">
        <f t="shared" ref="N3011:N3074" si="47">+IF(M3011="Dissatisfied",1,IF(M3011="Satisfied",10,5))</f>
        <v>5</v>
      </c>
    </row>
    <row r="3012" spans="1:14" ht="16" x14ac:dyDescent="0.2">
      <c r="A3012" s="3">
        <v>43800</v>
      </c>
      <c r="B3012" s="1" t="s">
        <v>3224</v>
      </c>
      <c r="C3012" t="s">
        <v>69</v>
      </c>
      <c r="D3012">
        <v>10</v>
      </c>
      <c r="E3012">
        <v>184</v>
      </c>
      <c r="F3012">
        <v>92</v>
      </c>
      <c r="G3012">
        <v>1840</v>
      </c>
      <c r="H3012" s="4">
        <v>920</v>
      </c>
      <c r="I3012" s="4">
        <v>920</v>
      </c>
      <c r="J3012" t="s">
        <v>517</v>
      </c>
      <c r="K3012" t="s">
        <v>86</v>
      </c>
      <c r="L3012" s="4">
        <v>13.57003172959007</v>
      </c>
      <c r="M3012" s="1" t="s">
        <v>38</v>
      </c>
      <c r="N3012" s="11">
        <f t="shared" si="47"/>
        <v>5</v>
      </c>
    </row>
    <row r="3013" spans="1:14" ht="16" x14ac:dyDescent="0.2">
      <c r="A3013" s="3">
        <v>43801</v>
      </c>
      <c r="B3013" s="1" t="s">
        <v>3225</v>
      </c>
      <c r="C3013" t="s">
        <v>133</v>
      </c>
      <c r="D3013">
        <v>5</v>
      </c>
      <c r="E3013">
        <v>189</v>
      </c>
      <c r="F3013">
        <v>63</v>
      </c>
      <c r="G3013">
        <v>945</v>
      </c>
      <c r="H3013" s="4">
        <v>315</v>
      </c>
      <c r="I3013" s="4">
        <v>630</v>
      </c>
      <c r="J3013" t="s">
        <v>622</v>
      </c>
      <c r="K3013" t="s">
        <v>49</v>
      </c>
      <c r="L3013" s="4">
        <v>8.3272837771733244</v>
      </c>
      <c r="M3013" s="1" t="s">
        <v>38</v>
      </c>
      <c r="N3013" s="11">
        <f t="shared" si="47"/>
        <v>5</v>
      </c>
    </row>
    <row r="3014" spans="1:14" ht="16" x14ac:dyDescent="0.2">
      <c r="A3014" s="3">
        <v>43802</v>
      </c>
      <c r="B3014" s="1" t="s">
        <v>3226</v>
      </c>
      <c r="C3014" t="s">
        <v>544</v>
      </c>
      <c r="D3014">
        <v>5</v>
      </c>
      <c r="E3014">
        <v>267</v>
      </c>
      <c r="F3014">
        <v>89</v>
      </c>
      <c r="G3014">
        <v>1335</v>
      </c>
      <c r="H3014" s="4">
        <v>445</v>
      </c>
      <c r="I3014" s="4">
        <v>890</v>
      </c>
      <c r="J3014" t="s">
        <v>1042</v>
      </c>
      <c r="K3014" t="s">
        <v>58</v>
      </c>
      <c r="L3014" s="4">
        <v>10.588336269016523</v>
      </c>
      <c r="M3014" s="1" t="s">
        <v>34</v>
      </c>
      <c r="N3014" s="11">
        <f t="shared" si="47"/>
        <v>1</v>
      </c>
    </row>
    <row r="3015" spans="1:14" ht="16" x14ac:dyDescent="0.2">
      <c r="A3015" s="3">
        <v>43803</v>
      </c>
      <c r="B3015" s="1" t="s">
        <v>3227</v>
      </c>
      <c r="C3015" t="s">
        <v>56</v>
      </c>
      <c r="D3015">
        <v>11</v>
      </c>
      <c r="E3015">
        <v>38</v>
      </c>
      <c r="F3015">
        <v>19</v>
      </c>
      <c r="G3015">
        <v>418</v>
      </c>
      <c r="H3015" s="4">
        <v>209</v>
      </c>
      <c r="I3015" s="4">
        <v>209</v>
      </c>
      <c r="J3015" t="s">
        <v>879</v>
      </c>
      <c r="K3015" t="s">
        <v>42</v>
      </c>
      <c r="L3015" s="4">
        <v>12.37474961859551</v>
      </c>
      <c r="M3015" s="1" t="s">
        <v>38</v>
      </c>
      <c r="N3015" s="11">
        <f t="shared" si="47"/>
        <v>5</v>
      </c>
    </row>
    <row r="3016" spans="1:14" ht="16" x14ac:dyDescent="0.2">
      <c r="A3016" s="3">
        <v>43804</v>
      </c>
      <c r="B3016" s="1" t="s">
        <v>3228</v>
      </c>
      <c r="C3016" t="s">
        <v>218</v>
      </c>
      <c r="D3016">
        <v>8</v>
      </c>
      <c r="E3016">
        <v>264</v>
      </c>
      <c r="F3016">
        <v>88</v>
      </c>
      <c r="G3016">
        <v>2112</v>
      </c>
      <c r="H3016" s="4">
        <v>704</v>
      </c>
      <c r="I3016" s="4">
        <v>1408</v>
      </c>
      <c r="J3016" t="s">
        <v>363</v>
      </c>
      <c r="K3016" t="s">
        <v>64</v>
      </c>
      <c r="L3016" s="4">
        <v>14.690198582365463</v>
      </c>
      <c r="M3016" s="1" t="s">
        <v>34</v>
      </c>
      <c r="N3016" s="11">
        <f t="shared" si="47"/>
        <v>1</v>
      </c>
    </row>
    <row r="3017" spans="1:14" ht="16" x14ac:dyDescent="0.2">
      <c r="A3017" s="3">
        <v>43805</v>
      </c>
      <c r="B3017" s="1" t="s">
        <v>3229</v>
      </c>
      <c r="C3017" t="s">
        <v>178</v>
      </c>
      <c r="D3017">
        <v>19</v>
      </c>
      <c r="E3017">
        <v>189</v>
      </c>
      <c r="F3017">
        <v>63</v>
      </c>
      <c r="G3017">
        <v>3591</v>
      </c>
      <c r="H3017" s="4">
        <v>1197</v>
      </c>
      <c r="I3017" s="4">
        <v>2394</v>
      </c>
      <c r="J3017" t="s">
        <v>498</v>
      </c>
      <c r="K3017" t="s">
        <v>58</v>
      </c>
      <c r="L3017" s="4">
        <v>8.0758315802191021</v>
      </c>
      <c r="M3017" s="1" t="s">
        <v>34</v>
      </c>
      <c r="N3017" s="11">
        <f t="shared" si="47"/>
        <v>1</v>
      </c>
    </row>
    <row r="3018" spans="1:14" ht="16" x14ac:dyDescent="0.2">
      <c r="A3018" s="3">
        <v>43806</v>
      </c>
      <c r="B3018" s="1" t="s">
        <v>3230</v>
      </c>
      <c r="C3018" t="s">
        <v>125</v>
      </c>
      <c r="D3018">
        <v>7</v>
      </c>
      <c r="E3018">
        <v>176</v>
      </c>
      <c r="F3018">
        <v>88</v>
      </c>
      <c r="G3018">
        <v>1232</v>
      </c>
      <c r="H3018" s="4">
        <v>616</v>
      </c>
      <c r="I3018" s="4">
        <v>616</v>
      </c>
      <c r="J3018" t="s">
        <v>295</v>
      </c>
      <c r="K3018" t="s">
        <v>42</v>
      </c>
      <c r="L3018" s="4">
        <v>14.906846445071711</v>
      </c>
      <c r="M3018" s="1" t="s">
        <v>34</v>
      </c>
      <c r="N3018" s="11">
        <f t="shared" si="47"/>
        <v>1</v>
      </c>
    </row>
    <row r="3019" spans="1:14" ht="16" x14ac:dyDescent="0.2">
      <c r="A3019" s="3">
        <v>43807</v>
      </c>
      <c r="B3019" s="1" t="s">
        <v>3231</v>
      </c>
      <c r="C3019" t="s">
        <v>88</v>
      </c>
      <c r="D3019">
        <v>17</v>
      </c>
      <c r="E3019">
        <v>210</v>
      </c>
      <c r="F3019">
        <v>70</v>
      </c>
      <c r="G3019">
        <v>3570</v>
      </c>
      <c r="H3019" s="4">
        <v>1190</v>
      </c>
      <c r="I3019" s="4">
        <v>2380</v>
      </c>
      <c r="J3019" t="s">
        <v>1091</v>
      </c>
      <c r="K3019" t="s">
        <v>33</v>
      </c>
      <c r="L3019" s="4">
        <v>12.55774399806273</v>
      </c>
      <c r="M3019" s="1" t="s">
        <v>38</v>
      </c>
      <c r="N3019" s="11">
        <f t="shared" si="47"/>
        <v>5</v>
      </c>
    </row>
    <row r="3020" spans="1:14" ht="16" x14ac:dyDescent="0.2">
      <c r="A3020" s="3">
        <v>43808</v>
      </c>
      <c r="B3020" s="1" t="s">
        <v>3232</v>
      </c>
      <c r="C3020" t="s">
        <v>93</v>
      </c>
      <c r="D3020">
        <v>3</v>
      </c>
      <c r="E3020">
        <v>204</v>
      </c>
      <c r="F3020">
        <v>51</v>
      </c>
      <c r="G3020">
        <v>612</v>
      </c>
      <c r="H3020" s="4">
        <v>153</v>
      </c>
      <c r="I3020" s="4">
        <v>459</v>
      </c>
      <c r="J3020" t="s">
        <v>219</v>
      </c>
      <c r="K3020" t="s">
        <v>49</v>
      </c>
      <c r="L3020" s="4">
        <v>13.697485557052493</v>
      </c>
      <c r="M3020" s="1" t="s">
        <v>34</v>
      </c>
      <c r="N3020" s="11">
        <f t="shared" si="47"/>
        <v>1</v>
      </c>
    </row>
    <row r="3021" spans="1:14" ht="16" x14ac:dyDescent="0.2">
      <c r="A3021" s="3">
        <v>43809</v>
      </c>
      <c r="B3021" s="1" t="s">
        <v>3233</v>
      </c>
      <c r="C3021" t="s">
        <v>157</v>
      </c>
      <c r="D3021">
        <v>8</v>
      </c>
      <c r="E3021">
        <v>50</v>
      </c>
      <c r="F3021">
        <v>25</v>
      </c>
      <c r="G3021">
        <v>400</v>
      </c>
      <c r="H3021" s="4">
        <v>200</v>
      </c>
      <c r="I3021" s="4">
        <v>200</v>
      </c>
      <c r="J3021" t="s">
        <v>397</v>
      </c>
      <c r="K3021" t="s">
        <v>49</v>
      </c>
      <c r="L3021" s="4">
        <v>9.4239783062860578</v>
      </c>
      <c r="M3021" s="1" t="s">
        <v>34</v>
      </c>
      <c r="N3021" s="11">
        <f t="shared" si="47"/>
        <v>1</v>
      </c>
    </row>
    <row r="3022" spans="1:14" ht="16" x14ac:dyDescent="0.2">
      <c r="A3022" s="3">
        <v>43810</v>
      </c>
      <c r="B3022" s="1" t="s">
        <v>3234</v>
      </c>
      <c r="C3022" t="s">
        <v>523</v>
      </c>
      <c r="D3022">
        <v>14</v>
      </c>
      <c r="E3022">
        <v>92</v>
      </c>
      <c r="F3022">
        <v>46</v>
      </c>
      <c r="G3022">
        <v>1288</v>
      </c>
      <c r="H3022" s="4">
        <v>644</v>
      </c>
      <c r="I3022" s="4">
        <v>644</v>
      </c>
      <c r="J3022" t="s">
        <v>453</v>
      </c>
      <c r="K3022" t="s">
        <v>42</v>
      </c>
      <c r="L3022" s="4">
        <v>13.104576594826185</v>
      </c>
      <c r="M3022" s="1" t="s">
        <v>54</v>
      </c>
      <c r="N3022" s="11">
        <f t="shared" si="47"/>
        <v>10</v>
      </c>
    </row>
    <row r="3023" spans="1:14" ht="16" x14ac:dyDescent="0.2">
      <c r="A3023" s="3">
        <v>43811</v>
      </c>
      <c r="B3023" s="1" t="s">
        <v>3235</v>
      </c>
      <c r="C3023" t="s">
        <v>148</v>
      </c>
      <c r="D3023">
        <v>8</v>
      </c>
      <c r="E3023">
        <v>144</v>
      </c>
      <c r="F3023">
        <v>36</v>
      </c>
      <c r="G3023">
        <v>1152</v>
      </c>
      <c r="H3023" s="4">
        <v>288</v>
      </c>
      <c r="I3023" s="4">
        <v>864</v>
      </c>
      <c r="J3023" t="s">
        <v>321</v>
      </c>
      <c r="K3023" t="s">
        <v>42</v>
      </c>
      <c r="L3023" s="4">
        <v>7.7337149713827413</v>
      </c>
      <c r="M3023" s="1" t="s">
        <v>54</v>
      </c>
      <c r="N3023" s="11">
        <f t="shared" si="47"/>
        <v>10</v>
      </c>
    </row>
    <row r="3024" spans="1:14" ht="16" x14ac:dyDescent="0.2">
      <c r="A3024" s="3">
        <v>43812</v>
      </c>
      <c r="B3024" s="1" t="s">
        <v>3236</v>
      </c>
      <c r="C3024" t="s">
        <v>88</v>
      </c>
      <c r="D3024">
        <v>10</v>
      </c>
      <c r="E3024">
        <v>210</v>
      </c>
      <c r="F3024">
        <v>70</v>
      </c>
      <c r="G3024">
        <v>2100</v>
      </c>
      <c r="H3024" s="4">
        <v>700</v>
      </c>
      <c r="I3024" s="4">
        <v>1400</v>
      </c>
      <c r="J3024" t="s">
        <v>589</v>
      </c>
      <c r="K3024" t="s">
        <v>58</v>
      </c>
      <c r="L3024" s="4">
        <v>12.207242573430314</v>
      </c>
      <c r="M3024" s="1" t="s">
        <v>38</v>
      </c>
      <c r="N3024" s="11">
        <f t="shared" si="47"/>
        <v>5</v>
      </c>
    </row>
    <row r="3025" spans="1:14" ht="16" x14ac:dyDescent="0.2">
      <c r="A3025" s="3">
        <v>43813</v>
      </c>
      <c r="B3025" s="1" t="s">
        <v>3237</v>
      </c>
      <c r="C3025" t="s">
        <v>125</v>
      </c>
      <c r="D3025">
        <v>11</v>
      </c>
      <c r="E3025">
        <v>176</v>
      </c>
      <c r="F3025">
        <v>88</v>
      </c>
      <c r="G3025">
        <v>1936</v>
      </c>
      <c r="H3025" s="4">
        <v>968</v>
      </c>
      <c r="I3025" s="4">
        <v>968</v>
      </c>
      <c r="J3025" t="s">
        <v>1273</v>
      </c>
      <c r="K3025" t="s">
        <v>42</v>
      </c>
      <c r="L3025" s="4">
        <v>12.427459362224146</v>
      </c>
      <c r="M3025" s="1" t="s">
        <v>34</v>
      </c>
      <c r="N3025" s="11">
        <f t="shared" si="47"/>
        <v>1</v>
      </c>
    </row>
    <row r="3026" spans="1:14" ht="16" x14ac:dyDescent="0.2">
      <c r="A3026" s="3">
        <v>43814</v>
      </c>
      <c r="B3026" s="1" t="s">
        <v>3238</v>
      </c>
      <c r="C3026" t="s">
        <v>288</v>
      </c>
      <c r="D3026">
        <v>3</v>
      </c>
      <c r="E3026">
        <v>48</v>
      </c>
      <c r="F3026">
        <v>24</v>
      </c>
      <c r="G3026">
        <v>144</v>
      </c>
      <c r="H3026" s="4">
        <v>72</v>
      </c>
      <c r="I3026" s="4">
        <v>72</v>
      </c>
      <c r="J3026" t="s">
        <v>361</v>
      </c>
      <c r="K3026" t="s">
        <v>64</v>
      </c>
      <c r="L3026" s="4">
        <v>13.092530646074781</v>
      </c>
      <c r="M3026" s="1" t="s">
        <v>38</v>
      </c>
      <c r="N3026" s="11">
        <f t="shared" si="47"/>
        <v>5</v>
      </c>
    </row>
    <row r="3027" spans="1:14" ht="16" x14ac:dyDescent="0.2">
      <c r="A3027" s="3">
        <v>43815</v>
      </c>
      <c r="B3027" s="1" t="s">
        <v>3239</v>
      </c>
      <c r="C3027" t="s">
        <v>391</v>
      </c>
      <c r="D3027">
        <v>14</v>
      </c>
      <c r="E3027">
        <v>72</v>
      </c>
      <c r="F3027">
        <v>36</v>
      </c>
      <c r="G3027">
        <v>1008</v>
      </c>
      <c r="H3027" s="4">
        <v>504</v>
      </c>
      <c r="I3027" s="4">
        <v>504</v>
      </c>
      <c r="J3027" t="s">
        <v>933</v>
      </c>
      <c r="K3027" t="s">
        <v>58</v>
      </c>
      <c r="L3027" s="4">
        <v>11.130819205617987</v>
      </c>
      <c r="M3027" s="1" t="s">
        <v>38</v>
      </c>
      <c r="N3027" s="11">
        <f t="shared" si="47"/>
        <v>5</v>
      </c>
    </row>
    <row r="3028" spans="1:14" ht="16" x14ac:dyDescent="0.2">
      <c r="A3028" s="3">
        <v>43816</v>
      </c>
      <c r="B3028" s="1" t="s">
        <v>3240</v>
      </c>
      <c r="C3028" t="s">
        <v>81</v>
      </c>
      <c r="D3028">
        <v>13</v>
      </c>
      <c r="E3028">
        <v>166</v>
      </c>
      <c r="F3028">
        <v>83</v>
      </c>
      <c r="G3028">
        <v>2158</v>
      </c>
      <c r="H3028" s="4">
        <v>1079</v>
      </c>
      <c r="I3028" s="4">
        <v>1079</v>
      </c>
      <c r="J3028" t="s">
        <v>108</v>
      </c>
      <c r="K3028" t="s">
        <v>64</v>
      </c>
      <c r="L3028" s="4">
        <v>9.7467096260695598</v>
      </c>
      <c r="M3028" s="1" t="s">
        <v>38</v>
      </c>
      <c r="N3028" s="11">
        <f t="shared" si="47"/>
        <v>5</v>
      </c>
    </row>
    <row r="3029" spans="1:14" ht="16" x14ac:dyDescent="0.2">
      <c r="A3029" s="3">
        <v>43817</v>
      </c>
      <c r="B3029" s="1" t="s">
        <v>3241</v>
      </c>
      <c r="C3029" t="s">
        <v>69</v>
      </c>
      <c r="D3029">
        <v>15</v>
      </c>
      <c r="E3029">
        <v>184</v>
      </c>
      <c r="F3029">
        <v>92</v>
      </c>
      <c r="G3029">
        <v>2760</v>
      </c>
      <c r="H3029" s="4">
        <v>1380</v>
      </c>
      <c r="I3029" s="4">
        <v>1380</v>
      </c>
      <c r="J3029" t="s">
        <v>1085</v>
      </c>
      <c r="K3029" t="s">
        <v>49</v>
      </c>
      <c r="L3029" s="4">
        <v>10.818241047231139</v>
      </c>
      <c r="M3029" s="1" t="s">
        <v>38</v>
      </c>
      <c r="N3029" s="11">
        <f t="shared" si="47"/>
        <v>5</v>
      </c>
    </row>
    <row r="3030" spans="1:14" ht="16" x14ac:dyDescent="0.2">
      <c r="A3030" s="3">
        <v>43818</v>
      </c>
      <c r="B3030" s="1" t="s">
        <v>3242</v>
      </c>
      <c r="C3030" t="s">
        <v>72</v>
      </c>
      <c r="D3030">
        <v>18</v>
      </c>
      <c r="E3030">
        <v>352</v>
      </c>
      <c r="F3030">
        <v>88</v>
      </c>
      <c r="G3030">
        <v>6336</v>
      </c>
      <c r="H3030" s="4">
        <v>1584</v>
      </c>
      <c r="I3030" s="4">
        <v>4752</v>
      </c>
      <c r="J3030" t="s">
        <v>149</v>
      </c>
      <c r="K3030" t="s">
        <v>58</v>
      </c>
      <c r="L3030" s="4">
        <v>8.1085102757869372</v>
      </c>
      <c r="M3030" s="1" t="s">
        <v>38</v>
      </c>
      <c r="N3030" s="11">
        <f t="shared" si="47"/>
        <v>5</v>
      </c>
    </row>
    <row r="3031" spans="1:14" ht="16" x14ac:dyDescent="0.2">
      <c r="A3031" s="3">
        <v>43819</v>
      </c>
      <c r="B3031" s="1" t="s">
        <v>3243</v>
      </c>
      <c r="C3031" t="s">
        <v>299</v>
      </c>
      <c r="D3031">
        <v>20</v>
      </c>
      <c r="E3031">
        <v>225</v>
      </c>
      <c r="F3031">
        <v>75</v>
      </c>
      <c r="G3031">
        <v>4500</v>
      </c>
      <c r="H3031" s="4">
        <v>1500</v>
      </c>
      <c r="I3031" s="4">
        <v>3000</v>
      </c>
      <c r="J3031" t="s">
        <v>41</v>
      </c>
      <c r="K3031" t="s">
        <v>42</v>
      </c>
      <c r="L3031" s="4">
        <v>9.3226775515721787</v>
      </c>
      <c r="M3031" s="1" t="s">
        <v>34</v>
      </c>
      <c r="N3031" s="11">
        <f t="shared" si="47"/>
        <v>1</v>
      </c>
    </row>
    <row r="3032" spans="1:14" ht="16" x14ac:dyDescent="0.2">
      <c r="A3032" s="3">
        <v>43820</v>
      </c>
      <c r="B3032" s="1" t="s">
        <v>3244</v>
      </c>
      <c r="C3032" t="s">
        <v>473</v>
      </c>
      <c r="D3032">
        <v>11</v>
      </c>
      <c r="E3032">
        <v>72</v>
      </c>
      <c r="F3032">
        <v>36</v>
      </c>
      <c r="G3032">
        <v>792</v>
      </c>
      <c r="H3032" s="4">
        <v>396</v>
      </c>
      <c r="I3032" s="4">
        <v>396</v>
      </c>
      <c r="J3032" t="s">
        <v>1401</v>
      </c>
      <c r="K3032" t="s">
        <v>58</v>
      </c>
      <c r="L3032" s="4">
        <v>11.0700865530371</v>
      </c>
      <c r="M3032" s="1" t="s">
        <v>54</v>
      </c>
      <c r="N3032" s="11">
        <f t="shared" si="47"/>
        <v>10</v>
      </c>
    </row>
    <row r="3033" spans="1:14" ht="16" x14ac:dyDescent="0.2">
      <c r="A3033" s="3">
        <v>43821</v>
      </c>
      <c r="B3033" s="1" t="s">
        <v>3245</v>
      </c>
      <c r="C3033" t="s">
        <v>91</v>
      </c>
      <c r="D3033">
        <v>18</v>
      </c>
      <c r="E3033">
        <v>300</v>
      </c>
      <c r="F3033">
        <v>75</v>
      </c>
      <c r="G3033">
        <v>5400</v>
      </c>
      <c r="H3033" s="4">
        <v>1350</v>
      </c>
      <c r="I3033" s="4">
        <v>4050</v>
      </c>
      <c r="J3033" t="s">
        <v>128</v>
      </c>
      <c r="K3033" t="s">
        <v>42</v>
      </c>
      <c r="L3033" s="4">
        <v>15.487214309603928</v>
      </c>
      <c r="M3033" s="1" t="s">
        <v>38</v>
      </c>
      <c r="N3033" s="11">
        <f t="shared" si="47"/>
        <v>5</v>
      </c>
    </row>
    <row r="3034" spans="1:14" ht="16" x14ac:dyDescent="0.2">
      <c r="A3034" s="3">
        <v>43822</v>
      </c>
      <c r="B3034" s="1" t="s">
        <v>1647</v>
      </c>
      <c r="C3034" t="s">
        <v>248</v>
      </c>
      <c r="D3034">
        <v>8</v>
      </c>
      <c r="E3034">
        <v>132</v>
      </c>
      <c r="F3034">
        <v>44</v>
      </c>
      <c r="G3034">
        <v>1056</v>
      </c>
      <c r="H3034" s="4">
        <v>352</v>
      </c>
      <c r="I3034" s="4">
        <v>704</v>
      </c>
      <c r="J3034" t="s">
        <v>228</v>
      </c>
      <c r="K3034" t="s">
        <v>53</v>
      </c>
      <c r="L3034" s="4">
        <v>14.377134310720955</v>
      </c>
      <c r="M3034" s="1" t="s">
        <v>38</v>
      </c>
      <c r="N3034" s="11">
        <f t="shared" si="47"/>
        <v>5</v>
      </c>
    </row>
    <row r="3035" spans="1:14" ht="16" x14ac:dyDescent="0.2">
      <c r="A3035" s="3">
        <v>43823</v>
      </c>
      <c r="B3035" s="1" t="s">
        <v>3246</v>
      </c>
      <c r="C3035" t="s">
        <v>487</v>
      </c>
      <c r="D3035">
        <v>16</v>
      </c>
      <c r="E3035">
        <v>264</v>
      </c>
      <c r="F3035">
        <v>88</v>
      </c>
      <c r="G3035">
        <v>4224</v>
      </c>
      <c r="H3035" s="4">
        <v>1408</v>
      </c>
      <c r="I3035" s="4">
        <v>2816</v>
      </c>
      <c r="J3035" t="s">
        <v>270</v>
      </c>
      <c r="K3035" t="s">
        <v>42</v>
      </c>
      <c r="L3035" s="4">
        <v>12.661538237835474</v>
      </c>
      <c r="M3035" s="1" t="s">
        <v>38</v>
      </c>
      <c r="N3035" s="11">
        <f t="shared" si="47"/>
        <v>5</v>
      </c>
    </row>
    <row r="3036" spans="1:14" ht="16" x14ac:dyDescent="0.2">
      <c r="A3036" s="3">
        <v>43824</v>
      </c>
      <c r="B3036" s="1" t="s">
        <v>3247</v>
      </c>
      <c r="C3036" t="s">
        <v>209</v>
      </c>
      <c r="D3036">
        <v>10</v>
      </c>
      <c r="E3036">
        <v>150</v>
      </c>
      <c r="F3036">
        <v>75</v>
      </c>
      <c r="G3036">
        <v>1500</v>
      </c>
      <c r="H3036" s="4">
        <v>750</v>
      </c>
      <c r="I3036" s="4">
        <v>750</v>
      </c>
      <c r="J3036" t="s">
        <v>45</v>
      </c>
      <c r="K3036" t="s">
        <v>42</v>
      </c>
      <c r="L3036" s="4">
        <v>10.06992029407844</v>
      </c>
      <c r="M3036" s="1" t="s">
        <v>38</v>
      </c>
      <c r="N3036" s="11">
        <f t="shared" si="47"/>
        <v>5</v>
      </c>
    </row>
    <row r="3037" spans="1:14" ht="16" x14ac:dyDescent="0.2">
      <c r="A3037" s="3">
        <v>43825</v>
      </c>
      <c r="B3037" s="1" t="s">
        <v>3248</v>
      </c>
      <c r="C3037" t="s">
        <v>252</v>
      </c>
      <c r="D3037">
        <v>9</v>
      </c>
      <c r="E3037">
        <v>252</v>
      </c>
      <c r="F3037">
        <v>63</v>
      </c>
      <c r="G3037">
        <v>2268</v>
      </c>
      <c r="H3037" s="4">
        <v>567</v>
      </c>
      <c r="I3037" s="4">
        <v>1701</v>
      </c>
      <c r="J3037" t="s">
        <v>968</v>
      </c>
      <c r="K3037" t="s">
        <v>42</v>
      </c>
      <c r="L3037" s="4">
        <v>11.961761925704458</v>
      </c>
      <c r="M3037" s="1" t="s">
        <v>38</v>
      </c>
      <c r="N3037" s="11">
        <f t="shared" si="47"/>
        <v>5</v>
      </c>
    </row>
    <row r="3038" spans="1:14" ht="16" x14ac:dyDescent="0.2">
      <c r="A3038" s="3">
        <v>43826</v>
      </c>
      <c r="B3038" s="1" t="s">
        <v>3249</v>
      </c>
      <c r="C3038" t="s">
        <v>133</v>
      </c>
      <c r="D3038">
        <v>11</v>
      </c>
      <c r="E3038">
        <v>189</v>
      </c>
      <c r="F3038">
        <v>63</v>
      </c>
      <c r="G3038">
        <v>2079</v>
      </c>
      <c r="H3038" s="4">
        <v>693</v>
      </c>
      <c r="I3038" s="4">
        <v>1386</v>
      </c>
      <c r="J3038" t="s">
        <v>234</v>
      </c>
      <c r="K3038" t="s">
        <v>64</v>
      </c>
      <c r="L3038" s="4">
        <v>12.200533931675887</v>
      </c>
      <c r="M3038" s="1" t="s">
        <v>38</v>
      </c>
      <c r="N3038" s="11">
        <f t="shared" si="47"/>
        <v>5</v>
      </c>
    </row>
    <row r="3039" spans="1:14" ht="16" x14ac:dyDescent="0.2">
      <c r="A3039" s="3">
        <v>43827</v>
      </c>
      <c r="B3039" s="1" t="s">
        <v>3250</v>
      </c>
      <c r="C3039" t="s">
        <v>261</v>
      </c>
      <c r="D3039">
        <v>4</v>
      </c>
      <c r="E3039">
        <v>92</v>
      </c>
      <c r="F3039">
        <v>46</v>
      </c>
      <c r="G3039">
        <v>368</v>
      </c>
      <c r="H3039" s="4">
        <v>184</v>
      </c>
      <c r="I3039" s="4">
        <v>184</v>
      </c>
      <c r="J3039" t="s">
        <v>448</v>
      </c>
      <c r="K3039" t="s">
        <v>58</v>
      </c>
      <c r="L3039" s="4">
        <v>15.770846827234339</v>
      </c>
      <c r="M3039" s="1" t="s">
        <v>38</v>
      </c>
      <c r="N3039" s="11">
        <f t="shared" si="47"/>
        <v>5</v>
      </c>
    </row>
    <row r="3040" spans="1:14" ht="16" x14ac:dyDescent="0.2">
      <c r="A3040" s="3">
        <v>43828</v>
      </c>
      <c r="B3040" s="1" t="s">
        <v>3251</v>
      </c>
      <c r="C3040" t="s">
        <v>154</v>
      </c>
      <c r="D3040">
        <v>3</v>
      </c>
      <c r="E3040">
        <v>308</v>
      </c>
      <c r="F3040">
        <v>77</v>
      </c>
      <c r="G3040">
        <v>924</v>
      </c>
      <c r="H3040" s="4">
        <v>231</v>
      </c>
      <c r="I3040" s="4">
        <v>693</v>
      </c>
      <c r="J3040" t="s">
        <v>161</v>
      </c>
      <c r="K3040" t="s">
        <v>33</v>
      </c>
      <c r="L3040" s="4">
        <v>14.370283356317486</v>
      </c>
      <c r="M3040" s="1" t="s">
        <v>54</v>
      </c>
      <c r="N3040" s="11">
        <f t="shared" si="47"/>
        <v>10</v>
      </c>
    </row>
    <row r="3041" spans="1:14" ht="16" x14ac:dyDescent="0.2">
      <c r="A3041" s="3">
        <v>43829</v>
      </c>
      <c r="B3041" s="1" t="s">
        <v>3252</v>
      </c>
      <c r="C3041" t="s">
        <v>139</v>
      </c>
      <c r="D3041">
        <v>8</v>
      </c>
      <c r="E3041">
        <v>320</v>
      </c>
      <c r="F3041">
        <v>80</v>
      </c>
      <c r="G3041">
        <v>2560</v>
      </c>
      <c r="H3041" s="4">
        <v>640</v>
      </c>
      <c r="I3041" s="4">
        <v>1920</v>
      </c>
      <c r="J3041" t="s">
        <v>307</v>
      </c>
      <c r="K3041" t="s">
        <v>53</v>
      </c>
      <c r="L3041" s="4">
        <v>7.0114620475168028</v>
      </c>
      <c r="M3041" s="1" t="s">
        <v>54</v>
      </c>
      <c r="N3041" s="11">
        <f t="shared" si="47"/>
        <v>10</v>
      </c>
    </row>
    <row r="3042" spans="1:14" ht="16" x14ac:dyDescent="0.2">
      <c r="A3042" s="3">
        <v>43830</v>
      </c>
      <c r="B3042" s="1" t="s">
        <v>3253</v>
      </c>
      <c r="C3042" t="s">
        <v>248</v>
      </c>
      <c r="D3042">
        <v>13</v>
      </c>
      <c r="E3042">
        <v>132</v>
      </c>
      <c r="F3042">
        <v>44</v>
      </c>
      <c r="G3042">
        <v>1716</v>
      </c>
      <c r="H3042" s="4">
        <v>572</v>
      </c>
      <c r="I3042" s="4">
        <v>1144</v>
      </c>
      <c r="J3042" t="s">
        <v>587</v>
      </c>
      <c r="K3042" t="s">
        <v>49</v>
      </c>
      <c r="L3042" s="4">
        <v>14.760829371220243</v>
      </c>
      <c r="M3042" s="1" t="s">
        <v>38</v>
      </c>
      <c r="N3042" s="11">
        <f t="shared" si="47"/>
        <v>5</v>
      </c>
    </row>
    <row r="3043" spans="1:14" ht="16" x14ac:dyDescent="0.2">
      <c r="A3043" s="3">
        <v>43831</v>
      </c>
      <c r="B3043" s="1" t="s">
        <v>3254</v>
      </c>
      <c r="C3043" t="s">
        <v>312</v>
      </c>
      <c r="D3043">
        <v>2</v>
      </c>
      <c r="E3043">
        <v>240</v>
      </c>
      <c r="F3043">
        <v>80</v>
      </c>
      <c r="G3043">
        <v>480</v>
      </c>
      <c r="H3043" s="4">
        <v>160</v>
      </c>
      <c r="I3043" s="4">
        <v>320</v>
      </c>
      <c r="J3043" t="s">
        <v>689</v>
      </c>
      <c r="K3043" t="s">
        <v>58</v>
      </c>
      <c r="L3043" s="4">
        <v>13.486912834801583</v>
      </c>
      <c r="M3043" s="1" t="s">
        <v>54</v>
      </c>
      <c r="N3043" s="11">
        <f t="shared" si="47"/>
        <v>10</v>
      </c>
    </row>
    <row r="3044" spans="1:14" ht="16" x14ac:dyDescent="0.2">
      <c r="A3044" s="3">
        <v>43832</v>
      </c>
      <c r="B3044" s="1" t="s">
        <v>2984</v>
      </c>
      <c r="C3044" t="s">
        <v>84</v>
      </c>
      <c r="D3044">
        <v>3</v>
      </c>
      <c r="E3044">
        <v>126</v>
      </c>
      <c r="F3044">
        <v>42</v>
      </c>
      <c r="G3044">
        <v>378</v>
      </c>
      <c r="H3044" s="4">
        <v>126</v>
      </c>
      <c r="I3044" s="4">
        <v>252</v>
      </c>
      <c r="J3044" t="s">
        <v>940</v>
      </c>
      <c r="K3044" t="s">
        <v>86</v>
      </c>
      <c r="L3044" s="4">
        <v>9.2053706474810433</v>
      </c>
      <c r="M3044" s="1" t="s">
        <v>38</v>
      </c>
      <c r="N3044" s="11">
        <f t="shared" si="47"/>
        <v>5</v>
      </c>
    </row>
    <row r="3045" spans="1:14" ht="16" x14ac:dyDescent="0.2">
      <c r="A3045" s="3">
        <v>43833</v>
      </c>
      <c r="B3045" s="1" t="s">
        <v>3255</v>
      </c>
      <c r="C3045" t="s">
        <v>151</v>
      </c>
      <c r="D3045">
        <v>16</v>
      </c>
      <c r="E3045">
        <v>153</v>
      </c>
      <c r="F3045">
        <v>51</v>
      </c>
      <c r="G3045">
        <v>2448</v>
      </c>
      <c r="H3045" s="4">
        <v>816</v>
      </c>
      <c r="I3045" s="4">
        <v>1632</v>
      </c>
      <c r="J3045" t="s">
        <v>914</v>
      </c>
      <c r="K3045" t="s">
        <v>42</v>
      </c>
      <c r="L3045" s="4">
        <v>13.853438793083487</v>
      </c>
      <c r="M3045" s="1" t="s">
        <v>54</v>
      </c>
      <c r="N3045" s="11">
        <f t="shared" si="47"/>
        <v>10</v>
      </c>
    </row>
    <row r="3046" spans="1:14" ht="16" x14ac:dyDescent="0.2">
      <c r="A3046" s="3">
        <v>43834</v>
      </c>
      <c r="B3046" s="1" t="s">
        <v>3256</v>
      </c>
      <c r="C3046" t="s">
        <v>130</v>
      </c>
      <c r="D3046">
        <v>6</v>
      </c>
      <c r="E3046">
        <v>144</v>
      </c>
      <c r="F3046">
        <v>48</v>
      </c>
      <c r="G3046">
        <v>864</v>
      </c>
      <c r="H3046" s="4">
        <v>288</v>
      </c>
      <c r="I3046" s="4">
        <v>576</v>
      </c>
      <c r="J3046" t="s">
        <v>331</v>
      </c>
      <c r="K3046" t="s">
        <v>58</v>
      </c>
      <c r="L3046" s="4">
        <v>15.18789248529443</v>
      </c>
      <c r="M3046" s="1" t="s">
        <v>38</v>
      </c>
      <c r="N3046" s="11">
        <f t="shared" si="47"/>
        <v>5</v>
      </c>
    </row>
    <row r="3047" spans="1:14" ht="16" x14ac:dyDescent="0.2">
      <c r="A3047" s="3">
        <v>43835</v>
      </c>
      <c r="B3047" s="1" t="s">
        <v>3257</v>
      </c>
      <c r="C3047" t="s">
        <v>297</v>
      </c>
      <c r="D3047">
        <v>9</v>
      </c>
      <c r="E3047">
        <v>108</v>
      </c>
      <c r="F3047">
        <v>36</v>
      </c>
      <c r="G3047">
        <v>972</v>
      </c>
      <c r="H3047" s="4">
        <v>324</v>
      </c>
      <c r="I3047" s="4">
        <v>648</v>
      </c>
      <c r="J3047" t="s">
        <v>89</v>
      </c>
      <c r="K3047" t="s">
        <v>64</v>
      </c>
      <c r="L3047" s="4">
        <v>12.865074657680612</v>
      </c>
      <c r="M3047" s="1" t="s">
        <v>38</v>
      </c>
      <c r="N3047" s="11">
        <f t="shared" si="47"/>
        <v>5</v>
      </c>
    </row>
    <row r="3048" spans="1:14" ht="16" x14ac:dyDescent="0.2">
      <c r="A3048" s="3">
        <v>43836</v>
      </c>
      <c r="B3048" s="1" t="s">
        <v>3258</v>
      </c>
      <c r="C3048" t="s">
        <v>259</v>
      </c>
      <c r="D3048">
        <v>6</v>
      </c>
      <c r="E3048">
        <v>270</v>
      </c>
      <c r="F3048">
        <v>90</v>
      </c>
      <c r="G3048">
        <v>1620</v>
      </c>
      <c r="H3048" s="4">
        <v>540</v>
      </c>
      <c r="I3048" s="4">
        <v>1080</v>
      </c>
      <c r="J3048" t="s">
        <v>380</v>
      </c>
      <c r="K3048" t="s">
        <v>64</v>
      </c>
      <c r="L3048" s="4">
        <v>11.416048240262977</v>
      </c>
      <c r="M3048" s="1" t="s">
        <v>38</v>
      </c>
      <c r="N3048" s="11">
        <f t="shared" si="47"/>
        <v>5</v>
      </c>
    </row>
    <row r="3049" spans="1:14" ht="16" x14ac:dyDescent="0.2">
      <c r="A3049" s="3">
        <v>43837</v>
      </c>
      <c r="B3049" s="1" t="s">
        <v>3259</v>
      </c>
      <c r="C3049" t="s">
        <v>317</v>
      </c>
      <c r="D3049">
        <v>15</v>
      </c>
      <c r="E3049">
        <v>352</v>
      </c>
      <c r="F3049">
        <v>88</v>
      </c>
      <c r="G3049">
        <v>5280</v>
      </c>
      <c r="H3049" s="4">
        <v>1320</v>
      </c>
      <c r="I3049" s="4">
        <v>3960</v>
      </c>
      <c r="J3049" t="s">
        <v>453</v>
      </c>
      <c r="K3049" t="s">
        <v>42</v>
      </c>
      <c r="L3049" s="4">
        <v>13.104576594826185</v>
      </c>
      <c r="M3049" s="1" t="s">
        <v>38</v>
      </c>
      <c r="N3049" s="11">
        <f t="shared" si="47"/>
        <v>5</v>
      </c>
    </row>
    <row r="3050" spans="1:14" ht="16" x14ac:dyDescent="0.2">
      <c r="A3050" s="3">
        <v>43838</v>
      </c>
      <c r="B3050" s="1" t="s">
        <v>3260</v>
      </c>
      <c r="C3050" t="s">
        <v>66</v>
      </c>
      <c r="D3050">
        <v>16</v>
      </c>
      <c r="E3050">
        <v>144</v>
      </c>
      <c r="F3050">
        <v>48</v>
      </c>
      <c r="G3050">
        <v>2304</v>
      </c>
      <c r="H3050" s="4">
        <v>768</v>
      </c>
      <c r="I3050" s="4">
        <v>1536</v>
      </c>
      <c r="J3050" t="s">
        <v>704</v>
      </c>
      <c r="K3050" t="s">
        <v>86</v>
      </c>
      <c r="L3050" s="4">
        <v>12.699042739101285</v>
      </c>
      <c r="M3050" s="1" t="s">
        <v>38</v>
      </c>
      <c r="N3050" s="11">
        <f t="shared" si="47"/>
        <v>5</v>
      </c>
    </row>
    <row r="3051" spans="1:14" ht="16" x14ac:dyDescent="0.2">
      <c r="A3051" s="3">
        <v>43839</v>
      </c>
      <c r="B3051" s="1" t="s">
        <v>3261</v>
      </c>
      <c r="C3051" t="s">
        <v>78</v>
      </c>
      <c r="D3051">
        <v>7</v>
      </c>
      <c r="E3051">
        <v>94</v>
      </c>
      <c r="F3051">
        <v>47</v>
      </c>
      <c r="G3051">
        <v>658</v>
      </c>
      <c r="H3051" s="4">
        <v>329</v>
      </c>
      <c r="I3051" s="4">
        <v>329</v>
      </c>
      <c r="J3051" t="s">
        <v>752</v>
      </c>
      <c r="K3051" t="s">
        <v>49</v>
      </c>
      <c r="L3051" s="4">
        <v>11.862005526237752</v>
      </c>
      <c r="M3051" s="1" t="s">
        <v>38</v>
      </c>
      <c r="N3051" s="11">
        <f t="shared" si="47"/>
        <v>5</v>
      </c>
    </row>
    <row r="3052" spans="1:14" ht="16" x14ac:dyDescent="0.2">
      <c r="A3052" s="3">
        <v>43840</v>
      </c>
      <c r="B3052" s="1" t="s">
        <v>2448</v>
      </c>
      <c r="C3052" t="s">
        <v>185</v>
      </c>
      <c r="D3052">
        <v>6</v>
      </c>
      <c r="E3052">
        <v>146</v>
      </c>
      <c r="F3052">
        <v>73</v>
      </c>
      <c r="G3052">
        <v>876</v>
      </c>
      <c r="H3052" s="4">
        <v>438</v>
      </c>
      <c r="I3052" s="4">
        <v>438</v>
      </c>
      <c r="J3052" t="s">
        <v>397</v>
      </c>
      <c r="K3052" t="s">
        <v>49</v>
      </c>
      <c r="L3052" s="4">
        <v>9.4239783062860578</v>
      </c>
      <c r="M3052" s="1" t="s">
        <v>38</v>
      </c>
      <c r="N3052" s="11">
        <f t="shared" si="47"/>
        <v>5</v>
      </c>
    </row>
    <row r="3053" spans="1:14" ht="16" x14ac:dyDescent="0.2">
      <c r="A3053" s="3">
        <v>43841</v>
      </c>
      <c r="B3053" s="1" t="s">
        <v>1687</v>
      </c>
      <c r="C3053" t="s">
        <v>110</v>
      </c>
      <c r="D3053">
        <v>13</v>
      </c>
      <c r="E3053">
        <v>144</v>
      </c>
      <c r="F3053">
        <v>36</v>
      </c>
      <c r="G3053">
        <v>1872</v>
      </c>
      <c r="H3053" s="4">
        <v>468</v>
      </c>
      <c r="I3053" s="4">
        <v>1404</v>
      </c>
      <c r="J3053" t="s">
        <v>609</v>
      </c>
      <c r="K3053" t="s">
        <v>64</v>
      </c>
      <c r="L3053" s="4">
        <v>12.564315242820944</v>
      </c>
      <c r="M3053" s="1" t="s">
        <v>34</v>
      </c>
      <c r="N3053" s="11">
        <f t="shared" si="47"/>
        <v>1</v>
      </c>
    </row>
    <row r="3054" spans="1:14" ht="16" x14ac:dyDescent="0.2">
      <c r="A3054" s="3">
        <v>43842</v>
      </c>
      <c r="B3054" s="1" t="s">
        <v>3262</v>
      </c>
      <c r="C3054" t="s">
        <v>204</v>
      </c>
      <c r="D3054">
        <v>2</v>
      </c>
      <c r="E3054">
        <v>57</v>
      </c>
      <c r="F3054">
        <v>19</v>
      </c>
      <c r="G3054">
        <v>114</v>
      </c>
      <c r="H3054" s="4">
        <v>38</v>
      </c>
      <c r="I3054" s="4">
        <v>76</v>
      </c>
      <c r="J3054" t="s">
        <v>691</v>
      </c>
      <c r="K3054" t="s">
        <v>33</v>
      </c>
      <c r="L3054" s="4">
        <v>10.248947386022252</v>
      </c>
      <c r="M3054" s="1" t="s">
        <v>34</v>
      </c>
      <c r="N3054" s="11">
        <f t="shared" si="47"/>
        <v>1</v>
      </c>
    </row>
    <row r="3055" spans="1:14" ht="16" x14ac:dyDescent="0.2">
      <c r="A3055" s="3">
        <v>43843</v>
      </c>
      <c r="B3055" s="1" t="s">
        <v>3263</v>
      </c>
      <c r="C3055" t="s">
        <v>201</v>
      </c>
      <c r="D3055">
        <v>20</v>
      </c>
      <c r="E3055">
        <v>30</v>
      </c>
      <c r="F3055">
        <v>15</v>
      </c>
      <c r="G3055">
        <v>600</v>
      </c>
      <c r="H3055" s="4">
        <v>300</v>
      </c>
      <c r="I3055" s="4">
        <v>300</v>
      </c>
      <c r="J3055" t="s">
        <v>253</v>
      </c>
      <c r="K3055" t="s">
        <v>53</v>
      </c>
      <c r="L3055" s="4">
        <v>13.918153610259502</v>
      </c>
      <c r="M3055" s="1" t="s">
        <v>38</v>
      </c>
      <c r="N3055" s="11">
        <f t="shared" si="47"/>
        <v>5</v>
      </c>
    </row>
    <row r="3056" spans="1:14" ht="16" x14ac:dyDescent="0.2">
      <c r="A3056" s="3">
        <v>43844</v>
      </c>
      <c r="B3056" s="1" t="s">
        <v>3264</v>
      </c>
      <c r="C3056" t="s">
        <v>561</v>
      </c>
      <c r="D3056">
        <v>11</v>
      </c>
      <c r="E3056">
        <v>384</v>
      </c>
      <c r="F3056">
        <v>96</v>
      </c>
      <c r="G3056">
        <v>4224</v>
      </c>
      <c r="H3056" s="4">
        <v>1056</v>
      </c>
      <c r="I3056" s="4">
        <v>3168</v>
      </c>
      <c r="J3056" t="s">
        <v>363</v>
      </c>
      <c r="K3056" t="s">
        <v>64</v>
      </c>
      <c r="L3056" s="4">
        <v>14.690198582365463</v>
      </c>
      <c r="M3056" s="1" t="s">
        <v>34</v>
      </c>
      <c r="N3056" s="11">
        <f t="shared" si="47"/>
        <v>1</v>
      </c>
    </row>
    <row r="3057" spans="1:14" ht="16" x14ac:dyDescent="0.2">
      <c r="A3057" s="3">
        <v>43845</v>
      </c>
      <c r="B3057" s="1" t="s">
        <v>3265</v>
      </c>
      <c r="C3057" t="s">
        <v>283</v>
      </c>
      <c r="D3057">
        <v>15</v>
      </c>
      <c r="E3057">
        <v>144</v>
      </c>
      <c r="F3057">
        <v>36</v>
      </c>
      <c r="G3057">
        <v>2160</v>
      </c>
      <c r="H3057" s="4">
        <v>540</v>
      </c>
      <c r="I3057" s="4">
        <v>1620</v>
      </c>
      <c r="J3057" t="s">
        <v>116</v>
      </c>
      <c r="K3057" t="s">
        <v>64</v>
      </c>
      <c r="L3057" s="4">
        <v>14.697745043716761</v>
      </c>
      <c r="M3057" s="1" t="s">
        <v>34</v>
      </c>
      <c r="N3057" s="11">
        <f t="shared" si="47"/>
        <v>1</v>
      </c>
    </row>
    <row r="3058" spans="1:14" ht="16" x14ac:dyDescent="0.2">
      <c r="A3058" s="3">
        <v>43846</v>
      </c>
      <c r="B3058" s="1" t="s">
        <v>2322</v>
      </c>
      <c r="C3058" t="s">
        <v>47</v>
      </c>
      <c r="D3058">
        <v>17</v>
      </c>
      <c r="E3058">
        <v>231</v>
      </c>
      <c r="F3058">
        <v>77</v>
      </c>
      <c r="G3058">
        <v>3927</v>
      </c>
      <c r="H3058" s="4">
        <v>1309</v>
      </c>
      <c r="I3058" s="4">
        <v>2618</v>
      </c>
      <c r="J3058" t="s">
        <v>41</v>
      </c>
      <c r="K3058" t="s">
        <v>42</v>
      </c>
      <c r="L3058" s="4">
        <v>9.3226775515721787</v>
      </c>
      <c r="M3058" s="1" t="s">
        <v>38</v>
      </c>
      <c r="N3058" s="11">
        <f t="shared" si="47"/>
        <v>5</v>
      </c>
    </row>
    <row r="3059" spans="1:14" ht="16" x14ac:dyDescent="0.2">
      <c r="A3059" s="3">
        <v>43847</v>
      </c>
      <c r="B3059" s="1" t="s">
        <v>3266</v>
      </c>
      <c r="C3059" t="s">
        <v>365</v>
      </c>
      <c r="D3059">
        <v>5</v>
      </c>
      <c r="E3059">
        <v>255</v>
      </c>
      <c r="F3059">
        <v>85</v>
      </c>
      <c r="G3059">
        <v>1275</v>
      </c>
      <c r="H3059" s="4">
        <v>425</v>
      </c>
      <c r="I3059" s="4">
        <v>850</v>
      </c>
      <c r="J3059" t="s">
        <v>504</v>
      </c>
      <c r="K3059" t="s">
        <v>53</v>
      </c>
      <c r="L3059" s="4">
        <v>12.801144805697081</v>
      </c>
      <c r="M3059" s="1" t="s">
        <v>54</v>
      </c>
      <c r="N3059" s="11">
        <f t="shared" si="47"/>
        <v>10</v>
      </c>
    </row>
    <row r="3060" spans="1:14" ht="16" x14ac:dyDescent="0.2">
      <c r="A3060" s="3">
        <v>43848</v>
      </c>
      <c r="B3060" s="1" t="s">
        <v>3267</v>
      </c>
      <c r="C3060" t="s">
        <v>317</v>
      </c>
      <c r="D3060">
        <v>14</v>
      </c>
      <c r="E3060">
        <v>352</v>
      </c>
      <c r="F3060">
        <v>88</v>
      </c>
      <c r="G3060">
        <v>4928</v>
      </c>
      <c r="H3060" s="4">
        <v>1232</v>
      </c>
      <c r="I3060" s="4">
        <v>3696</v>
      </c>
      <c r="J3060" t="s">
        <v>569</v>
      </c>
      <c r="K3060" t="s">
        <v>33</v>
      </c>
      <c r="L3060" s="4">
        <v>12.921682080641304</v>
      </c>
      <c r="M3060" s="1" t="s">
        <v>38</v>
      </c>
      <c r="N3060" s="11">
        <f t="shared" si="47"/>
        <v>5</v>
      </c>
    </row>
    <row r="3061" spans="1:14" ht="16" x14ac:dyDescent="0.2">
      <c r="A3061" s="3">
        <v>43849</v>
      </c>
      <c r="B3061" s="1" t="s">
        <v>3268</v>
      </c>
      <c r="C3061" t="s">
        <v>62</v>
      </c>
      <c r="D3061">
        <v>8</v>
      </c>
      <c r="E3061">
        <v>80</v>
      </c>
      <c r="F3061">
        <v>20</v>
      </c>
      <c r="G3061">
        <v>640</v>
      </c>
      <c r="H3061" s="4">
        <v>160</v>
      </c>
      <c r="I3061" s="4">
        <v>480</v>
      </c>
      <c r="J3061" t="s">
        <v>52</v>
      </c>
      <c r="K3061" t="s">
        <v>53</v>
      </c>
      <c r="L3061" s="4">
        <v>12.169266722245851</v>
      </c>
      <c r="M3061" s="1" t="s">
        <v>38</v>
      </c>
      <c r="N3061" s="11">
        <f t="shared" si="47"/>
        <v>5</v>
      </c>
    </row>
    <row r="3062" spans="1:14" ht="16" x14ac:dyDescent="0.2">
      <c r="A3062" s="3">
        <v>43850</v>
      </c>
      <c r="B3062" s="1" t="s">
        <v>3269</v>
      </c>
      <c r="C3062" t="s">
        <v>72</v>
      </c>
      <c r="D3062">
        <v>19</v>
      </c>
      <c r="E3062">
        <v>352</v>
      </c>
      <c r="F3062">
        <v>88</v>
      </c>
      <c r="G3062">
        <v>6688</v>
      </c>
      <c r="H3062" s="4">
        <v>1672</v>
      </c>
      <c r="I3062" s="4">
        <v>5016</v>
      </c>
      <c r="J3062" t="s">
        <v>216</v>
      </c>
      <c r="K3062" t="s">
        <v>58</v>
      </c>
      <c r="L3062" s="4">
        <v>15.556812309269255</v>
      </c>
      <c r="M3062" s="1" t="s">
        <v>34</v>
      </c>
      <c r="N3062" s="11">
        <f t="shared" si="47"/>
        <v>1</v>
      </c>
    </row>
    <row r="3063" spans="1:14" ht="16" x14ac:dyDescent="0.2">
      <c r="A3063" s="3">
        <v>43851</v>
      </c>
      <c r="B3063" s="1" t="s">
        <v>3270</v>
      </c>
      <c r="C3063" t="s">
        <v>538</v>
      </c>
      <c r="D3063">
        <v>1</v>
      </c>
      <c r="E3063">
        <v>261</v>
      </c>
      <c r="F3063">
        <v>87</v>
      </c>
      <c r="G3063">
        <v>261</v>
      </c>
      <c r="H3063" s="4">
        <v>87</v>
      </c>
      <c r="I3063" s="4">
        <v>174</v>
      </c>
      <c r="J3063" t="s">
        <v>268</v>
      </c>
      <c r="K3063" t="s">
        <v>49</v>
      </c>
      <c r="L3063" s="4">
        <v>11.756374828790458</v>
      </c>
      <c r="M3063" s="1" t="s">
        <v>54</v>
      </c>
      <c r="N3063" s="11">
        <f t="shared" si="47"/>
        <v>10</v>
      </c>
    </row>
    <row r="3064" spans="1:14" ht="16" x14ac:dyDescent="0.2">
      <c r="A3064" s="3">
        <v>43852</v>
      </c>
      <c r="B3064" s="1" t="s">
        <v>2896</v>
      </c>
      <c r="C3064" t="s">
        <v>120</v>
      </c>
      <c r="D3064">
        <v>11</v>
      </c>
      <c r="E3064">
        <v>252</v>
      </c>
      <c r="F3064">
        <v>63</v>
      </c>
      <c r="G3064">
        <v>2772</v>
      </c>
      <c r="H3064" s="4">
        <v>693</v>
      </c>
      <c r="I3064" s="4">
        <v>2079</v>
      </c>
      <c r="J3064" t="s">
        <v>482</v>
      </c>
      <c r="K3064" t="s">
        <v>42</v>
      </c>
      <c r="L3064" s="4">
        <v>11.311040680082275</v>
      </c>
      <c r="M3064" s="1" t="s">
        <v>54</v>
      </c>
      <c r="N3064" s="11">
        <f t="shared" si="47"/>
        <v>10</v>
      </c>
    </row>
    <row r="3065" spans="1:14" ht="16" x14ac:dyDescent="0.2">
      <c r="A3065" s="3">
        <v>43853</v>
      </c>
      <c r="B3065" s="1" t="s">
        <v>3271</v>
      </c>
      <c r="C3065" t="s">
        <v>337</v>
      </c>
      <c r="D3065">
        <v>2</v>
      </c>
      <c r="E3065">
        <v>135</v>
      </c>
      <c r="F3065">
        <v>45</v>
      </c>
      <c r="G3065">
        <v>270</v>
      </c>
      <c r="H3065" s="4">
        <v>90</v>
      </c>
      <c r="I3065" s="4">
        <v>180</v>
      </c>
      <c r="J3065" t="s">
        <v>186</v>
      </c>
      <c r="K3065" t="s">
        <v>58</v>
      </c>
      <c r="L3065" s="4">
        <v>11.31221475547909</v>
      </c>
      <c r="M3065" s="1" t="s">
        <v>54</v>
      </c>
      <c r="N3065" s="11">
        <f t="shared" si="47"/>
        <v>10</v>
      </c>
    </row>
    <row r="3066" spans="1:14" ht="16" x14ac:dyDescent="0.2">
      <c r="A3066" s="3">
        <v>43854</v>
      </c>
      <c r="B3066" s="1" t="s">
        <v>3272</v>
      </c>
      <c r="C3066" t="s">
        <v>215</v>
      </c>
      <c r="D3066">
        <v>1</v>
      </c>
      <c r="E3066">
        <v>176</v>
      </c>
      <c r="F3066">
        <v>88</v>
      </c>
      <c r="G3066">
        <v>176</v>
      </c>
      <c r="H3066" s="4">
        <v>88</v>
      </c>
      <c r="I3066" s="4">
        <v>88</v>
      </c>
      <c r="J3066" t="s">
        <v>542</v>
      </c>
      <c r="K3066" t="s">
        <v>58</v>
      </c>
      <c r="L3066" s="4">
        <v>13.929237493388955</v>
      </c>
      <c r="M3066" s="1" t="s">
        <v>38</v>
      </c>
      <c r="N3066" s="11">
        <f t="shared" si="47"/>
        <v>5</v>
      </c>
    </row>
    <row r="3067" spans="1:14" ht="16" x14ac:dyDescent="0.2">
      <c r="A3067" s="3">
        <v>43855</v>
      </c>
      <c r="B3067" s="1" t="s">
        <v>3273</v>
      </c>
      <c r="C3067" t="s">
        <v>503</v>
      </c>
      <c r="D3067">
        <v>8</v>
      </c>
      <c r="E3067">
        <v>50</v>
      </c>
      <c r="F3067">
        <v>25</v>
      </c>
      <c r="G3067">
        <v>400</v>
      </c>
      <c r="H3067" s="4">
        <v>200</v>
      </c>
      <c r="I3067" s="4">
        <v>200</v>
      </c>
      <c r="J3067" t="s">
        <v>485</v>
      </c>
      <c r="K3067" t="s">
        <v>49</v>
      </c>
      <c r="L3067" s="4">
        <v>12.889576147248359</v>
      </c>
      <c r="M3067" s="1" t="s">
        <v>54</v>
      </c>
      <c r="N3067" s="11">
        <f t="shared" si="47"/>
        <v>10</v>
      </c>
    </row>
    <row r="3068" spans="1:14" ht="16" x14ac:dyDescent="0.2">
      <c r="A3068" s="3">
        <v>43856</v>
      </c>
      <c r="B3068" s="1" t="s">
        <v>3274</v>
      </c>
      <c r="C3068" t="s">
        <v>88</v>
      </c>
      <c r="D3068">
        <v>20</v>
      </c>
      <c r="E3068">
        <v>210</v>
      </c>
      <c r="F3068">
        <v>70</v>
      </c>
      <c r="G3068">
        <v>4200</v>
      </c>
      <c r="H3068" s="4">
        <v>1400</v>
      </c>
      <c r="I3068" s="4">
        <v>2800</v>
      </c>
      <c r="J3068" t="s">
        <v>892</v>
      </c>
      <c r="K3068" t="s">
        <v>33</v>
      </c>
      <c r="L3068" s="4">
        <v>13.062292798511226</v>
      </c>
      <c r="M3068" s="1" t="s">
        <v>38</v>
      </c>
      <c r="N3068" s="11">
        <f t="shared" si="47"/>
        <v>5</v>
      </c>
    </row>
    <row r="3069" spans="1:14" ht="16" x14ac:dyDescent="0.2">
      <c r="A3069" s="3">
        <v>43857</v>
      </c>
      <c r="B3069" s="1" t="s">
        <v>2472</v>
      </c>
      <c r="C3069" t="s">
        <v>276</v>
      </c>
      <c r="D3069">
        <v>14</v>
      </c>
      <c r="E3069">
        <v>57</v>
      </c>
      <c r="F3069">
        <v>19</v>
      </c>
      <c r="G3069">
        <v>798</v>
      </c>
      <c r="H3069" s="4">
        <v>266</v>
      </c>
      <c r="I3069" s="4">
        <v>532</v>
      </c>
      <c r="J3069" t="s">
        <v>1401</v>
      </c>
      <c r="K3069" t="s">
        <v>58</v>
      </c>
      <c r="L3069" s="4">
        <v>11.0700865530371</v>
      </c>
      <c r="M3069" s="1" t="s">
        <v>38</v>
      </c>
      <c r="N3069" s="11">
        <f t="shared" si="47"/>
        <v>5</v>
      </c>
    </row>
    <row r="3070" spans="1:14" ht="16" x14ac:dyDescent="0.2">
      <c r="A3070" s="3">
        <v>43858</v>
      </c>
      <c r="B3070" s="1" t="s">
        <v>3275</v>
      </c>
      <c r="C3070" t="s">
        <v>337</v>
      </c>
      <c r="D3070">
        <v>8</v>
      </c>
      <c r="E3070">
        <v>135</v>
      </c>
      <c r="F3070">
        <v>45</v>
      </c>
      <c r="G3070">
        <v>1080</v>
      </c>
      <c r="H3070" s="4">
        <v>360</v>
      </c>
      <c r="I3070" s="4">
        <v>720</v>
      </c>
      <c r="J3070" t="s">
        <v>1573</v>
      </c>
      <c r="K3070" t="s">
        <v>64</v>
      </c>
      <c r="L3070" s="4">
        <v>10.78374703625888</v>
      </c>
      <c r="M3070" s="1" t="s">
        <v>34</v>
      </c>
      <c r="N3070" s="11">
        <f t="shared" si="47"/>
        <v>1</v>
      </c>
    </row>
    <row r="3071" spans="1:14" ht="16" x14ac:dyDescent="0.2">
      <c r="A3071" s="3">
        <v>43859</v>
      </c>
      <c r="B3071" s="1" t="s">
        <v>3276</v>
      </c>
      <c r="C3071" t="s">
        <v>337</v>
      </c>
      <c r="D3071">
        <v>5</v>
      </c>
      <c r="E3071">
        <v>135</v>
      </c>
      <c r="F3071">
        <v>45</v>
      </c>
      <c r="G3071">
        <v>675</v>
      </c>
      <c r="H3071" s="4">
        <v>225</v>
      </c>
      <c r="I3071" s="4">
        <v>450</v>
      </c>
      <c r="J3071" t="s">
        <v>802</v>
      </c>
      <c r="K3071" t="s">
        <v>58</v>
      </c>
      <c r="L3071" s="4">
        <v>11.943192562152261</v>
      </c>
      <c r="M3071" s="1" t="s">
        <v>38</v>
      </c>
      <c r="N3071" s="11">
        <f t="shared" si="47"/>
        <v>5</v>
      </c>
    </row>
    <row r="3072" spans="1:14" ht="16" x14ac:dyDescent="0.2">
      <c r="A3072" s="3">
        <v>43860</v>
      </c>
      <c r="B3072" s="1" t="s">
        <v>3277</v>
      </c>
      <c r="C3072" t="s">
        <v>248</v>
      </c>
      <c r="D3072">
        <v>2</v>
      </c>
      <c r="E3072">
        <v>132</v>
      </c>
      <c r="F3072">
        <v>44</v>
      </c>
      <c r="G3072">
        <v>264</v>
      </c>
      <c r="H3072" s="4">
        <v>88</v>
      </c>
      <c r="I3072" s="4">
        <v>176</v>
      </c>
      <c r="J3072" t="s">
        <v>202</v>
      </c>
      <c r="K3072" t="s">
        <v>58</v>
      </c>
      <c r="L3072" s="4">
        <v>13.765798454641494</v>
      </c>
      <c r="M3072" s="1" t="s">
        <v>54</v>
      </c>
      <c r="N3072" s="11">
        <f t="shared" si="47"/>
        <v>10</v>
      </c>
    </row>
    <row r="3073" spans="1:14" ht="16" x14ac:dyDescent="0.2">
      <c r="A3073" s="3">
        <v>43861</v>
      </c>
      <c r="B3073" s="1" t="s">
        <v>3278</v>
      </c>
      <c r="C3073" t="s">
        <v>209</v>
      </c>
      <c r="D3073">
        <v>12</v>
      </c>
      <c r="E3073">
        <v>150</v>
      </c>
      <c r="F3073">
        <v>75</v>
      </c>
      <c r="G3073">
        <v>1800</v>
      </c>
      <c r="H3073" s="4">
        <v>900</v>
      </c>
      <c r="I3073" s="4">
        <v>900</v>
      </c>
      <c r="J3073" t="s">
        <v>181</v>
      </c>
      <c r="K3073" t="s">
        <v>53</v>
      </c>
      <c r="L3073" s="4">
        <v>11.727497850343074</v>
      </c>
      <c r="M3073" s="1" t="s">
        <v>34</v>
      </c>
      <c r="N3073" s="11">
        <f t="shared" si="47"/>
        <v>1</v>
      </c>
    </row>
    <row r="3074" spans="1:14" ht="16" x14ac:dyDescent="0.2">
      <c r="A3074" s="3">
        <v>43862</v>
      </c>
      <c r="B3074" s="1" t="s">
        <v>3279</v>
      </c>
      <c r="C3074" t="s">
        <v>125</v>
      </c>
      <c r="D3074">
        <v>9</v>
      </c>
      <c r="E3074">
        <v>176</v>
      </c>
      <c r="F3074">
        <v>88</v>
      </c>
      <c r="G3074">
        <v>1584</v>
      </c>
      <c r="H3074" s="4">
        <v>792</v>
      </c>
      <c r="I3074" s="4">
        <v>792</v>
      </c>
      <c r="J3074" t="s">
        <v>238</v>
      </c>
      <c r="K3074" t="s">
        <v>86</v>
      </c>
      <c r="L3074" s="4">
        <v>14.593670394271927</v>
      </c>
      <c r="M3074" s="1" t="s">
        <v>38</v>
      </c>
      <c r="N3074" s="11">
        <f t="shared" si="47"/>
        <v>5</v>
      </c>
    </row>
    <row r="3075" spans="1:14" ht="16" x14ac:dyDescent="0.2">
      <c r="A3075" s="3">
        <v>43863</v>
      </c>
      <c r="B3075" s="1" t="s">
        <v>1198</v>
      </c>
      <c r="C3075" t="s">
        <v>375</v>
      </c>
      <c r="D3075">
        <v>13</v>
      </c>
      <c r="E3075">
        <v>360</v>
      </c>
      <c r="F3075">
        <v>90</v>
      </c>
      <c r="G3075">
        <v>4680</v>
      </c>
      <c r="H3075" s="4">
        <v>1170</v>
      </c>
      <c r="I3075" s="4">
        <v>3510</v>
      </c>
      <c r="J3075" t="s">
        <v>281</v>
      </c>
      <c r="K3075" t="s">
        <v>33</v>
      </c>
      <c r="L3075" s="4">
        <v>11.428575823958646</v>
      </c>
      <c r="M3075" s="1" t="s">
        <v>38</v>
      </c>
      <c r="N3075" s="11">
        <f t="shared" ref="N3075:N3138" si="48">+IF(M3075="Dissatisfied",1,IF(M3075="Satisfied",10,5))</f>
        <v>5</v>
      </c>
    </row>
    <row r="3076" spans="1:14" ht="16" x14ac:dyDescent="0.2">
      <c r="A3076" s="3">
        <v>43864</v>
      </c>
      <c r="B3076" s="1" t="s">
        <v>3280</v>
      </c>
      <c r="C3076" t="s">
        <v>370</v>
      </c>
      <c r="D3076">
        <v>8</v>
      </c>
      <c r="E3076">
        <v>144</v>
      </c>
      <c r="F3076">
        <v>36</v>
      </c>
      <c r="G3076">
        <v>1152</v>
      </c>
      <c r="H3076" s="4">
        <v>288</v>
      </c>
      <c r="I3076" s="4">
        <v>864</v>
      </c>
      <c r="J3076" t="s">
        <v>221</v>
      </c>
      <c r="K3076" t="s">
        <v>49</v>
      </c>
      <c r="L3076" s="4">
        <v>12.396052160428608</v>
      </c>
      <c r="M3076" s="1" t="s">
        <v>34</v>
      </c>
      <c r="N3076" s="11">
        <f t="shared" si="48"/>
        <v>1</v>
      </c>
    </row>
    <row r="3077" spans="1:14" ht="16" x14ac:dyDescent="0.2">
      <c r="A3077" s="3">
        <v>43865</v>
      </c>
      <c r="B3077" s="1" t="s">
        <v>3281</v>
      </c>
      <c r="C3077" t="s">
        <v>252</v>
      </c>
      <c r="D3077">
        <v>4</v>
      </c>
      <c r="E3077">
        <v>252</v>
      </c>
      <c r="F3077">
        <v>63</v>
      </c>
      <c r="G3077">
        <v>1008</v>
      </c>
      <c r="H3077" s="4">
        <v>252</v>
      </c>
      <c r="I3077" s="4">
        <v>756</v>
      </c>
      <c r="J3077" t="s">
        <v>754</v>
      </c>
      <c r="K3077" t="s">
        <v>42</v>
      </c>
      <c r="L3077" s="4">
        <v>14.376986923104601</v>
      </c>
      <c r="M3077" s="1" t="s">
        <v>34</v>
      </c>
      <c r="N3077" s="11">
        <f t="shared" si="48"/>
        <v>1</v>
      </c>
    </row>
    <row r="3078" spans="1:14" ht="16" x14ac:dyDescent="0.2">
      <c r="A3078" s="3">
        <v>43866</v>
      </c>
      <c r="B3078" s="1" t="s">
        <v>3282</v>
      </c>
      <c r="C3078" t="s">
        <v>81</v>
      </c>
      <c r="D3078">
        <v>17</v>
      </c>
      <c r="E3078">
        <v>166</v>
      </c>
      <c r="F3078">
        <v>83</v>
      </c>
      <c r="G3078">
        <v>2822</v>
      </c>
      <c r="H3078" s="4">
        <v>1411</v>
      </c>
      <c r="I3078" s="4">
        <v>1411</v>
      </c>
      <c r="J3078" t="s">
        <v>938</v>
      </c>
      <c r="K3078" t="s">
        <v>33</v>
      </c>
      <c r="L3078" s="4">
        <v>13.397308081757757</v>
      </c>
      <c r="M3078" s="1" t="s">
        <v>54</v>
      </c>
      <c r="N3078" s="11">
        <f t="shared" si="48"/>
        <v>10</v>
      </c>
    </row>
    <row r="3079" spans="1:14" ht="16" x14ac:dyDescent="0.2">
      <c r="A3079" s="3">
        <v>43867</v>
      </c>
      <c r="B3079" s="1" t="s">
        <v>3283</v>
      </c>
      <c r="C3079" t="s">
        <v>110</v>
      </c>
      <c r="D3079">
        <v>3</v>
      </c>
      <c r="E3079">
        <v>144</v>
      </c>
      <c r="F3079">
        <v>36</v>
      </c>
      <c r="G3079">
        <v>432</v>
      </c>
      <c r="H3079" s="4">
        <v>108</v>
      </c>
      <c r="I3079" s="4">
        <v>324</v>
      </c>
      <c r="J3079" t="s">
        <v>552</v>
      </c>
      <c r="K3079" t="s">
        <v>53</v>
      </c>
      <c r="L3079" s="4">
        <v>9.74650548941427</v>
      </c>
      <c r="M3079" s="1" t="s">
        <v>38</v>
      </c>
      <c r="N3079" s="11">
        <f t="shared" si="48"/>
        <v>5</v>
      </c>
    </row>
    <row r="3080" spans="1:14" ht="16" x14ac:dyDescent="0.2">
      <c r="A3080" s="3">
        <v>43868</v>
      </c>
      <c r="B3080" s="1" t="s">
        <v>3284</v>
      </c>
      <c r="C3080" t="s">
        <v>66</v>
      </c>
      <c r="D3080">
        <v>16</v>
      </c>
      <c r="E3080">
        <v>144</v>
      </c>
      <c r="F3080">
        <v>48</v>
      </c>
      <c r="G3080">
        <v>2304</v>
      </c>
      <c r="H3080" s="4">
        <v>768</v>
      </c>
      <c r="I3080" s="4">
        <v>1536</v>
      </c>
      <c r="J3080" t="s">
        <v>665</v>
      </c>
      <c r="K3080" t="s">
        <v>33</v>
      </c>
      <c r="L3080" s="4">
        <v>6.9183250411917196</v>
      </c>
      <c r="M3080" s="1" t="s">
        <v>38</v>
      </c>
      <c r="N3080" s="11">
        <f t="shared" si="48"/>
        <v>5</v>
      </c>
    </row>
    <row r="3081" spans="1:14" ht="16" x14ac:dyDescent="0.2">
      <c r="A3081" s="3">
        <v>43869</v>
      </c>
      <c r="B3081" s="1" t="s">
        <v>3285</v>
      </c>
      <c r="C3081" t="s">
        <v>248</v>
      </c>
      <c r="D3081">
        <v>4</v>
      </c>
      <c r="E3081">
        <v>132</v>
      </c>
      <c r="F3081">
        <v>44</v>
      </c>
      <c r="G3081">
        <v>528</v>
      </c>
      <c r="H3081" s="4">
        <v>176</v>
      </c>
      <c r="I3081" s="4">
        <v>352</v>
      </c>
      <c r="J3081" t="s">
        <v>678</v>
      </c>
      <c r="K3081" t="s">
        <v>86</v>
      </c>
      <c r="L3081" s="4">
        <v>12.460490918487697</v>
      </c>
      <c r="M3081" s="1" t="s">
        <v>38</v>
      </c>
      <c r="N3081" s="11">
        <f t="shared" si="48"/>
        <v>5</v>
      </c>
    </row>
    <row r="3082" spans="1:14" ht="16" x14ac:dyDescent="0.2">
      <c r="A3082" s="3">
        <v>43870</v>
      </c>
      <c r="B3082" s="1" t="s">
        <v>3286</v>
      </c>
      <c r="C3082" t="s">
        <v>261</v>
      </c>
      <c r="D3082">
        <v>4</v>
      </c>
      <c r="E3082">
        <v>92</v>
      </c>
      <c r="F3082">
        <v>46</v>
      </c>
      <c r="G3082">
        <v>368</v>
      </c>
      <c r="H3082" s="4">
        <v>184</v>
      </c>
      <c r="I3082" s="4">
        <v>184</v>
      </c>
      <c r="J3082" t="s">
        <v>752</v>
      </c>
      <c r="K3082" t="s">
        <v>49</v>
      </c>
      <c r="L3082" s="4">
        <v>11.862005526237752</v>
      </c>
      <c r="M3082" s="1" t="s">
        <v>34</v>
      </c>
      <c r="N3082" s="11">
        <f t="shared" si="48"/>
        <v>1</v>
      </c>
    </row>
    <row r="3083" spans="1:14" ht="16" x14ac:dyDescent="0.2">
      <c r="A3083" s="3">
        <v>43871</v>
      </c>
      <c r="B3083" s="1" t="s">
        <v>3287</v>
      </c>
      <c r="C3083" t="s">
        <v>40</v>
      </c>
      <c r="D3083">
        <v>11</v>
      </c>
      <c r="E3083">
        <v>46</v>
      </c>
      <c r="F3083">
        <v>23</v>
      </c>
      <c r="G3083">
        <v>506</v>
      </c>
      <c r="H3083" s="4">
        <v>253</v>
      </c>
      <c r="I3083" s="4">
        <v>253</v>
      </c>
      <c r="J3083" t="s">
        <v>181</v>
      </c>
      <c r="K3083" t="s">
        <v>53</v>
      </c>
      <c r="L3083" s="4">
        <v>11.727497850343074</v>
      </c>
      <c r="M3083" s="1" t="s">
        <v>34</v>
      </c>
      <c r="N3083" s="11">
        <f t="shared" si="48"/>
        <v>1</v>
      </c>
    </row>
    <row r="3084" spans="1:14" ht="16" x14ac:dyDescent="0.2">
      <c r="A3084" s="3">
        <v>43872</v>
      </c>
      <c r="B3084" s="1" t="s">
        <v>3288</v>
      </c>
      <c r="C3084" t="s">
        <v>84</v>
      </c>
      <c r="D3084">
        <v>18</v>
      </c>
      <c r="E3084">
        <v>126</v>
      </c>
      <c r="F3084">
        <v>42</v>
      </c>
      <c r="G3084">
        <v>2268</v>
      </c>
      <c r="H3084" s="4">
        <v>756</v>
      </c>
      <c r="I3084" s="4">
        <v>1512</v>
      </c>
      <c r="J3084" t="s">
        <v>210</v>
      </c>
      <c r="K3084" t="s">
        <v>58</v>
      </c>
      <c r="L3084" s="4">
        <v>11.995406972581796</v>
      </c>
      <c r="M3084" s="1" t="s">
        <v>34</v>
      </c>
      <c r="N3084" s="11">
        <f t="shared" si="48"/>
        <v>1</v>
      </c>
    </row>
    <row r="3085" spans="1:14" ht="16" x14ac:dyDescent="0.2">
      <c r="A3085" s="3">
        <v>43873</v>
      </c>
      <c r="B3085" s="1" t="s">
        <v>3289</v>
      </c>
      <c r="C3085" t="s">
        <v>91</v>
      </c>
      <c r="D3085">
        <v>19</v>
      </c>
      <c r="E3085">
        <v>300</v>
      </c>
      <c r="F3085">
        <v>75</v>
      </c>
      <c r="G3085">
        <v>5700</v>
      </c>
      <c r="H3085" s="4">
        <v>1425</v>
      </c>
      <c r="I3085" s="4">
        <v>4275</v>
      </c>
      <c r="J3085" t="s">
        <v>76</v>
      </c>
      <c r="K3085" t="s">
        <v>58</v>
      </c>
      <c r="L3085" s="4">
        <v>9.8384363471888783</v>
      </c>
      <c r="M3085" s="1" t="s">
        <v>38</v>
      </c>
      <c r="N3085" s="11">
        <f t="shared" si="48"/>
        <v>5</v>
      </c>
    </row>
    <row r="3086" spans="1:14" ht="16" x14ac:dyDescent="0.2">
      <c r="A3086" s="3">
        <v>43874</v>
      </c>
      <c r="B3086" s="1" t="s">
        <v>3290</v>
      </c>
      <c r="C3086" t="s">
        <v>175</v>
      </c>
      <c r="D3086">
        <v>18</v>
      </c>
      <c r="E3086">
        <v>38</v>
      </c>
      <c r="F3086">
        <v>19</v>
      </c>
      <c r="G3086">
        <v>684</v>
      </c>
      <c r="H3086" s="4">
        <v>342</v>
      </c>
      <c r="I3086" s="4">
        <v>342</v>
      </c>
      <c r="J3086" t="s">
        <v>528</v>
      </c>
      <c r="K3086" t="s">
        <v>33</v>
      </c>
      <c r="L3086" s="4">
        <v>11.003496633574638</v>
      </c>
      <c r="M3086" s="1" t="s">
        <v>54</v>
      </c>
      <c r="N3086" s="11">
        <f t="shared" si="48"/>
        <v>10</v>
      </c>
    </row>
    <row r="3087" spans="1:14" ht="16" x14ac:dyDescent="0.2">
      <c r="A3087" s="3">
        <v>43875</v>
      </c>
      <c r="B3087" s="1" t="s">
        <v>3291</v>
      </c>
      <c r="C3087" t="s">
        <v>503</v>
      </c>
      <c r="D3087">
        <v>5</v>
      </c>
      <c r="E3087">
        <v>50</v>
      </c>
      <c r="F3087">
        <v>25</v>
      </c>
      <c r="G3087">
        <v>250</v>
      </c>
      <c r="H3087" s="4">
        <v>125</v>
      </c>
      <c r="I3087" s="4">
        <v>125</v>
      </c>
      <c r="J3087" t="s">
        <v>1625</v>
      </c>
      <c r="K3087" t="s">
        <v>86</v>
      </c>
      <c r="L3087" s="4">
        <v>11.238524301148807</v>
      </c>
      <c r="M3087" s="1" t="s">
        <v>38</v>
      </c>
      <c r="N3087" s="11">
        <f t="shared" si="48"/>
        <v>5</v>
      </c>
    </row>
    <row r="3088" spans="1:14" ht="16" x14ac:dyDescent="0.2">
      <c r="A3088" s="3">
        <v>43876</v>
      </c>
      <c r="B3088" s="1" t="s">
        <v>368</v>
      </c>
      <c r="C3088" t="s">
        <v>171</v>
      </c>
      <c r="D3088">
        <v>16</v>
      </c>
      <c r="E3088">
        <v>225</v>
      </c>
      <c r="F3088">
        <v>75</v>
      </c>
      <c r="G3088">
        <v>3600</v>
      </c>
      <c r="H3088" s="4">
        <v>1200</v>
      </c>
      <c r="I3088" s="4">
        <v>2400</v>
      </c>
      <c r="J3088" t="s">
        <v>223</v>
      </c>
      <c r="K3088" t="s">
        <v>64</v>
      </c>
      <c r="L3088" s="4">
        <v>14.030594525378042</v>
      </c>
      <c r="M3088" s="1" t="s">
        <v>38</v>
      </c>
      <c r="N3088" s="11">
        <f t="shared" si="48"/>
        <v>5</v>
      </c>
    </row>
    <row r="3089" spans="1:14" ht="16" x14ac:dyDescent="0.2">
      <c r="A3089" s="3">
        <v>43877</v>
      </c>
      <c r="B3089" s="1" t="s">
        <v>3292</v>
      </c>
      <c r="C3089" t="s">
        <v>151</v>
      </c>
      <c r="D3089">
        <v>6</v>
      </c>
      <c r="E3089">
        <v>153</v>
      </c>
      <c r="F3089">
        <v>51</v>
      </c>
      <c r="G3089">
        <v>918</v>
      </c>
      <c r="H3089" s="4">
        <v>306</v>
      </c>
      <c r="I3089" s="4">
        <v>612</v>
      </c>
      <c r="J3089" t="s">
        <v>446</v>
      </c>
      <c r="K3089" t="s">
        <v>53</v>
      </c>
      <c r="L3089" s="4">
        <v>12.85215703546821</v>
      </c>
      <c r="M3089" s="1" t="s">
        <v>34</v>
      </c>
      <c r="N3089" s="11">
        <f t="shared" si="48"/>
        <v>1</v>
      </c>
    </row>
    <row r="3090" spans="1:14" ht="16" x14ac:dyDescent="0.2">
      <c r="A3090" s="3">
        <v>43878</v>
      </c>
      <c r="B3090" s="1" t="s">
        <v>3293</v>
      </c>
      <c r="C3090" t="s">
        <v>779</v>
      </c>
      <c r="D3090">
        <v>9</v>
      </c>
      <c r="E3090">
        <v>120</v>
      </c>
      <c r="F3090">
        <v>30</v>
      </c>
      <c r="G3090">
        <v>1080</v>
      </c>
      <c r="H3090" s="4">
        <v>270</v>
      </c>
      <c r="I3090" s="4">
        <v>810</v>
      </c>
      <c r="J3090" t="s">
        <v>513</v>
      </c>
      <c r="K3090" t="s">
        <v>58</v>
      </c>
      <c r="L3090" s="4">
        <v>15.207985888346794</v>
      </c>
      <c r="M3090" s="1" t="s">
        <v>38</v>
      </c>
      <c r="N3090" s="11">
        <f t="shared" si="48"/>
        <v>5</v>
      </c>
    </row>
    <row r="3091" spans="1:14" ht="16" x14ac:dyDescent="0.2">
      <c r="A3091" s="3">
        <v>43879</v>
      </c>
      <c r="B3091" s="1" t="s">
        <v>3294</v>
      </c>
      <c r="C3091" t="s">
        <v>178</v>
      </c>
      <c r="D3091">
        <v>19</v>
      </c>
      <c r="E3091">
        <v>189</v>
      </c>
      <c r="F3091">
        <v>63</v>
      </c>
      <c r="G3091">
        <v>3591</v>
      </c>
      <c r="H3091" s="4">
        <v>1197</v>
      </c>
      <c r="I3091" s="4">
        <v>2394</v>
      </c>
      <c r="J3091" t="s">
        <v>348</v>
      </c>
      <c r="K3091" t="s">
        <v>42</v>
      </c>
      <c r="L3091" s="4">
        <v>11.769293993029555</v>
      </c>
      <c r="M3091" s="1" t="s">
        <v>34</v>
      </c>
      <c r="N3091" s="11">
        <f t="shared" si="48"/>
        <v>1</v>
      </c>
    </row>
    <row r="3092" spans="1:14" ht="16" x14ac:dyDescent="0.2">
      <c r="A3092" s="3">
        <v>43880</v>
      </c>
      <c r="B3092" s="1" t="s">
        <v>177</v>
      </c>
      <c r="C3092" t="s">
        <v>394</v>
      </c>
      <c r="D3092">
        <v>4</v>
      </c>
      <c r="E3092">
        <v>58</v>
      </c>
      <c r="F3092">
        <v>29</v>
      </c>
      <c r="G3092">
        <v>232</v>
      </c>
      <c r="H3092" s="4">
        <v>116</v>
      </c>
      <c r="I3092" s="4">
        <v>116</v>
      </c>
      <c r="J3092" t="s">
        <v>238</v>
      </c>
      <c r="K3092" t="s">
        <v>86</v>
      </c>
      <c r="L3092" s="4">
        <v>14.593670394271927</v>
      </c>
      <c r="M3092" s="1" t="s">
        <v>38</v>
      </c>
      <c r="N3092" s="11">
        <f t="shared" si="48"/>
        <v>5</v>
      </c>
    </row>
    <row r="3093" spans="1:14" ht="16" x14ac:dyDescent="0.2">
      <c r="A3093" s="3">
        <v>43881</v>
      </c>
      <c r="B3093" s="1" t="s">
        <v>3295</v>
      </c>
      <c r="C3093" t="s">
        <v>215</v>
      </c>
      <c r="D3093">
        <v>20</v>
      </c>
      <c r="E3093">
        <v>176</v>
      </c>
      <c r="F3093">
        <v>88</v>
      </c>
      <c r="G3093">
        <v>3520</v>
      </c>
      <c r="H3093" s="4">
        <v>1760</v>
      </c>
      <c r="I3093" s="4">
        <v>1760</v>
      </c>
      <c r="J3093" t="s">
        <v>194</v>
      </c>
      <c r="K3093" t="s">
        <v>42</v>
      </c>
      <c r="L3093" s="4">
        <v>14.573178107544177</v>
      </c>
      <c r="M3093" s="1" t="s">
        <v>54</v>
      </c>
      <c r="N3093" s="11">
        <f t="shared" si="48"/>
        <v>10</v>
      </c>
    </row>
    <row r="3094" spans="1:14" ht="16" x14ac:dyDescent="0.2">
      <c r="A3094" s="3">
        <v>43882</v>
      </c>
      <c r="B3094" s="1" t="s">
        <v>3296</v>
      </c>
      <c r="C3094" t="s">
        <v>148</v>
      </c>
      <c r="D3094">
        <v>16</v>
      </c>
      <c r="E3094">
        <v>144</v>
      </c>
      <c r="F3094">
        <v>36</v>
      </c>
      <c r="G3094">
        <v>2304</v>
      </c>
      <c r="H3094" s="4">
        <v>576</v>
      </c>
      <c r="I3094" s="4">
        <v>1728</v>
      </c>
      <c r="J3094" t="s">
        <v>63</v>
      </c>
      <c r="K3094" t="s">
        <v>64</v>
      </c>
      <c r="L3094" s="4">
        <v>10.988762477277161</v>
      </c>
      <c r="M3094" s="1" t="s">
        <v>54</v>
      </c>
      <c r="N3094" s="11">
        <f t="shared" si="48"/>
        <v>10</v>
      </c>
    </row>
    <row r="3095" spans="1:14" ht="16" x14ac:dyDescent="0.2">
      <c r="A3095" s="3">
        <v>43883</v>
      </c>
      <c r="B3095" s="1" t="s">
        <v>3297</v>
      </c>
      <c r="C3095" t="s">
        <v>93</v>
      </c>
      <c r="D3095">
        <v>12</v>
      </c>
      <c r="E3095">
        <v>204</v>
      </c>
      <c r="F3095">
        <v>51</v>
      </c>
      <c r="G3095">
        <v>2448</v>
      </c>
      <c r="H3095" s="4">
        <v>612</v>
      </c>
      <c r="I3095" s="4">
        <v>1836</v>
      </c>
      <c r="J3095" t="s">
        <v>102</v>
      </c>
      <c r="K3095" t="s">
        <v>49</v>
      </c>
      <c r="L3095" s="4">
        <v>15.12637675023732</v>
      </c>
      <c r="M3095" s="1" t="s">
        <v>38</v>
      </c>
      <c r="N3095" s="11">
        <f t="shared" si="48"/>
        <v>5</v>
      </c>
    </row>
    <row r="3096" spans="1:14" ht="16" x14ac:dyDescent="0.2">
      <c r="A3096" s="3">
        <v>43884</v>
      </c>
      <c r="B3096" s="1" t="s">
        <v>3275</v>
      </c>
      <c r="C3096" t="s">
        <v>340</v>
      </c>
      <c r="D3096">
        <v>10</v>
      </c>
      <c r="E3096">
        <v>180</v>
      </c>
      <c r="F3096">
        <v>45</v>
      </c>
      <c r="G3096">
        <v>1800</v>
      </c>
      <c r="H3096" s="4">
        <v>450</v>
      </c>
      <c r="I3096" s="4">
        <v>1350</v>
      </c>
      <c r="J3096" t="s">
        <v>345</v>
      </c>
      <c r="K3096" t="s">
        <v>49</v>
      </c>
      <c r="L3096" s="4">
        <v>14.687857652112591</v>
      </c>
      <c r="M3096" s="1" t="s">
        <v>38</v>
      </c>
      <c r="N3096" s="11">
        <f t="shared" si="48"/>
        <v>5</v>
      </c>
    </row>
    <row r="3097" spans="1:14" ht="16" x14ac:dyDescent="0.2">
      <c r="A3097" s="3">
        <v>43885</v>
      </c>
      <c r="B3097" s="1" t="s">
        <v>3298</v>
      </c>
      <c r="C3097" t="s">
        <v>266</v>
      </c>
      <c r="D3097">
        <v>16</v>
      </c>
      <c r="E3097">
        <v>50</v>
      </c>
      <c r="F3097">
        <v>25</v>
      </c>
      <c r="G3097">
        <v>800</v>
      </c>
      <c r="H3097" s="4">
        <v>400</v>
      </c>
      <c r="I3097" s="4">
        <v>400</v>
      </c>
      <c r="J3097" t="s">
        <v>645</v>
      </c>
      <c r="K3097" t="s">
        <v>86</v>
      </c>
      <c r="L3097" s="4">
        <v>9.879282537628514</v>
      </c>
      <c r="M3097" s="1" t="s">
        <v>38</v>
      </c>
      <c r="N3097" s="11">
        <f t="shared" si="48"/>
        <v>5</v>
      </c>
    </row>
    <row r="3098" spans="1:14" ht="16" x14ac:dyDescent="0.2">
      <c r="A3098" s="3">
        <v>43886</v>
      </c>
      <c r="B3098" s="1" t="s">
        <v>1105</v>
      </c>
      <c r="C3098" t="s">
        <v>31</v>
      </c>
      <c r="D3098">
        <v>2</v>
      </c>
      <c r="E3098">
        <v>280</v>
      </c>
      <c r="F3098">
        <v>70</v>
      </c>
      <c r="G3098">
        <v>560</v>
      </c>
      <c r="H3098" s="4">
        <v>140</v>
      </c>
      <c r="I3098" s="4">
        <v>420</v>
      </c>
      <c r="J3098" t="s">
        <v>70</v>
      </c>
      <c r="K3098" t="s">
        <v>49</v>
      </c>
      <c r="L3098" s="4">
        <v>12.957303170959879</v>
      </c>
      <c r="M3098" s="1" t="s">
        <v>38</v>
      </c>
      <c r="N3098" s="11">
        <f t="shared" si="48"/>
        <v>5</v>
      </c>
    </row>
    <row r="3099" spans="1:14" ht="16" x14ac:dyDescent="0.2">
      <c r="A3099" s="3">
        <v>43887</v>
      </c>
      <c r="B3099" s="1" t="s">
        <v>3299</v>
      </c>
      <c r="C3099" t="s">
        <v>370</v>
      </c>
      <c r="D3099">
        <v>7</v>
      </c>
      <c r="E3099">
        <v>144</v>
      </c>
      <c r="F3099">
        <v>36</v>
      </c>
      <c r="G3099">
        <v>1008</v>
      </c>
      <c r="H3099" s="4">
        <v>252</v>
      </c>
      <c r="I3099" s="4">
        <v>756</v>
      </c>
      <c r="J3099" t="s">
        <v>371</v>
      </c>
      <c r="K3099" t="s">
        <v>58</v>
      </c>
      <c r="L3099" s="4">
        <v>12.004541523616258</v>
      </c>
      <c r="M3099" s="1" t="s">
        <v>34</v>
      </c>
      <c r="N3099" s="11">
        <f t="shared" si="48"/>
        <v>1</v>
      </c>
    </row>
    <row r="3100" spans="1:14" ht="16" x14ac:dyDescent="0.2">
      <c r="A3100" s="3">
        <v>43888</v>
      </c>
      <c r="B3100" s="1" t="s">
        <v>3300</v>
      </c>
      <c r="C3100" t="s">
        <v>547</v>
      </c>
      <c r="D3100">
        <v>14</v>
      </c>
      <c r="E3100">
        <v>300</v>
      </c>
      <c r="F3100">
        <v>75</v>
      </c>
      <c r="G3100">
        <v>4200</v>
      </c>
      <c r="H3100" s="4">
        <v>1050</v>
      </c>
      <c r="I3100" s="4">
        <v>3150</v>
      </c>
      <c r="J3100" t="s">
        <v>576</v>
      </c>
      <c r="K3100" t="s">
        <v>33</v>
      </c>
      <c r="L3100" s="4">
        <v>11.769937929618399</v>
      </c>
      <c r="M3100" s="1" t="s">
        <v>38</v>
      </c>
      <c r="N3100" s="11">
        <f t="shared" si="48"/>
        <v>5</v>
      </c>
    </row>
    <row r="3101" spans="1:14" ht="16" x14ac:dyDescent="0.2">
      <c r="A3101" s="3">
        <v>43889</v>
      </c>
      <c r="B3101" s="1" t="s">
        <v>3301</v>
      </c>
      <c r="C3101" t="s">
        <v>66</v>
      </c>
      <c r="D3101">
        <v>19</v>
      </c>
      <c r="E3101">
        <v>144</v>
      </c>
      <c r="F3101">
        <v>48</v>
      </c>
      <c r="G3101">
        <v>2736</v>
      </c>
      <c r="H3101" s="4">
        <v>912</v>
      </c>
      <c r="I3101" s="4">
        <v>1824</v>
      </c>
      <c r="J3101" t="s">
        <v>361</v>
      </c>
      <c r="K3101" t="s">
        <v>64</v>
      </c>
      <c r="L3101" s="4">
        <v>13.092530646074781</v>
      </c>
      <c r="M3101" s="1" t="s">
        <v>38</v>
      </c>
      <c r="N3101" s="11">
        <f t="shared" si="48"/>
        <v>5</v>
      </c>
    </row>
    <row r="3102" spans="1:14" ht="16" x14ac:dyDescent="0.2">
      <c r="A3102" s="3">
        <v>43890</v>
      </c>
      <c r="B3102" s="1" t="s">
        <v>732</v>
      </c>
      <c r="C3102" t="s">
        <v>115</v>
      </c>
      <c r="D3102">
        <v>1</v>
      </c>
      <c r="E3102">
        <v>81</v>
      </c>
      <c r="F3102">
        <v>27</v>
      </c>
      <c r="G3102">
        <v>81</v>
      </c>
      <c r="H3102" s="4">
        <v>27</v>
      </c>
      <c r="I3102" s="4">
        <v>54</v>
      </c>
      <c r="J3102" t="s">
        <v>363</v>
      </c>
      <c r="K3102" t="s">
        <v>64</v>
      </c>
      <c r="L3102" s="4">
        <v>14.690198582365463</v>
      </c>
      <c r="M3102" s="1" t="s">
        <v>38</v>
      </c>
      <c r="N3102" s="11">
        <f t="shared" si="48"/>
        <v>5</v>
      </c>
    </row>
    <row r="3103" spans="1:14" ht="16" x14ac:dyDescent="0.2">
      <c r="A3103" s="3">
        <v>43891</v>
      </c>
      <c r="B3103" s="1" t="s">
        <v>3302</v>
      </c>
      <c r="C3103" t="s">
        <v>125</v>
      </c>
      <c r="D3103">
        <v>13</v>
      </c>
      <c r="E3103">
        <v>176</v>
      </c>
      <c r="F3103">
        <v>88</v>
      </c>
      <c r="G3103">
        <v>2288</v>
      </c>
      <c r="H3103" s="4">
        <v>1144</v>
      </c>
      <c r="I3103" s="4">
        <v>1144</v>
      </c>
      <c r="J3103" t="s">
        <v>720</v>
      </c>
      <c r="K3103" t="s">
        <v>53</v>
      </c>
      <c r="L3103" s="4">
        <v>13.106678263594747</v>
      </c>
      <c r="M3103" s="1" t="s">
        <v>54</v>
      </c>
      <c r="N3103" s="11">
        <f t="shared" si="48"/>
        <v>10</v>
      </c>
    </row>
    <row r="3104" spans="1:14" ht="16" x14ac:dyDescent="0.2">
      <c r="A3104" s="3">
        <v>43892</v>
      </c>
      <c r="B3104" s="1" t="s">
        <v>3303</v>
      </c>
      <c r="C3104" t="s">
        <v>81</v>
      </c>
      <c r="D3104">
        <v>7</v>
      </c>
      <c r="E3104">
        <v>166</v>
      </c>
      <c r="F3104">
        <v>83</v>
      </c>
      <c r="G3104">
        <v>1162</v>
      </c>
      <c r="H3104" s="4">
        <v>581</v>
      </c>
      <c r="I3104" s="4">
        <v>581</v>
      </c>
      <c r="J3104" t="s">
        <v>249</v>
      </c>
      <c r="K3104" t="s">
        <v>49</v>
      </c>
      <c r="L3104" s="4">
        <v>12.699346182652626</v>
      </c>
      <c r="M3104" s="1" t="s">
        <v>54</v>
      </c>
      <c r="N3104" s="11">
        <f t="shared" si="48"/>
        <v>10</v>
      </c>
    </row>
    <row r="3105" spans="1:14" ht="16" x14ac:dyDescent="0.2">
      <c r="A3105" s="3">
        <v>43893</v>
      </c>
      <c r="B3105" s="1" t="s">
        <v>3304</v>
      </c>
      <c r="C3105" t="s">
        <v>544</v>
      </c>
      <c r="D3105">
        <v>11</v>
      </c>
      <c r="E3105">
        <v>267</v>
      </c>
      <c r="F3105">
        <v>89</v>
      </c>
      <c r="G3105">
        <v>2937</v>
      </c>
      <c r="H3105" s="4">
        <v>979</v>
      </c>
      <c r="I3105" s="4">
        <v>1958</v>
      </c>
      <c r="J3105" t="s">
        <v>890</v>
      </c>
      <c r="K3105" t="s">
        <v>86</v>
      </c>
      <c r="L3105" s="4">
        <v>15.856807810268592</v>
      </c>
      <c r="M3105" s="1" t="s">
        <v>54</v>
      </c>
      <c r="N3105" s="11">
        <f t="shared" si="48"/>
        <v>10</v>
      </c>
    </row>
    <row r="3106" spans="1:14" ht="16" x14ac:dyDescent="0.2">
      <c r="A3106" s="3">
        <v>43894</v>
      </c>
      <c r="B3106" s="1" t="s">
        <v>1365</v>
      </c>
      <c r="C3106" t="s">
        <v>779</v>
      </c>
      <c r="D3106">
        <v>9</v>
      </c>
      <c r="E3106">
        <v>120</v>
      </c>
      <c r="F3106">
        <v>30</v>
      </c>
      <c r="G3106">
        <v>1080</v>
      </c>
      <c r="H3106" s="4">
        <v>270</v>
      </c>
      <c r="I3106" s="4">
        <v>810</v>
      </c>
      <c r="J3106" t="s">
        <v>176</v>
      </c>
      <c r="K3106" t="s">
        <v>64</v>
      </c>
      <c r="L3106" s="4">
        <v>12.1334991293512</v>
      </c>
      <c r="M3106" s="1" t="s">
        <v>54</v>
      </c>
      <c r="N3106" s="11">
        <f t="shared" si="48"/>
        <v>10</v>
      </c>
    </row>
    <row r="3107" spans="1:14" ht="16" x14ac:dyDescent="0.2">
      <c r="A3107" s="3">
        <v>43895</v>
      </c>
      <c r="B3107" s="1" t="s">
        <v>3274</v>
      </c>
      <c r="C3107" t="s">
        <v>607</v>
      </c>
      <c r="D3107">
        <v>12</v>
      </c>
      <c r="E3107">
        <v>225</v>
      </c>
      <c r="F3107">
        <v>75</v>
      </c>
      <c r="G3107">
        <v>2700</v>
      </c>
      <c r="H3107" s="4">
        <v>900</v>
      </c>
      <c r="I3107" s="4">
        <v>1800</v>
      </c>
      <c r="J3107" t="s">
        <v>197</v>
      </c>
      <c r="K3107" t="s">
        <v>49</v>
      </c>
      <c r="L3107" s="4">
        <v>13.288482149665386</v>
      </c>
      <c r="M3107" s="1" t="s">
        <v>38</v>
      </c>
      <c r="N3107" s="11">
        <f t="shared" si="48"/>
        <v>5</v>
      </c>
    </row>
    <row r="3108" spans="1:14" ht="16" x14ac:dyDescent="0.2">
      <c r="A3108" s="3">
        <v>43896</v>
      </c>
      <c r="B3108" s="1" t="s">
        <v>3305</v>
      </c>
      <c r="C3108" t="s">
        <v>175</v>
      </c>
      <c r="D3108">
        <v>17</v>
      </c>
      <c r="E3108">
        <v>38</v>
      </c>
      <c r="F3108">
        <v>19</v>
      </c>
      <c r="G3108">
        <v>646</v>
      </c>
      <c r="H3108" s="4">
        <v>323</v>
      </c>
      <c r="I3108" s="4">
        <v>323</v>
      </c>
      <c r="J3108" t="s">
        <v>490</v>
      </c>
      <c r="K3108" t="s">
        <v>64</v>
      </c>
      <c r="L3108" s="4">
        <v>11.249825090458803</v>
      </c>
      <c r="M3108" s="1" t="s">
        <v>38</v>
      </c>
      <c r="N3108" s="11">
        <f t="shared" si="48"/>
        <v>5</v>
      </c>
    </row>
    <row r="3109" spans="1:14" ht="16" x14ac:dyDescent="0.2">
      <c r="A3109" s="3">
        <v>43897</v>
      </c>
      <c r="B3109" s="1" t="s">
        <v>3306</v>
      </c>
      <c r="C3109" t="s">
        <v>592</v>
      </c>
      <c r="D3109">
        <v>12</v>
      </c>
      <c r="E3109">
        <v>312</v>
      </c>
      <c r="F3109">
        <v>78</v>
      </c>
      <c r="G3109">
        <v>3744</v>
      </c>
      <c r="H3109" s="4">
        <v>936</v>
      </c>
      <c r="I3109" s="4">
        <v>2808</v>
      </c>
      <c r="J3109" t="s">
        <v>172</v>
      </c>
      <c r="K3109" t="s">
        <v>33</v>
      </c>
      <c r="L3109" s="4">
        <v>9.9311000381363836</v>
      </c>
      <c r="M3109" s="1" t="s">
        <v>38</v>
      </c>
      <c r="N3109" s="11">
        <f t="shared" si="48"/>
        <v>5</v>
      </c>
    </row>
    <row r="3110" spans="1:14" ht="16" x14ac:dyDescent="0.2">
      <c r="A3110" s="3">
        <v>43898</v>
      </c>
      <c r="B3110" s="1" t="s">
        <v>192</v>
      </c>
      <c r="C3110" t="s">
        <v>288</v>
      </c>
      <c r="D3110">
        <v>9</v>
      </c>
      <c r="E3110">
        <v>48</v>
      </c>
      <c r="F3110">
        <v>24</v>
      </c>
      <c r="G3110">
        <v>432</v>
      </c>
      <c r="H3110" s="4">
        <v>216</v>
      </c>
      <c r="I3110" s="4">
        <v>216</v>
      </c>
      <c r="J3110" t="s">
        <v>453</v>
      </c>
      <c r="K3110" t="s">
        <v>42</v>
      </c>
      <c r="L3110" s="4">
        <v>13.104576594826185</v>
      </c>
      <c r="M3110" s="1" t="s">
        <v>38</v>
      </c>
      <c r="N3110" s="11">
        <f t="shared" si="48"/>
        <v>5</v>
      </c>
    </row>
    <row r="3111" spans="1:14" ht="16" x14ac:dyDescent="0.2">
      <c r="A3111" s="3">
        <v>43899</v>
      </c>
      <c r="B3111" s="1" t="s">
        <v>3307</v>
      </c>
      <c r="C3111" t="s">
        <v>105</v>
      </c>
      <c r="D3111">
        <v>15</v>
      </c>
      <c r="E3111">
        <v>201</v>
      </c>
      <c r="F3111">
        <v>67</v>
      </c>
      <c r="G3111">
        <v>3015</v>
      </c>
      <c r="H3111" s="4">
        <v>1005</v>
      </c>
      <c r="I3111" s="4">
        <v>2010</v>
      </c>
      <c r="J3111" t="s">
        <v>446</v>
      </c>
      <c r="K3111" t="s">
        <v>53</v>
      </c>
      <c r="L3111" s="4">
        <v>12.85215703546821</v>
      </c>
      <c r="M3111" s="1" t="s">
        <v>34</v>
      </c>
      <c r="N3111" s="11">
        <f t="shared" si="48"/>
        <v>1</v>
      </c>
    </row>
    <row r="3112" spans="1:14" ht="16" x14ac:dyDescent="0.2">
      <c r="A3112" s="3">
        <v>43900</v>
      </c>
      <c r="B3112" s="1" t="s">
        <v>2928</v>
      </c>
      <c r="C3112" t="s">
        <v>130</v>
      </c>
      <c r="D3112">
        <v>8</v>
      </c>
      <c r="E3112">
        <v>144</v>
      </c>
      <c r="F3112">
        <v>48</v>
      </c>
      <c r="G3112">
        <v>1152</v>
      </c>
      <c r="H3112" s="4">
        <v>384</v>
      </c>
      <c r="I3112" s="4">
        <v>768</v>
      </c>
      <c r="J3112" t="s">
        <v>295</v>
      </c>
      <c r="K3112" t="s">
        <v>42</v>
      </c>
      <c r="L3112" s="4">
        <v>14.906846445071711</v>
      </c>
      <c r="M3112" s="1" t="s">
        <v>34</v>
      </c>
      <c r="N3112" s="11">
        <f t="shared" si="48"/>
        <v>1</v>
      </c>
    </row>
    <row r="3113" spans="1:14" ht="16" x14ac:dyDescent="0.2">
      <c r="A3113" s="3">
        <v>43901</v>
      </c>
      <c r="B3113" s="1" t="s">
        <v>3308</v>
      </c>
      <c r="C3113" t="s">
        <v>185</v>
      </c>
      <c r="D3113">
        <v>1</v>
      </c>
      <c r="E3113">
        <v>146</v>
      </c>
      <c r="F3113">
        <v>73</v>
      </c>
      <c r="G3113">
        <v>146</v>
      </c>
      <c r="H3113" s="4">
        <v>73</v>
      </c>
      <c r="I3113" s="4">
        <v>73</v>
      </c>
      <c r="J3113" t="s">
        <v>1223</v>
      </c>
      <c r="K3113" t="s">
        <v>53</v>
      </c>
      <c r="L3113" s="4">
        <v>10.428287009858728</v>
      </c>
      <c r="M3113" s="1" t="s">
        <v>38</v>
      </c>
      <c r="N3113" s="11">
        <f t="shared" si="48"/>
        <v>5</v>
      </c>
    </row>
    <row r="3114" spans="1:14" ht="16" x14ac:dyDescent="0.2">
      <c r="A3114" s="3">
        <v>43902</v>
      </c>
      <c r="B3114" s="1" t="s">
        <v>3309</v>
      </c>
      <c r="C3114" t="s">
        <v>356</v>
      </c>
      <c r="D3114">
        <v>18</v>
      </c>
      <c r="E3114">
        <v>356</v>
      </c>
      <c r="F3114">
        <v>89</v>
      </c>
      <c r="G3114">
        <v>6408</v>
      </c>
      <c r="H3114" s="4">
        <v>1602</v>
      </c>
      <c r="I3114" s="4">
        <v>4806</v>
      </c>
      <c r="J3114" t="s">
        <v>357</v>
      </c>
      <c r="K3114" t="s">
        <v>86</v>
      </c>
      <c r="L3114" s="4">
        <v>11.986565560885863</v>
      </c>
      <c r="M3114" s="1" t="s">
        <v>54</v>
      </c>
      <c r="N3114" s="11">
        <f t="shared" si="48"/>
        <v>10</v>
      </c>
    </row>
    <row r="3115" spans="1:14" ht="16" x14ac:dyDescent="0.2">
      <c r="A3115" s="3">
        <v>43903</v>
      </c>
      <c r="B3115" s="1" t="s">
        <v>3310</v>
      </c>
      <c r="C3115" t="s">
        <v>365</v>
      </c>
      <c r="D3115">
        <v>18</v>
      </c>
      <c r="E3115">
        <v>255</v>
      </c>
      <c r="F3115">
        <v>85</v>
      </c>
      <c r="G3115">
        <v>4590</v>
      </c>
      <c r="H3115" s="4">
        <v>1530</v>
      </c>
      <c r="I3115" s="4">
        <v>3060</v>
      </c>
      <c r="J3115" t="s">
        <v>236</v>
      </c>
      <c r="K3115" t="s">
        <v>53</v>
      </c>
      <c r="L3115" s="4">
        <v>9.3014286057233697</v>
      </c>
      <c r="M3115" s="1" t="s">
        <v>54</v>
      </c>
      <c r="N3115" s="11">
        <f t="shared" si="48"/>
        <v>10</v>
      </c>
    </row>
    <row r="3116" spans="1:14" ht="16" x14ac:dyDescent="0.2">
      <c r="A3116" s="3">
        <v>43904</v>
      </c>
      <c r="B3116" s="1" t="s">
        <v>3311</v>
      </c>
      <c r="C3116" t="s">
        <v>394</v>
      </c>
      <c r="D3116">
        <v>4</v>
      </c>
      <c r="E3116">
        <v>58</v>
      </c>
      <c r="F3116">
        <v>29</v>
      </c>
      <c r="G3116">
        <v>232</v>
      </c>
      <c r="H3116" s="4">
        <v>116</v>
      </c>
      <c r="I3116" s="4">
        <v>116</v>
      </c>
      <c r="J3116" t="s">
        <v>118</v>
      </c>
      <c r="K3116" t="s">
        <v>64</v>
      </c>
      <c r="L3116" s="4">
        <v>11.128721898968678</v>
      </c>
      <c r="M3116" s="1" t="s">
        <v>34</v>
      </c>
      <c r="N3116" s="11">
        <f t="shared" si="48"/>
        <v>1</v>
      </c>
    </row>
    <row r="3117" spans="1:14" ht="16" x14ac:dyDescent="0.2">
      <c r="A3117" s="3">
        <v>43905</v>
      </c>
      <c r="B3117" s="1" t="s">
        <v>1064</v>
      </c>
      <c r="C3117" t="s">
        <v>410</v>
      </c>
      <c r="D3117">
        <v>2</v>
      </c>
      <c r="E3117">
        <v>84</v>
      </c>
      <c r="F3117">
        <v>21</v>
      </c>
      <c r="G3117">
        <v>168</v>
      </c>
      <c r="H3117" s="4">
        <v>42</v>
      </c>
      <c r="I3117" s="4">
        <v>126</v>
      </c>
      <c r="J3117" t="s">
        <v>382</v>
      </c>
      <c r="K3117" t="s">
        <v>49</v>
      </c>
      <c r="L3117" s="4">
        <v>12.299779975023837</v>
      </c>
      <c r="M3117" s="1" t="s">
        <v>38</v>
      </c>
      <c r="N3117" s="11">
        <f t="shared" si="48"/>
        <v>5</v>
      </c>
    </row>
    <row r="3118" spans="1:14" ht="16" x14ac:dyDescent="0.2">
      <c r="A3118" s="3">
        <v>43906</v>
      </c>
      <c r="B3118" s="1" t="s">
        <v>3312</v>
      </c>
      <c r="C3118" t="s">
        <v>51</v>
      </c>
      <c r="D3118">
        <v>2</v>
      </c>
      <c r="E3118">
        <v>160</v>
      </c>
      <c r="F3118">
        <v>80</v>
      </c>
      <c r="G3118">
        <v>320</v>
      </c>
      <c r="H3118" s="4">
        <v>160</v>
      </c>
      <c r="I3118" s="4">
        <v>160</v>
      </c>
      <c r="J3118" t="s">
        <v>323</v>
      </c>
      <c r="K3118" t="s">
        <v>53</v>
      </c>
      <c r="L3118" s="4">
        <v>11.221666113009938</v>
      </c>
      <c r="M3118" s="1" t="s">
        <v>38</v>
      </c>
      <c r="N3118" s="11">
        <f t="shared" si="48"/>
        <v>5</v>
      </c>
    </row>
    <row r="3119" spans="1:14" ht="16" x14ac:dyDescent="0.2">
      <c r="A3119" s="3">
        <v>43907</v>
      </c>
      <c r="B3119" s="1" t="s">
        <v>3313</v>
      </c>
      <c r="C3119" t="s">
        <v>51</v>
      </c>
      <c r="D3119">
        <v>3</v>
      </c>
      <c r="E3119">
        <v>160</v>
      </c>
      <c r="F3119">
        <v>80</v>
      </c>
      <c r="G3119">
        <v>480</v>
      </c>
      <c r="H3119" s="4">
        <v>240</v>
      </c>
      <c r="I3119" s="4">
        <v>240</v>
      </c>
      <c r="J3119" t="s">
        <v>366</v>
      </c>
      <c r="K3119" t="s">
        <v>64</v>
      </c>
      <c r="L3119" s="4">
        <v>12.342715162719054</v>
      </c>
      <c r="M3119" s="1" t="s">
        <v>34</v>
      </c>
      <c r="N3119" s="11">
        <f t="shared" si="48"/>
        <v>1</v>
      </c>
    </row>
    <row r="3120" spans="1:14" ht="16" x14ac:dyDescent="0.2">
      <c r="A3120" s="3">
        <v>43908</v>
      </c>
      <c r="B3120" s="1" t="s">
        <v>3314</v>
      </c>
      <c r="C3120" t="s">
        <v>51</v>
      </c>
      <c r="D3120">
        <v>19</v>
      </c>
      <c r="E3120">
        <v>160</v>
      </c>
      <c r="F3120">
        <v>80</v>
      </c>
      <c r="G3120">
        <v>3040</v>
      </c>
      <c r="H3120" s="4">
        <v>1520</v>
      </c>
      <c r="I3120" s="4">
        <v>1520</v>
      </c>
      <c r="J3120" t="s">
        <v>444</v>
      </c>
      <c r="K3120" t="s">
        <v>42</v>
      </c>
      <c r="L3120" s="4">
        <v>15.861056998489449</v>
      </c>
      <c r="M3120" s="1" t="s">
        <v>38</v>
      </c>
      <c r="N3120" s="11">
        <f t="shared" si="48"/>
        <v>5</v>
      </c>
    </row>
    <row r="3121" spans="1:14" ht="16" x14ac:dyDescent="0.2">
      <c r="A3121" s="3">
        <v>43909</v>
      </c>
      <c r="B3121" s="1" t="s">
        <v>3315</v>
      </c>
      <c r="C3121" t="s">
        <v>299</v>
      </c>
      <c r="D3121">
        <v>19</v>
      </c>
      <c r="E3121">
        <v>225</v>
      </c>
      <c r="F3121">
        <v>75</v>
      </c>
      <c r="G3121">
        <v>4275</v>
      </c>
      <c r="H3121" s="4">
        <v>1425</v>
      </c>
      <c r="I3121" s="4">
        <v>2850</v>
      </c>
      <c r="J3121" t="s">
        <v>882</v>
      </c>
      <c r="K3121" t="s">
        <v>64</v>
      </c>
      <c r="L3121" s="4">
        <v>12.701325659159139</v>
      </c>
      <c r="M3121" s="1" t="s">
        <v>38</v>
      </c>
      <c r="N3121" s="11">
        <f t="shared" si="48"/>
        <v>5</v>
      </c>
    </row>
    <row r="3122" spans="1:14" ht="16" x14ac:dyDescent="0.2">
      <c r="A3122" s="3">
        <v>43910</v>
      </c>
      <c r="B3122" s="1" t="s">
        <v>1165</v>
      </c>
      <c r="C3122" t="s">
        <v>204</v>
      </c>
      <c r="D3122">
        <v>16</v>
      </c>
      <c r="E3122">
        <v>57</v>
      </c>
      <c r="F3122">
        <v>19</v>
      </c>
      <c r="G3122">
        <v>912</v>
      </c>
      <c r="H3122" s="4">
        <v>304</v>
      </c>
      <c r="I3122" s="4">
        <v>608</v>
      </c>
      <c r="J3122" t="s">
        <v>140</v>
      </c>
      <c r="K3122" t="s">
        <v>53</v>
      </c>
      <c r="L3122" s="4">
        <v>7.1104128275166252</v>
      </c>
      <c r="M3122" s="1" t="s">
        <v>38</v>
      </c>
      <c r="N3122" s="11">
        <f t="shared" si="48"/>
        <v>5</v>
      </c>
    </row>
    <row r="3123" spans="1:14" ht="16" x14ac:dyDescent="0.2">
      <c r="A3123" s="3">
        <v>43911</v>
      </c>
      <c r="B3123" s="1" t="s">
        <v>484</v>
      </c>
      <c r="C3123" t="s">
        <v>779</v>
      </c>
      <c r="D3123">
        <v>12</v>
      </c>
      <c r="E3123">
        <v>120</v>
      </c>
      <c r="F3123">
        <v>30</v>
      </c>
      <c r="G3123">
        <v>1440</v>
      </c>
      <c r="H3123" s="4">
        <v>360</v>
      </c>
      <c r="I3123" s="4">
        <v>1080</v>
      </c>
      <c r="J3123" t="s">
        <v>274</v>
      </c>
      <c r="K3123" t="s">
        <v>86</v>
      </c>
      <c r="L3123" s="4">
        <v>9.821882845934784</v>
      </c>
      <c r="M3123" s="1" t="s">
        <v>54</v>
      </c>
      <c r="N3123" s="11">
        <f t="shared" si="48"/>
        <v>10</v>
      </c>
    </row>
    <row r="3124" spans="1:14" ht="16" x14ac:dyDescent="0.2">
      <c r="A3124" s="3">
        <v>43912</v>
      </c>
      <c r="B3124" s="1" t="s">
        <v>2015</v>
      </c>
      <c r="C3124" t="s">
        <v>44</v>
      </c>
      <c r="D3124">
        <v>13</v>
      </c>
      <c r="E3124">
        <v>114</v>
      </c>
      <c r="F3124">
        <v>57</v>
      </c>
      <c r="G3124">
        <v>1482</v>
      </c>
      <c r="H3124" s="4">
        <v>741</v>
      </c>
      <c r="I3124" s="4">
        <v>741</v>
      </c>
      <c r="J3124" t="s">
        <v>819</v>
      </c>
      <c r="K3124" t="s">
        <v>86</v>
      </c>
      <c r="L3124" s="4">
        <v>12.155895475340943</v>
      </c>
      <c r="M3124" s="1" t="s">
        <v>38</v>
      </c>
      <c r="N3124" s="11">
        <f t="shared" si="48"/>
        <v>5</v>
      </c>
    </row>
    <row r="3125" spans="1:14" ht="16" x14ac:dyDescent="0.2">
      <c r="A3125" s="3">
        <v>43913</v>
      </c>
      <c r="B3125" s="1" t="s">
        <v>3316</v>
      </c>
      <c r="C3125" t="s">
        <v>113</v>
      </c>
      <c r="D3125">
        <v>11</v>
      </c>
      <c r="E3125">
        <v>66</v>
      </c>
      <c r="F3125">
        <v>33</v>
      </c>
      <c r="G3125">
        <v>726</v>
      </c>
      <c r="H3125" s="4">
        <v>363</v>
      </c>
      <c r="I3125" s="4">
        <v>363</v>
      </c>
      <c r="J3125" t="s">
        <v>862</v>
      </c>
      <c r="K3125" t="s">
        <v>58</v>
      </c>
      <c r="L3125" s="4">
        <v>13.827196127590291</v>
      </c>
      <c r="M3125" s="1" t="s">
        <v>38</v>
      </c>
      <c r="N3125" s="11">
        <f t="shared" si="48"/>
        <v>5</v>
      </c>
    </row>
    <row r="3126" spans="1:14" ht="16" x14ac:dyDescent="0.2">
      <c r="A3126" s="3">
        <v>43914</v>
      </c>
      <c r="B3126" s="1" t="s">
        <v>3317</v>
      </c>
      <c r="C3126" t="s">
        <v>259</v>
      </c>
      <c r="D3126">
        <v>17</v>
      </c>
      <c r="E3126">
        <v>270</v>
      </c>
      <c r="F3126">
        <v>90</v>
      </c>
      <c r="G3126">
        <v>4590</v>
      </c>
      <c r="H3126" s="4">
        <v>1530</v>
      </c>
      <c r="I3126" s="4">
        <v>3060</v>
      </c>
      <c r="J3126" t="s">
        <v>660</v>
      </c>
      <c r="K3126" t="s">
        <v>86</v>
      </c>
      <c r="L3126" s="4">
        <v>10.163794912095831</v>
      </c>
      <c r="M3126" s="1" t="s">
        <v>38</v>
      </c>
      <c r="N3126" s="11">
        <f t="shared" si="48"/>
        <v>5</v>
      </c>
    </row>
    <row r="3127" spans="1:14" ht="16" x14ac:dyDescent="0.2">
      <c r="A3127" s="3">
        <v>43915</v>
      </c>
      <c r="B3127" s="1" t="s">
        <v>3318</v>
      </c>
      <c r="C3127" t="s">
        <v>47</v>
      </c>
      <c r="D3127">
        <v>8</v>
      </c>
      <c r="E3127">
        <v>231</v>
      </c>
      <c r="F3127">
        <v>77</v>
      </c>
      <c r="G3127">
        <v>1848</v>
      </c>
      <c r="H3127" s="4">
        <v>616</v>
      </c>
      <c r="I3127" s="4">
        <v>1232</v>
      </c>
      <c r="J3127" t="s">
        <v>488</v>
      </c>
      <c r="K3127" t="s">
        <v>64</v>
      </c>
      <c r="L3127" s="4">
        <v>9.458617986208397</v>
      </c>
      <c r="M3127" s="1" t="s">
        <v>38</v>
      </c>
      <c r="N3127" s="11">
        <f t="shared" si="48"/>
        <v>5</v>
      </c>
    </row>
    <row r="3128" spans="1:14" ht="16" x14ac:dyDescent="0.2">
      <c r="A3128" s="3">
        <v>43916</v>
      </c>
      <c r="B3128" s="1" t="s">
        <v>3319</v>
      </c>
      <c r="C3128" t="s">
        <v>185</v>
      </c>
      <c r="D3128">
        <v>20</v>
      </c>
      <c r="E3128">
        <v>146</v>
      </c>
      <c r="F3128">
        <v>73</v>
      </c>
      <c r="G3128">
        <v>2920</v>
      </c>
      <c r="H3128" s="4">
        <v>1460</v>
      </c>
      <c r="I3128" s="4">
        <v>1460</v>
      </c>
      <c r="J3128" t="s">
        <v>1022</v>
      </c>
      <c r="K3128" t="s">
        <v>49</v>
      </c>
      <c r="L3128" s="4">
        <v>15.268550004010105</v>
      </c>
      <c r="M3128" s="1" t="s">
        <v>54</v>
      </c>
      <c r="N3128" s="11">
        <f t="shared" si="48"/>
        <v>10</v>
      </c>
    </row>
    <row r="3129" spans="1:14" ht="16" x14ac:dyDescent="0.2">
      <c r="A3129" s="3">
        <v>43917</v>
      </c>
      <c r="B3129" s="1" t="s">
        <v>1062</v>
      </c>
      <c r="C3129" t="s">
        <v>133</v>
      </c>
      <c r="D3129">
        <v>2</v>
      </c>
      <c r="E3129">
        <v>189</v>
      </c>
      <c r="F3129">
        <v>63</v>
      </c>
      <c r="G3129">
        <v>378</v>
      </c>
      <c r="H3129" s="4">
        <v>126</v>
      </c>
      <c r="I3129" s="4">
        <v>252</v>
      </c>
      <c r="J3129" t="s">
        <v>542</v>
      </c>
      <c r="K3129" t="s">
        <v>58</v>
      </c>
      <c r="L3129" s="4">
        <v>13.929237493388955</v>
      </c>
      <c r="M3129" s="1" t="s">
        <v>38</v>
      </c>
      <c r="N3129" s="11">
        <f t="shared" si="48"/>
        <v>5</v>
      </c>
    </row>
    <row r="3130" spans="1:14" ht="16" x14ac:dyDescent="0.2">
      <c r="A3130" s="3">
        <v>43918</v>
      </c>
      <c r="B3130" s="1" t="s">
        <v>3320</v>
      </c>
      <c r="C3130" t="s">
        <v>399</v>
      </c>
      <c r="D3130">
        <v>2</v>
      </c>
      <c r="E3130">
        <v>160</v>
      </c>
      <c r="F3130">
        <v>80</v>
      </c>
      <c r="G3130">
        <v>320</v>
      </c>
      <c r="H3130" s="4">
        <v>160</v>
      </c>
      <c r="I3130" s="4">
        <v>160</v>
      </c>
      <c r="J3130" t="s">
        <v>752</v>
      </c>
      <c r="K3130" t="s">
        <v>49</v>
      </c>
      <c r="L3130" s="4">
        <v>11.862005526237752</v>
      </c>
      <c r="M3130" s="1" t="s">
        <v>54</v>
      </c>
      <c r="N3130" s="11">
        <f t="shared" si="48"/>
        <v>10</v>
      </c>
    </row>
    <row r="3131" spans="1:14" ht="16" x14ac:dyDescent="0.2">
      <c r="A3131" s="3">
        <v>43919</v>
      </c>
      <c r="B3131" s="1" t="s">
        <v>3321</v>
      </c>
      <c r="C3131" t="s">
        <v>215</v>
      </c>
      <c r="D3131">
        <v>1</v>
      </c>
      <c r="E3131">
        <v>176</v>
      </c>
      <c r="F3131">
        <v>88</v>
      </c>
      <c r="G3131">
        <v>176</v>
      </c>
      <c r="H3131" s="4">
        <v>88</v>
      </c>
      <c r="I3131" s="4">
        <v>88</v>
      </c>
      <c r="J3131" t="s">
        <v>567</v>
      </c>
      <c r="K3131" t="s">
        <v>49</v>
      </c>
      <c r="L3131" s="4">
        <v>12.147202500273634</v>
      </c>
      <c r="M3131" s="1" t="s">
        <v>38</v>
      </c>
      <c r="N3131" s="11">
        <f t="shared" si="48"/>
        <v>5</v>
      </c>
    </row>
    <row r="3132" spans="1:14" ht="16" x14ac:dyDescent="0.2">
      <c r="A3132" s="3">
        <v>43920</v>
      </c>
      <c r="B3132" s="1" t="s">
        <v>3322</v>
      </c>
      <c r="C3132" t="s">
        <v>105</v>
      </c>
      <c r="D3132">
        <v>18</v>
      </c>
      <c r="E3132">
        <v>201</v>
      </c>
      <c r="F3132">
        <v>67</v>
      </c>
      <c r="G3132">
        <v>3618</v>
      </c>
      <c r="H3132" s="4">
        <v>1206</v>
      </c>
      <c r="I3132" s="4">
        <v>2412</v>
      </c>
      <c r="J3132" t="s">
        <v>186</v>
      </c>
      <c r="K3132" t="s">
        <v>58</v>
      </c>
      <c r="L3132" s="4">
        <v>11.31221475547909</v>
      </c>
      <c r="M3132" s="1" t="s">
        <v>38</v>
      </c>
      <c r="N3132" s="11">
        <f t="shared" si="48"/>
        <v>5</v>
      </c>
    </row>
    <row r="3133" spans="1:14" ht="16" x14ac:dyDescent="0.2">
      <c r="A3133" s="3">
        <v>43921</v>
      </c>
      <c r="B3133" s="1" t="s">
        <v>3323</v>
      </c>
      <c r="C3133" t="s">
        <v>31</v>
      </c>
      <c r="D3133">
        <v>12</v>
      </c>
      <c r="E3133">
        <v>280</v>
      </c>
      <c r="F3133">
        <v>70</v>
      </c>
      <c r="G3133">
        <v>3360</v>
      </c>
      <c r="H3133" s="4">
        <v>840</v>
      </c>
      <c r="I3133" s="4">
        <v>2520</v>
      </c>
      <c r="J3133" t="s">
        <v>444</v>
      </c>
      <c r="K3133" t="s">
        <v>42</v>
      </c>
      <c r="L3133" s="4">
        <v>15.861056998489449</v>
      </c>
      <c r="M3133" s="1" t="s">
        <v>38</v>
      </c>
      <c r="N3133" s="11">
        <f t="shared" si="48"/>
        <v>5</v>
      </c>
    </row>
    <row r="3134" spans="1:14" ht="16" x14ac:dyDescent="0.2">
      <c r="A3134" s="3">
        <v>43922</v>
      </c>
      <c r="B3134" s="1" t="s">
        <v>3324</v>
      </c>
      <c r="C3134" t="s">
        <v>297</v>
      </c>
      <c r="D3134">
        <v>1</v>
      </c>
      <c r="E3134">
        <v>108</v>
      </c>
      <c r="F3134">
        <v>36</v>
      </c>
      <c r="G3134">
        <v>108</v>
      </c>
      <c r="H3134" s="4">
        <v>36</v>
      </c>
      <c r="I3134" s="4">
        <v>72</v>
      </c>
      <c r="J3134" t="s">
        <v>338</v>
      </c>
      <c r="K3134" t="s">
        <v>64</v>
      </c>
      <c r="L3134" s="4">
        <v>10.132922049221957</v>
      </c>
      <c r="M3134" s="1" t="s">
        <v>38</v>
      </c>
      <c r="N3134" s="11">
        <f t="shared" si="48"/>
        <v>5</v>
      </c>
    </row>
    <row r="3135" spans="1:14" ht="16" x14ac:dyDescent="0.2">
      <c r="A3135" s="3">
        <v>43923</v>
      </c>
      <c r="B3135" s="1" t="s">
        <v>3325</v>
      </c>
      <c r="C3135" t="s">
        <v>283</v>
      </c>
      <c r="D3135">
        <v>2</v>
      </c>
      <c r="E3135">
        <v>144</v>
      </c>
      <c r="F3135">
        <v>36</v>
      </c>
      <c r="G3135">
        <v>288</v>
      </c>
      <c r="H3135" s="4">
        <v>72</v>
      </c>
      <c r="I3135" s="4">
        <v>216</v>
      </c>
      <c r="J3135" t="s">
        <v>471</v>
      </c>
      <c r="K3135" t="s">
        <v>58</v>
      </c>
      <c r="L3135" s="4">
        <v>10.764293826791503</v>
      </c>
      <c r="M3135" s="1" t="s">
        <v>38</v>
      </c>
      <c r="N3135" s="11">
        <f t="shared" si="48"/>
        <v>5</v>
      </c>
    </row>
    <row r="3136" spans="1:14" ht="16" x14ac:dyDescent="0.2">
      <c r="A3136" s="3">
        <v>43924</v>
      </c>
      <c r="B3136" s="1" t="s">
        <v>3326</v>
      </c>
      <c r="C3136" t="s">
        <v>56</v>
      </c>
      <c r="D3136">
        <v>4</v>
      </c>
      <c r="E3136">
        <v>38</v>
      </c>
      <c r="F3136">
        <v>19</v>
      </c>
      <c r="G3136">
        <v>152</v>
      </c>
      <c r="H3136" s="4">
        <v>76</v>
      </c>
      <c r="I3136" s="4">
        <v>76</v>
      </c>
      <c r="J3136" t="s">
        <v>418</v>
      </c>
      <c r="K3136" t="s">
        <v>42</v>
      </c>
      <c r="L3136" s="4">
        <v>11.644564584314265</v>
      </c>
      <c r="M3136" s="1" t="s">
        <v>38</v>
      </c>
      <c r="N3136" s="11">
        <f t="shared" si="48"/>
        <v>5</v>
      </c>
    </row>
    <row r="3137" spans="1:14" ht="16" x14ac:dyDescent="0.2">
      <c r="A3137" s="3">
        <v>43925</v>
      </c>
      <c r="B3137" s="1" t="s">
        <v>3327</v>
      </c>
      <c r="C3137" t="s">
        <v>196</v>
      </c>
      <c r="D3137">
        <v>9</v>
      </c>
      <c r="E3137">
        <v>192</v>
      </c>
      <c r="F3137">
        <v>96</v>
      </c>
      <c r="G3137">
        <v>1728</v>
      </c>
      <c r="H3137" s="4">
        <v>864</v>
      </c>
      <c r="I3137" s="4">
        <v>864</v>
      </c>
      <c r="J3137" t="s">
        <v>202</v>
      </c>
      <c r="K3137" t="s">
        <v>58</v>
      </c>
      <c r="L3137" s="4">
        <v>13.765798454641494</v>
      </c>
      <c r="M3137" s="1" t="s">
        <v>54</v>
      </c>
      <c r="N3137" s="11">
        <f t="shared" si="48"/>
        <v>10</v>
      </c>
    </row>
    <row r="3138" spans="1:14" ht="16" x14ac:dyDescent="0.2">
      <c r="A3138" s="3">
        <v>43926</v>
      </c>
      <c r="B3138" s="1" t="s">
        <v>3328</v>
      </c>
      <c r="C3138" t="s">
        <v>175</v>
      </c>
      <c r="D3138">
        <v>14</v>
      </c>
      <c r="E3138">
        <v>38</v>
      </c>
      <c r="F3138">
        <v>19</v>
      </c>
      <c r="G3138">
        <v>532</v>
      </c>
      <c r="H3138" s="4">
        <v>266</v>
      </c>
      <c r="I3138" s="4">
        <v>266</v>
      </c>
      <c r="J3138" t="s">
        <v>435</v>
      </c>
      <c r="K3138" t="s">
        <v>33</v>
      </c>
      <c r="L3138" s="4">
        <v>5.9872353338051019</v>
      </c>
      <c r="M3138" s="1" t="s">
        <v>38</v>
      </c>
      <c r="N3138" s="11">
        <f t="shared" si="48"/>
        <v>5</v>
      </c>
    </row>
    <row r="3139" spans="1:14" ht="16" x14ac:dyDescent="0.2">
      <c r="A3139" s="3">
        <v>43927</v>
      </c>
      <c r="B3139" s="1" t="s">
        <v>3329</v>
      </c>
      <c r="C3139" t="s">
        <v>113</v>
      </c>
      <c r="D3139">
        <v>7</v>
      </c>
      <c r="E3139">
        <v>66</v>
      </c>
      <c r="F3139">
        <v>33</v>
      </c>
      <c r="G3139">
        <v>462</v>
      </c>
      <c r="H3139" s="4">
        <v>231</v>
      </c>
      <c r="I3139" s="4">
        <v>231</v>
      </c>
      <c r="J3139" t="s">
        <v>1671</v>
      </c>
      <c r="K3139" t="s">
        <v>86</v>
      </c>
      <c r="L3139" s="4">
        <v>15.239568994601312</v>
      </c>
      <c r="M3139" s="1" t="s">
        <v>38</v>
      </c>
      <c r="N3139" s="11">
        <f t="shared" ref="N3139:N3202" si="49">+IF(M3139="Dissatisfied",1,IF(M3139="Satisfied",10,5))</f>
        <v>5</v>
      </c>
    </row>
    <row r="3140" spans="1:14" ht="16" x14ac:dyDescent="0.2">
      <c r="A3140" s="3">
        <v>43928</v>
      </c>
      <c r="B3140" s="1" t="s">
        <v>3330</v>
      </c>
      <c r="C3140" t="s">
        <v>40</v>
      </c>
      <c r="D3140">
        <v>17</v>
      </c>
      <c r="E3140">
        <v>46</v>
      </c>
      <c r="F3140">
        <v>23</v>
      </c>
      <c r="G3140">
        <v>782</v>
      </c>
      <c r="H3140" s="4">
        <v>391</v>
      </c>
      <c r="I3140" s="4">
        <v>391</v>
      </c>
      <c r="J3140" t="s">
        <v>689</v>
      </c>
      <c r="K3140" t="s">
        <v>58</v>
      </c>
      <c r="L3140" s="4">
        <v>13.486912834801583</v>
      </c>
      <c r="M3140" s="1" t="s">
        <v>38</v>
      </c>
      <c r="N3140" s="11">
        <f t="shared" si="49"/>
        <v>5</v>
      </c>
    </row>
    <row r="3141" spans="1:14" ht="16" x14ac:dyDescent="0.2">
      <c r="A3141" s="3">
        <v>43929</v>
      </c>
      <c r="B3141" s="1" t="s">
        <v>3331</v>
      </c>
      <c r="C3141" t="s">
        <v>297</v>
      </c>
      <c r="D3141">
        <v>17</v>
      </c>
      <c r="E3141">
        <v>108</v>
      </c>
      <c r="F3141">
        <v>36</v>
      </c>
      <c r="G3141">
        <v>1836</v>
      </c>
      <c r="H3141" s="4">
        <v>612</v>
      </c>
      <c r="I3141" s="4">
        <v>1224</v>
      </c>
      <c r="J3141" t="s">
        <v>492</v>
      </c>
      <c r="K3141" t="s">
        <v>33</v>
      </c>
      <c r="L3141" s="4">
        <v>11.799431383856128</v>
      </c>
      <c r="M3141" s="1" t="s">
        <v>34</v>
      </c>
      <c r="N3141" s="11">
        <f t="shared" si="49"/>
        <v>1</v>
      </c>
    </row>
    <row r="3142" spans="1:14" ht="16" x14ac:dyDescent="0.2">
      <c r="A3142" s="3">
        <v>43930</v>
      </c>
      <c r="B3142" s="1" t="s">
        <v>3332</v>
      </c>
      <c r="C3142" t="s">
        <v>487</v>
      </c>
      <c r="D3142">
        <v>4</v>
      </c>
      <c r="E3142">
        <v>264</v>
      </c>
      <c r="F3142">
        <v>88</v>
      </c>
      <c r="G3142">
        <v>1056</v>
      </c>
      <c r="H3142" s="4">
        <v>352</v>
      </c>
      <c r="I3142" s="4">
        <v>704</v>
      </c>
      <c r="J3142" t="s">
        <v>435</v>
      </c>
      <c r="K3142" t="s">
        <v>33</v>
      </c>
      <c r="L3142" s="4">
        <v>5.9872353338051019</v>
      </c>
      <c r="M3142" s="1" t="s">
        <v>38</v>
      </c>
      <c r="N3142" s="11">
        <f t="shared" si="49"/>
        <v>5</v>
      </c>
    </row>
    <row r="3143" spans="1:14" ht="16" x14ac:dyDescent="0.2">
      <c r="A3143" s="3">
        <v>43931</v>
      </c>
      <c r="B3143" s="1" t="s">
        <v>2926</v>
      </c>
      <c r="C3143" t="s">
        <v>47</v>
      </c>
      <c r="D3143">
        <v>2</v>
      </c>
      <c r="E3143">
        <v>231</v>
      </c>
      <c r="F3143">
        <v>77</v>
      </c>
      <c r="G3143">
        <v>462</v>
      </c>
      <c r="H3143" s="4">
        <v>154</v>
      </c>
      <c r="I3143" s="4">
        <v>308</v>
      </c>
      <c r="J3143" t="s">
        <v>528</v>
      </c>
      <c r="K3143" t="s">
        <v>33</v>
      </c>
      <c r="L3143" s="4">
        <v>11.003496633574638</v>
      </c>
      <c r="M3143" s="1" t="s">
        <v>54</v>
      </c>
      <c r="N3143" s="11">
        <f t="shared" si="49"/>
        <v>10</v>
      </c>
    </row>
    <row r="3144" spans="1:14" ht="16" x14ac:dyDescent="0.2">
      <c r="A3144" s="3">
        <v>43932</v>
      </c>
      <c r="B3144" s="1" t="s">
        <v>3333</v>
      </c>
      <c r="C3144" t="s">
        <v>130</v>
      </c>
      <c r="D3144">
        <v>5</v>
      </c>
      <c r="E3144">
        <v>144</v>
      </c>
      <c r="F3144">
        <v>48</v>
      </c>
      <c r="G3144">
        <v>720</v>
      </c>
      <c r="H3144" s="4">
        <v>240</v>
      </c>
      <c r="I3144" s="4">
        <v>480</v>
      </c>
      <c r="J3144" t="s">
        <v>140</v>
      </c>
      <c r="K3144" t="s">
        <v>53</v>
      </c>
      <c r="L3144" s="4">
        <v>7.1104128275166252</v>
      </c>
      <c r="M3144" s="1" t="s">
        <v>38</v>
      </c>
      <c r="N3144" s="11">
        <f t="shared" si="49"/>
        <v>5</v>
      </c>
    </row>
    <row r="3145" spans="1:14" ht="16" x14ac:dyDescent="0.2">
      <c r="A3145" s="3">
        <v>43933</v>
      </c>
      <c r="B3145" s="1" t="s">
        <v>3334</v>
      </c>
      <c r="C3145" t="s">
        <v>779</v>
      </c>
      <c r="D3145">
        <v>19</v>
      </c>
      <c r="E3145">
        <v>120</v>
      </c>
      <c r="F3145">
        <v>30</v>
      </c>
      <c r="G3145">
        <v>2280</v>
      </c>
      <c r="H3145" s="4">
        <v>570</v>
      </c>
      <c r="I3145" s="4">
        <v>1710</v>
      </c>
      <c r="J3145" t="s">
        <v>1008</v>
      </c>
      <c r="K3145" t="s">
        <v>58</v>
      </c>
      <c r="L3145" s="4">
        <v>9.9471686551317795</v>
      </c>
      <c r="M3145" s="1" t="s">
        <v>34</v>
      </c>
      <c r="N3145" s="11">
        <f t="shared" si="49"/>
        <v>1</v>
      </c>
    </row>
    <row r="3146" spans="1:14" ht="16" x14ac:dyDescent="0.2">
      <c r="A3146" s="3">
        <v>43934</v>
      </c>
      <c r="B3146" s="1" t="s">
        <v>3335</v>
      </c>
      <c r="C3146" t="s">
        <v>261</v>
      </c>
      <c r="D3146">
        <v>9</v>
      </c>
      <c r="E3146">
        <v>92</v>
      </c>
      <c r="F3146">
        <v>46</v>
      </c>
      <c r="G3146">
        <v>828</v>
      </c>
      <c r="H3146" s="4">
        <v>414</v>
      </c>
      <c r="I3146" s="4">
        <v>414</v>
      </c>
      <c r="J3146" t="s">
        <v>521</v>
      </c>
      <c r="K3146" t="s">
        <v>58</v>
      </c>
      <c r="L3146" s="4">
        <v>8.8514729234790472</v>
      </c>
      <c r="M3146" s="1" t="s">
        <v>38</v>
      </c>
      <c r="N3146" s="11">
        <f t="shared" si="49"/>
        <v>5</v>
      </c>
    </row>
    <row r="3147" spans="1:14" ht="16" x14ac:dyDescent="0.2">
      <c r="A3147" s="3">
        <v>43935</v>
      </c>
      <c r="B3147" s="1" t="s">
        <v>3336</v>
      </c>
      <c r="C3147" t="s">
        <v>62</v>
      </c>
      <c r="D3147">
        <v>12</v>
      </c>
      <c r="E3147">
        <v>80</v>
      </c>
      <c r="F3147">
        <v>20</v>
      </c>
      <c r="G3147">
        <v>960</v>
      </c>
      <c r="H3147" s="4">
        <v>240</v>
      </c>
      <c r="I3147" s="4">
        <v>720</v>
      </c>
      <c r="J3147" t="s">
        <v>60</v>
      </c>
      <c r="K3147" t="s">
        <v>53</v>
      </c>
      <c r="L3147" s="4">
        <v>11.048444680405545</v>
      </c>
      <c r="M3147" s="1" t="s">
        <v>34</v>
      </c>
      <c r="N3147" s="11">
        <f t="shared" si="49"/>
        <v>1</v>
      </c>
    </row>
    <row r="3148" spans="1:14" ht="16" x14ac:dyDescent="0.2">
      <c r="A3148" s="3">
        <v>43936</v>
      </c>
      <c r="B3148" s="1" t="s">
        <v>3119</v>
      </c>
      <c r="C3148" t="s">
        <v>544</v>
      </c>
      <c r="D3148">
        <v>16</v>
      </c>
      <c r="E3148">
        <v>267</v>
      </c>
      <c r="F3148">
        <v>89</v>
      </c>
      <c r="G3148">
        <v>4272</v>
      </c>
      <c r="H3148" s="4">
        <v>1424</v>
      </c>
      <c r="I3148" s="4">
        <v>2848</v>
      </c>
      <c r="J3148" t="s">
        <v>879</v>
      </c>
      <c r="K3148" t="s">
        <v>42</v>
      </c>
      <c r="L3148" s="4">
        <v>12.37474961859551</v>
      </c>
      <c r="M3148" s="1" t="s">
        <v>54</v>
      </c>
      <c r="N3148" s="11">
        <f t="shared" si="49"/>
        <v>10</v>
      </c>
    </row>
    <row r="3149" spans="1:14" ht="16" x14ac:dyDescent="0.2">
      <c r="A3149" s="3">
        <v>43937</v>
      </c>
      <c r="B3149" s="1" t="s">
        <v>3337</v>
      </c>
      <c r="C3149" t="s">
        <v>66</v>
      </c>
      <c r="D3149">
        <v>19</v>
      </c>
      <c r="E3149">
        <v>144</v>
      </c>
      <c r="F3149">
        <v>48</v>
      </c>
      <c r="G3149">
        <v>2736</v>
      </c>
      <c r="H3149" s="4">
        <v>912</v>
      </c>
      <c r="I3149" s="4">
        <v>1824</v>
      </c>
      <c r="J3149" t="s">
        <v>416</v>
      </c>
      <c r="K3149" t="s">
        <v>58</v>
      </c>
      <c r="L3149" s="4">
        <v>12.399050786131125</v>
      </c>
      <c r="M3149" s="1" t="s">
        <v>54</v>
      </c>
      <c r="N3149" s="11">
        <f t="shared" si="49"/>
        <v>10</v>
      </c>
    </row>
    <row r="3150" spans="1:14" ht="16" x14ac:dyDescent="0.2">
      <c r="A3150" s="3">
        <v>43938</v>
      </c>
      <c r="B3150" s="1" t="s">
        <v>3338</v>
      </c>
      <c r="C3150" t="s">
        <v>583</v>
      </c>
      <c r="D3150">
        <v>2</v>
      </c>
      <c r="E3150">
        <v>57</v>
      </c>
      <c r="F3150">
        <v>19</v>
      </c>
      <c r="G3150">
        <v>114</v>
      </c>
      <c r="H3150" s="4">
        <v>38</v>
      </c>
      <c r="I3150" s="4">
        <v>76</v>
      </c>
      <c r="J3150" t="s">
        <v>371</v>
      </c>
      <c r="K3150" t="s">
        <v>58</v>
      </c>
      <c r="L3150" s="4">
        <v>12.004541523616258</v>
      </c>
      <c r="M3150" s="1" t="s">
        <v>38</v>
      </c>
      <c r="N3150" s="11">
        <f t="shared" si="49"/>
        <v>5</v>
      </c>
    </row>
    <row r="3151" spans="1:14" ht="16" x14ac:dyDescent="0.2">
      <c r="A3151" s="3">
        <v>43939</v>
      </c>
      <c r="B3151" s="1" t="s">
        <v>3339</v>
      </c>
      <c r="C3151" t="s">
        <v>283</v>
      </c>
      <c r="D3151">
        <v>20</v>
      </c>
      <c r="E3151">
        <v>144</v>
      </c>
      <c r="F3151">
        <v>36</v>
      </c>
      <c r="G3151">
        <v>2880</v>
      </c>
      <c r="H3151" s="4">
        <v>720</v>
      </c>
      <c r="I3151" s="4">
        <v>2160</v>
      </c>
      <c r="J3151" t="s">
        <v>729</v>
      </c>
      <c r="K3151" t="s">
        <v>64</v>
      </c>
      <c r="L3151" s="4">
        <v>11.443503623244197</v>
      </c>
      <c r="M3151" s="1" t="s">
        <v>34</v>
      </c>
      <c r="N3151" s="11">
        <f t="shared" si="49"/>
        <v>1</v>
      </c>
    </row>
    <row r="3152" spans="1:14" ht="16" x14ac:dyDescent="0.2">
      <c r="A3152" s="3">
        <v>43940</v>
      </c>
      <c r="B3152" s="1" t="s">
        <v>873</v>
      </c>
      <c r="C3152" t="s">
        <v>36</v>
      </c>
      <c r="D3152">
        <v>19</v>
      </c>
      <c r="E3152">
        <v>102</v>
      </c>
      <c r="F3152">
        <v>51</v>
      </c>
      <c r="G3152">
        <v>1938</v>
      </c>
      <c r="H3152" s="4">
        <v>969</v>
      </c>
      <c r="I3152" s="4">
        <v>969</v>
      </c>
      <c r="J3152" t="s">
        <v>545</v>
      </c>
      <c r="K3152" t="s">
        <v>53</v>
      </c>
      <c r="L3152" s="4">
        <v>10.112765954734209</v>
      </c>
      <c r="M3152" s="1" t="s">
        <v>34</v>
      </c>
      <c r="N3152" s="11">
        <f t="shared" si="49"/>
        <v>1</v>
      </c>
    </row>
    <row r="3153" spans="1:14" ht="16" x14ac:dyDescent="0.2">
      <c r="A3153" s="3">
        <v>43941</v>
      </c>
      <c r="B3153" s="1" t="s">
        <v>3340</v>
      </c>
      <c r="C3153" t="s">
        <v>163</v>
      </c>
      <c r="D3153">
        <v>8</v>
      </c>
      <c r="E3153">
        <v>108</v>
      </c>
      <c r="F3153">
        <v>36</v>
      </c>
      <c r="G3153">
        <v>864</v>
      </c>
      <c r="H3153" s="4">
        <v>288</v>
      </c>
      <c r="I3153" s="4">
        <v>576</v>
      </c>
      <c r="J3153" t="s">
        <v>363</v>
      </c>
      <c r="K3153" t="s">
        <v>64</v>
      </c>
      <c r="L3153" s="4">
        <v>14.690198582365463</v>
      </c>
      <c r="M3153" s="1" t="s">
        <v>38</v>
      </c>
      <c r="N3153" s="11">
        <f t="shared" si="49"/>
        <v>5</v>
      </c>
    </row>
    <row r="3154" spans="1:14" ht="16" x14ac:dyDescent="0.2">
      <c r="A3154" s="3">
        <v>43942</v>
      </c>
      <c r="B3154" s="1" t="s">
        <v>1992</v>
      </c>
      <c r="C3154" t="s">
        <v>503</v>
      </c>
      <c r="D3154">
        <v>20</v>
      </c>
      <c r="E3154">
        <v>50</v>
      </c>
      <c r="F3154">
        <v>25</v>
      </c>
      <c r="G3154">
        <v>1000</v>
      </c>
      <c r="H3154" s="4">
        <v>500</v>
      </c>
      <c r="I3154" s="4">
        <v>500</v>
      </c>
      <c r="J3154" t="s">
        <v>738</v>
      </c>
      <c r="K3154" t="s">
        <v>33</v>
      </c>
      <c r="L3154" s="4">
        <v>12.985332015423809</v>
      </c>
      <c r="M3154" s="1" t="s">
        <v>38</v>
      </c>
      <c r="N3154" s="11">
        <f t="shared" si="49"/>
        <v>5</v>
      </c>
    </row>
    <row r="3155" spans="1:14" ht="16" x14ac:dyDescent="0.2">
      <c r="A3155" s="3">
        <v>43943</v>
      </c>
      <c r="B3155" s="1" t="s">
        <v>3341</v>
      </c>
      <c r="C3155" t="s">
        <v>386</v>
      </c>
      <c r="D3155">
        <v>7</v>
      </c>
      <c r="E3155">
        <v>110</v>
      </c>
      <c r="F3155">
        <v>55</v>
      </c>
      <c r="G3155">
        <v>770</v>
      </c>
      <c r="H3155" s="4">
        <v>385</v>
      </c>
      <c r="I3155" s="4">
        <v>385</v>
      </c>
      <c r="J3155" t="s">
        <v>384</v>
      </c>
      <c r="K3155" t="s">
        <v>33</v>
      </c>
      <c r="L3155" s="4">
        <v>11.687634894637348</v>
      </c>
      <c r="M3155" s="1" t="s">
        <v>38</v>
      </c>
      <c r="N3155" s="11">
        <f t="shared" si="49"/>
        <v>5</v>
      </c>
    </row>
    <row r="3156" spans="1:14" ht="16" x14ac:dyDescent="0.2">
      <c r="A3156" s="3">
        <v>43944</v>
      </c>
      <c r="B3156" s="1" t="s">
        <v>3342</v>
      </c>
      <c r="C3156" t="s">
        <v>171</v>
      </c>
      <c r="D3156">
        <v>16</v>
      </c>
      <c r="E3156">
        <v>225</v>
      </c>
      <c r="F3156">
        <v>75</v>
      </c>
      <c r="G3156">
        <v>3600</v>
      </c>
      <c r="H3156" s="4">
        <v>1200</v>
      </c>
      <c r="I3156" s="4">
        <v>2400</v>
      </c>
      <c r="J3156" t="s">
        <v>323</v>
      </c>
      <c r="K3156" t="s">
        <v>53</v>
      </c>
      <c r="L3156" s="4">
        <v>11.221666113009938</v>
      </c>
      <c r="M3156" s="1" t="s">
        <v>38</v>
      </c>
      <c r="N3156" s="11">
        <f t="shared" si="49"/>
        <v>5</v>
      </c>
    </row>
    <row r="3157" spans="1:14" ht="16" x14ac:dyDescent="0.2">
      <c r="A3157" s="3">
        <v>43945</v>
      </c>
      <c r="B3157" s="1" t="s">
        <v>3343</v>
      </c>
      <c r="C3157" t="s">
        <v>84</v>
      </c>
      <c r="D3157">
        <v>3</v>
      </c>
      <c r="E3157">
        <v>126</v>
      </c>
      <c r="F3157">
        <v>42</v>
      </c>
      <c r="G3157">
        <v>378</v>
      </c>
      <c r="H3157" s="4">
        <v>126</v>
      </c>
      <c r="I3157" s="4">
        <v>252</v>
      </c>
      <c r="J3157" t="s">
        <v>210</v>
      </c>
      <c r="K3157" t="s">
        <v>58</v>
      </c>
      <c r="L3157" s="4">
        <v>11.995406972581796</v>
      </c>
      <c r="M3157" s="1" t="s">
        <v>54</v>
      </c>
      <c r="N3157" s="11">
        <f t="shared" si="49"/>
        <v>10</v>
      </c>
    </row>
    <row r="3158" spans="1:14" ht="16" x14ac:dyDescent="0.2">
      <c r="A3158" s="3">
        <v>43946</v>
      </c>
      <c r="B3158" s="1" t="s">
        <v>3344</v>
      </c>
      <c r="C3158" t="s">
        <v>151</v>
      </c>
      <c r="D3158">
        <v>11</v>
      </c>
      <c r="E3158">
        <v>153</v>
      </c>
      <c r="F3158">
        <v>51</v>
      </c>
      <c r="G3158">
        <v>1683</v>
      </c>
      <c r="H3158" s="4">
        <v>561</v>
      </c>
      <c r="I3158" s="4">
        <v>1122</v>
      </c>
      <c r="J3158" t="s">
        <v>131</v>
      </c>
      <c r="K3158" t="s">
        <v>33</v>
      </c>
      <c r="L3158" s="4">
        <v>12.844063202784817</v>
      </c>
      <c r="M3158" s="1" t="s">
        <v>54</v>
      </c>
      <c r="N3158" s="11">
        <f t="shared" si="49"/>
        <v>10</v>
      </c>
    </row>
    <row r="3159" spans="1:14" ht="16" x14ac:dyDescent="0.2">
      <c r="A3159" s="3">
        <v>43947</v>
      </c>
      <c r="B3159" s="1" t="s">
        <v>3345</v>
      </c>
      <c r="C3159" t="s">
        <v>227</v>
      </c>
      <c r="D3159">
        <v>16</v>
      </c>
      <c r="E3159">
        <v>144</v>
      </c>
      <c r="F3159">
        <v>48</v>
      </c>
      <c r="G3159">
        <v>2304</v>
      </c>
      <c r="H3159" s="4">
        <v>768</v>
      </c>
      <c r="I3159" s="4">
        <v>1536</v>
      </c>
      <c r="J3159" t="s">
        <v>57</v>
      </c>
      <c r="K3159" t="s">
        <v>58</v>
      </c>
      <c r="L3159" s="4">
        <v>11.749993886708426</v>
      </c>
      <c r="M3159" s="1" t="s">
        <v>38</v>
      </c>
      <c r="N3159" s="11">
        <f t="shared" si="49"/>
        <v>5</v>
      </c>
    </row>
    <row r="3160" spans="1:14" ht="16" x14ac:dyDescent="0.2">
      <c r="A3160" s="3">
        <v>43948</v>
      </c>
      <c r="B3160" s="1" t="s">
        <v>3346</v>
      </c>
      <c r="C3160" t="s">
        <v>151</v>
      </c>
      <c r="D3160">
        <v>11</v>
      </c>
      <c r="E3160">
        <v>153</v>
      </c>
      <c r="F3160">
        <v>51</v>
      </c>
      <c r="G3160">
        <v>1683</v>
      </c>
      <c r="H3160" s="4">
        <v>561</v>
      </c>
      <c r="I3160" s="4">
        <v>1122</v>
      </c>
      <c r="J3160" t="s">
        <v>517</v>
      </c>
      <c r="K3160" t="s">
        <v>86</v>
      </c>
      <c r="L3160" s="4">
        <v>13.57003172959007</v>
      </c>
      <c r="M3160" s="1" t="s">
        <v>38</v>
      </c>
      <c r="N3160" s="11">
        <f t="shared" si="49"/>
        <v>5</v>
      </c>
    </row>
    <row r="3161" spans="1:14" ht="16" x14ac:dyDescent="0.2">
      <c r="A3161" s="3">
        <v>43949</v>
      </c>
      <c r="B3161" s="1" t="s">
        <v>3347</v>
      </c>
      <c r="C3161" t="s">
        <v>36</v>
      </c>
      <c r="D3161">
        <v>4</v>
      </c>
      <c r="E3161">
        <v>102</v>
      </c>
      <c r="F3161">
        <v>51</v>
      </c>
      <c r="G3161">
        <v>408</v>
      </c>
      <c r="H3161" s="4">
        <v>204</v>
      </c>
      <c r="I3161" s="4">
        <v>204</v>
      </c>
      <c r="J3161" t="s">
        <v>67</v>
      </c>
      <c r="K3161" t="s">
        <v>64</v>
      </c>
      <c r="L3161" s="4">
        <v>15.602184182549776</v>
      </c>
      <c r="M3161" s="1" t="s">
        <v>38</v>
      </c>
      <c r="N3161" s="11">
        <f t="shared" si="49"/>
        <v>5</v>
      </c>
    </row>
    <row r="3162" spans="1:14" ht="16" x14ac:dyDescent="0.2">
      <c r="A3162" s="3">
        <v>43950</v>
      </c>
      <c r="B3162" s="1" t="s">
        <v>3329</v>
      </c>
      <c r="C3162" t="s">
        <v>196</v>
      </c>
      <c r="D3162">
        <v>2</v>
      </c>
      <c r="E3162">
        <v>192</v>
      </c>
      <c r="F3162">
        <v>96</v>
      </c>
      <c r="G3162">
        <v>384</v>
      </c>
      <c r="H3162" s="4">
        <v>192</v>
      </c>
      <c r="I3162" s="4">
        <v>192</v>
      </c>
      <c r="J3162" t="s">
        <v>202</v>
      </c>
      <c r="K3162" t="s">
        <v>58</v>
      </c>
      <c r="L3162" s="4">
        <v>13.765798454641494</v>
      </c>
      <c r="M3162" s="1" t="s">
        <v>38</v>
      </c>
      <c r="N3162" s="11">
        <f t="shared" si="49"/>
        <v>5</v>
      </c>
    </row>
    <row r="3163" spans="1:14" ht="16" x14ac:dyDescent="0.2">
      <c r="A3163" s="3">
        <v>43951</v>
      </c>
      <c r="B3163" s="1" t="s">
        <v>3348</v>
      </c>
      <c r="C3163" t="s">
        <v>370</v>
      </c>
      <c r="D3163">
        <v>20</v>
      </c>
      <c r="E3163">
        <v>144</v>
      </c>
      <c r="F3163">
        <v>36</v>
      </c>
      <c r="G3163">
        <v>2880</v>
      </c>
      <c r="H3163" s="4">
        <v>720</v>
      </c>
      <c r="I3163" s="4">
        <v>2160</v>
      </c>
      <c r="J3163" t="s">
        <v>85</v>
      </c>
      <c r="K3163" t="s">
        <v>86</v>
      </c>
      <c r="L3163" s="4">
        <v>11.631646244583138</v>
      </c>
      <c r="M3163" s="1" t="s">
        <v>38</v>
      </c>
      <c r="N3163" s="11">
        <f t="shared" si="49"/>
        <v>5</v>
      </c>
    </row>
    <row r="3164" spans="1:14" ht="16" x14ac:dyDescent="0.2">
      <c r="A3164" s="3">
        <v>43952</v>
      </c>
      <c r="B3164" s="1" t="s">
        <v>3349</v>
      </c>
      <c r="C3164" t="s">
        <v>133</v>
      </c>
      <c r="D3164">
        <v>16</v>
      </c>
      <c r="E3164">
        <v>189</v>
      </c>
      <c r="F3164">
        <v>63</v>
      </c>
      <c r="G3164">
        <v>3024</v>
      </c>
      <c r="H3164" s="4">
        <v>1008</v>
      </c>
      <c r="I3164" s="4">
        <v>2016</v>
      </c>
      <c r="J3164" t="s">
        <v>862</v>
      </c>
      <c r="K3164" t="s">
        <v>58</v>
      </c>
      <c r="L3164" s="4">
        <v>13.827196127590291</v>
      </c>
      <c r="M3164" s="1" t="s">
        <v>38</v>
      </c>
      <c r="N3164" s="11">
        <f t="shared" si="49"/>
        <v>5</v>
      </c>
    </row>
    <row r="3165" spans="1:14" ht="16" x14ac:dyDescent="0.2">
      <c r="A3165" s="3">
        <v>43953</v>
      </c>
      <c r="B3165" s="1" t="s">
        <v>3350</v>
      </c>
      <c r="C3165" t="s">
        <v>69</v>
      </c>
      <c r="D3165">
        <v>14</v>
      </c>
      <c r="E3165">
        <v>184</v>
      </c>
      <c r="F3165">
        <v>92</v>
      </c>
      <c r="G3165">
        <v>2576</v>
      </c>
      <c r="H3165" s="4">
        <v>1288</v>
      </c>
      <c r="I3165" s="4">
        <v>1288</v>
      </c>
      <c r="J3165" t="s">
        <v>513</v>
      </c>
      <c r="K3165" t="s">
        <v>58</v>
      </c>
      <c r="L3165" s="4">
        <v>15.207985888346794</v>
      </c>
      <c r="M3165" s="1" t="s">
        <v>54</v>
      </c>
      <c r="N3165" s="11">
        <f t="shared" si="49"/>
        <v>10</v>
      </c>
    </row>
    <row r="3166" spans="1:14" ht="16" x14ac:dyDescent="0.2">
      <c r="A3166" s="3">
        <v>43954</v>
      </c>
      <c r="B3166" s="1" t="s">
        <v>3351</v>
      </c>
      <c r="C3166" t="s">
        <v>115</v>
      </c>
      <c r="D3166">
        <v>1</v>
      </c>
      <c r="E3166">
        <v>81</v>
      </c>
      <c r="F3166">
        <v>27</v>
      </c>
      <c r="G3166">
        <v>81</v>
      </c>
      <c r="H3166" s="4">
        <v>27</v>
      </c>
      <c r="I3166" s="4">
        <v>54</v>
      </c>
      <c r="J3166" t="s">
        <v>134</v>
      </c>
      <c r="K3166" t="s">
        <v>33</v>
      </c>
      <c r="L3166" s="4">
        <v>9.4200113153305907</v>
      </c>
      <c r="M3166" s="1" t="s">
        <v>38</v>
      </c>
      <c r="N3166" s="11">
        <f t="shared" si="49"/>
        <v>5</v>
      </c>
    </row>
    <row r="3167" spans="1:14" ht="16" x14ac:dyDescent="0.2">
      <c r="A3167" s="3">
        <v>43955</v>
      </c>
      <c r="B3167" s="1" t="s">
        <v>402</v>
      </c>
      <c r="C3167" t="s">
        <v>218</v>
      </c>
      <c r="D3167">
        <v>17</v>
      </c>
      <c r="E3167">
        <v>264</v>
      </c>
      <c r="F3167">
        <v>88</v>
      </c>
      <c r="G3167">
        <v>4488</v>
      </c>
      <c r="H3167" s="4">
        <v>1496</v>
      </c>
      <c r="I3167" s="4">
        <v>2992</v>
      </c>
      <c r="J3167" t="s">
        <v>474</v>
      </c>
      <c r="K3167" t="s">
        <v>33</v>
      </c>
      <c r="L3167" s="4">
        <v>9.629298039722805</v>
      </c>
      <c r="M3167" s="1" t="s">
        <v>38</v>
      </c>
      <c r="N3167" s="11">
        <f t="shared" si="49"/>
        <v>5</v>
      </c>
    </row>
    <row r="3168" spans="1:14" ht="16" x14ac:dyDescent="0.2">
      <c r="A3168" s="3">
        <v>43956</v>
      </c>
      <c r="B3168" s="1" t="s">
        <v>3352</v>
      </c>
      <c r="C3168" t="s">
        <v>175</v>
      </c>
      <c r="D3168">
        <v>6</v>
      </c>
      <c r="E3168">
        <v>38</v>
      </c>
      <c r="F3168">
        <v>19</v>
      </c>
      <c r="G3168">
        <v>228</v>
      </c>
      <c r="H3168" s="4">
        <v>114</v>
      </c>
      <c r="I3168" s="4">
        <v>114</v>
      </c>
      <c r="J3168" t="s">
        <v>562</v>
      </c>
      <c r="K3168" t="s">
        <v>49</v>
      </c>
      <c r="L3168" s="4">
        <v>11.808681852148307</v>
      </c>
      <c r="M3168" s="1" t="s">
        <v>38</v>
      </c>
      <c r="N3168" s="11">
        <f t="shared" si="49"/>
        <v>5</v>
      </c>
    </row>
    <row r="3169" spans="1:14" ht="16" x14ac:dyDescent="0.2">
      <c r="A3169" s="3">
        <v>43957</v>
      </c>
      <c r="B3169" s="1" t="s">
        <v>3353</v>
      </c>
      <c r="C3169" t="s">
        <v>157</v>
      </c>
      <c r="D3169">
        <v>20</v>
      </c>
      <c r="E3169">
        <v>50</v>
      </c>
      <c r="F3169">
        <v>25</v>
      </c>
      <c r="G3169">
        <v>1000</v>
      </c>
      <c r="H3169" s="4">
        <v>500</v>
      </c>
      <c r="I3169" s="4">
        <v>500</v>
      </c>
      <c r="J3169" t="s">
        <v>161</v>
      </c>
      <c r="K3169" t="s">
        <v>33</v>
      </c>
      <c r="L3169" s="4">
        <v>14.370283356317486</v>
      </c>
      <c r="M3169" s="1" t="s">
        <v>34</v>
      </c>
      <c r="N3169" s="11">
        <f t="shared" si="49"/>
        <v>1</v>
      </c>
    </row>
    <row r="3170" spans="1:14" ht="16" x14ac:dyDescent="0.2">
      <c r="A3170" s="3">
        <v>43958</v>
      </c>
      <c r="B3170" s="1" t="s">
        <v>3354</v>
      </c>
      <c r="C3170" t="s">
        <v>196</v>
      </c>
      <c r="D3170">
        <v>6</v>
      </c>
      <c r="E3170">
        <v>192</v>
      </c>
      <c r="F3170">
        <v>96</v>
      </c>
      <c r="G3170">
        <v>1152</v>
      </c>
      <c r="H3170" s="4">
        <v>576</v>
      </c>
      <c r="I3170" s="4">
        <v>576</v>
      </c>
      <c r="J3170" t="s">
        <v>411</v>
      </c>
      <c r="K3170" t="s">
        <v>64</v>
      </c>
      <c r="L3170" s="4">
        <v>13.115597690631557</v>
      </c>
      <c r="M3170" s="1" t="s">
        <v>38</v>
      </c>
      <c r="N3170" s="11">
        <f t="shared" si="49"/>
        <v>5</v>
      </c>
    </row>
    <row r="3171" spans="1:14" ht="16" x14ac:dyDescent="0.2">
      <c r="A3171" s="3">
        <v>43959</v>
      </c>
      <c r="B3171" s="1" t="s">
        <v>3355</v>
      </c>
      <c r="C3171" t="s">
        <v>410</v>
      </c>
      <c r="D3171">
        <v>17</v>
      </c>
      <c r="E3171">
        <v>84</v>
      </c>
      <c r="F3171">
        <v>21</v>
      </c>
      <c r="G3171">
        <v>1428</v>
      </c>
      <c r="H3171" s="4">
        <v>357</v>
      </c>
      <c r="I3171" s="4">
        <v>1071</v>
      </c>
      <c r="J3171" t="s">
        <v>1625</v>
      </c>
      <c r="K3171" t="s">
        <v>86</v>
      </c>
      <c r="L3171" s="4">
        <v>11.238524301148807</v>
      </c>
      <c r="M3171" s="1" t="s">
        <v>54</v>
      </c>
      <c r="N3171" s="11">
        <f t="shared" si="49"/>
        <v>10</v>
      </c>
    </row>
    <row r="3172" spans="1:14" ht="16" x14ac:dyDescent="0.2">
      <c r="A3172" s="3">
        <v>43960</v>
      </c>
      <c r="B3172" s="1" t="s">
        <v>3356</v>
      </c>
      <c r="C3172" t="s">
        <v>139</v>
      </c>
      <c r="D3172">
        <v>1</v>
      </c>
      <c r="E3172">
        <v>320</v>
      </c>
      <c r="F3172">
        <v>80</v>
      </c>
      <c r="G3172">
        <v>320</v>
      </c>
      <c r="H3172" s="4">
        <v>80</v>
      </c>
      <c r="I3172" s="4">
        <v>240</v>
      </c>
      <c r="J3172" t="s">
        <v>149</v>
      </c>
      <c r="K3172" t="s">
        <v>58</v>
      </c>
      <c r="L3172" s="4">
        <v>8.1085102757869372</v>
      </c>
      <c r="M3172" s="1" t="s">
        <v>38</v>
      </c>
      <c r="N3172" s="11">
        <f t="shared" si="49"/>
        <v>5</v>
      </c>
    </row>
    <row r="3173" spans="1:14" ht="16" x14ac:dyDescent="0.2">
      <c r="A3173" s="3">
        <v>43961</v>
      </c>
      <c r="B3173" s="1" t="s">
        <v>3357</v>
      </c>
      <c r="C3173" t="s">
        <v>105</v>
      </c>
      <c r="D3173">
        <v>7</v>
      </c>
      <c r="E3173">
        <v>201</v>
      </c>
      <c r="F3173">
        <v>67</v>
      </c>
      <c r="G3173">
        <v>1407</v>
      </c>
      <c r="H3173" s="4">
        <v>469</v>
      </c>
      <c r="I3173" s="4">
        <v>938</v>
      </c>
      <c r="J3173" t="s">
        <v>351</v>
      </c>
      <c r="K3173" t="s">
        <v>33</v>
      </c>
      <c r="L3173" s="4">
        <v>11.070908141213383</v>
      </c>
      <c r="M3173" s="1" t="s">
        <v>34</v>
      </c>
      <c r="N3173" s="11">
        <f t="shared" si="49"/>
        <v>1</v>
      </c>
    </row>
    <row r="3174" spans="1:14" ht="16" x14ac:dyDescent="0.2">
      <c r="A3174" s="3">
        <v>43962</v>
      </c>
      <c r="B3174" s="1" t="s">
        <v>3358</v>
      </c>
      <c r="C3174" t="s">
        <v>185</v>
      </c>
      <c r="D3174">
        <v>10</v>
      </c>
      <c r="E3174">
        <v>146</v>
      </c>
      <c r="F3174">
        <v>73</v>
      </c>
      <c r="G3174">
        <v>1460</v>
      </c>
      <c r="H3174" s="4">
        <v>730</v>
      </c>
      <c r="I3174" s="4">
        <v>730</v>
      </c>
      <c r="J3174" t="s">
        <v>741</v>
      </c>
      <c r="K3174" t="s">
        <v>42</v>
      </c>
      <c r="L3174" s="4">
        <v>14.817898176328208</v>
      </c>
      <c r="M3174" s="1" t="s">
        <v>38</v>
      </c>
      <c r="N3174" s="11">
        <f t="shared" si="49"/>
        <v>5</v>
      </c>
    </row>
    <row r="3175" spans="1:14" ht="16" x14ac:dyDescent="0.2">
      <c r="A3175" s="3">
        <v>43963</v>
      </c>
      <c r="B3175" s="1" t="s">
        <v>3359</v>
      </c>
      <c r="C3175" t="s">
        <v>431</v>
      </c>
      <c r="D3175">
        <v>16</v>
      </c>
      <c r="E3175">
        <v>356</v>
      </c>
      <c r="F3175">
        <v>89</v>
      </c>
      <c r="G3175">
        <v>5696</v>
      </c>
      <c r="H3175" s="4">
        <v>1424</v>
      </c>
      <c r="I3175" s="4">
        <v>4272</v>
      </c>
      <c r="J3175" t="s">
        <v>752</v>
      </c>
      <c r="K3175" t="s">
        <v>49</v>
      </c>
      <c r="L3175" s="4">
        <v>11.862005526237752</v>
      </c>
      <c r="M3175" s="1" t="s">
        <v>54</v>
      </c>
      <c r="N3175" s="11">
        <f t="shared" si="49"/>
        <v>10</v>
      </c>
    </row>
    <row r="3176" spans="1:14" ht="16" x14ac:dyDescent="0.2">
      <c r="A3176" s="3">
        <v>43964</v>
      </c>
      <c r="B3176" s="1" t="s">
        <v>3360</v>
      </c>
      <c r="C3176" t="s">
        <v>66</v>
      </c>
      <c r="D3176">
        <v>11</v>
      </c>
      <c r="E3176">
        <v>144</v>
      </c>
      <c r="F3176">
        <v>48</v>
      </c>
      <c r="G3176">
        <v>1584</v>
      </c>
      <c r="H3176" s="4">
        <v>528</v>
      </c>
      <c r="I3176" s="4">
        <v>1056</v>
      </c>
      <c r="J3176" t="s">
        <v>272</v>
      </c>
      <c r="K3176" t="s">
        <v>49</v>
      </c>
      <c r="L3176" s="4">
        <v>12.503632939408062</v>
      </c>
      <c r="M3176" s="1" t="s">
        <v>38</v>
      </c>
      <c r="N3176" s="11">
        <f t="shared" si="49"/>
        <v>5</v>
      </c>
    </row>
    <row r="3177" spans="1:14" ht="16" x14ac:dyDescent="0.2">
      <c r="A3177" s="3">
        <v>43965</v>
      </c>
      <c r="B3177" s="1" t="s">
        <v>3361</v>
      </c>
      <c r="C3177" t="s">
        <v>394</v>
      </c>
      <c r="D3177">
        <v>1</v>
      </c>
      <c r="E3177">
        <v>58</v>
      </c>
      <c r="F3177">
        <v>29</v>
      </c>
      <c r="G3177">
        <v>58</v>
      </c>
      <c r="H3177" s="4">
        <v>29</v>
      </c>
      <c r="I3177" s="4">
        <v>29</v>
      </c>
      <c r="J3177" t="s">
        <v>205</v>
      </c>
      <c r="K3177" t="s">
        <v>33</v>
      </c>
      <c r="L3177" s="4">
        <v>12.007834550770397</v>
      </c>
      <c r="M3177" s="1" t="s">
        <v>54</v>
      </c>
      <c r="N3177" s="11">
        <f t="shared" si="49"/>
        <v>10</v>
      </c>
    </row>
    <row r="3178" spans="1:14" ht="16" x14ac:dyDescent="0.2">
      <c r="A3178" s="3">
        <v>43966</v>
      </c>
      <c r="B3178" s="1" t="s">
        <v>3362</v>
      </c>
      <c r="C3178" t="s">
        <v>592</v>
      </c>
      <c r="D3178">
        <v>4</v>
      </c>
      <c r="E3178">
        <v>312</v>
      </c>
      <c r="F3178">
        <v>78</v>
      </c>
      <c r="G3178">
        <v>1248</v>
      </c>
      <c r="H3178" s="4">
        <v>312</v>
      </c>
      <c r="I3178" s="4">
        <v>936</v>
      </c>
      <c r="J3178" t="s">
        <v>704</v>
      </c>
      <c r="K3178" t="s">
        <v>86</v>
      </c>
      <c r="L3178" s="4">
        <v>12.699042739101285</v>
      </c>
      <c r="M3178" s="1" t="s">
        <v>38</v>
      </c>
      <c r="N3178" s="11">
        <f t="shared" si="49"/>
        <v>5</v>
      </c>
    </row>
    <row r="3179" spans="1:14" ht="16" x14ac:dyDescent="0.2">
      <c r="A3179" s="3">
        <v>43967</v>
      </c>
      <c r="B3179" s="1" t="s">
        <v>3363</v>
      </c>
      <c r="C3179" t="s">
        <v>209</v>
      </c>
      <c r="D3179">
        <v>5</v>
      </c>
      <c r="E3179">
        <v>150</v>
      </c>
      <c r="F3179">
        <v>75</v>
      </c>
      <c r="G3179">
        <v>750</v>
      </c>
      <c r="H3179" s="4">
        <v>375</v>
      </c>
      <c r="I3179" s="4">
        <v>375</v>
      </c>
      <c r="J3179" t="s">
        <v>802</v>
      </c>
      <c r="K3179" t="s">
        <v>58</v>
      </c>
      <c r="L3179" s="4">
        <v>11.943192562152261</v>
      </c>
      <c r="M3179" s="1" t="s">
        <v>38</v>
      </c>
      <c r="N3179" s="11">
        <f t="shared" si="49"/>
        <v>5</v>
      </c>
    </row>
    <row r="3180" spans="1:14" ht="16" x14ac:dyDescent="0.2">
      <c r="A3180" s="3">
        <v>43968</v>
      </c>
      <c r="B3180" s="1" t="s">
        <v>3364</v>
      </c>
      <c r="C3180" t="s">
        <v>487</v>
      </c>
      <c r="D3180">
        <v>3</v>
      </c>
      <c r="E3180">
        <v>264</v>
      </c>
      <c r="F3180">
        <v>88</v>
      </c>
      <c r="G3180">
        <v>792</v>
      </c>
      <c r="H3180" s="4">
        <v>264</v>
      </c>
      <c r="I3180" s="4">
        <v>528</v>
      </c>
      <c r="J3180" t="s">
        <v>490</v>
      </c>
      <c r="K3180" t="s">
        <v>64</v>
      </c>
      <c r="L3180" s="4">
        <v>11.249825090458803</v>
      </c>
      <c r="M3180" s="1" t="s">
        <v>54</v>
      </c>
      <c r="N3180" s="11">
        <f t="shared" si="49"/>
        <v>10</v>
      </c>
    </row>
    <row r="3181" spans="1:14" ht="16" x14ac:dyDescent="0.2">
      <c r="A3181" s="3">
        <v>43969</v>
      </c>
      <c r="B3181" s="1" t="s">
        <v>3365</v>
      </c>
      <c r="C3181" t="s">
        <v>266</v>
      </c>
      <c r="D3181">
        <v>12</v>
      </c>
      <c r="E3181">
        <v>50</v>
      </c>
      <c r="F3181">
        <v>25</v>
      </c>
      <c r="G3181">
        <v>600</v>
      </c>
      <c r="H3181" s="4">
        <v>300</v>
      </c>
      <c r="I3181" s="4">
        <v>300</v>
      </c>
      <c r="J3181" t="s">
        <v>140</v>
      </c>
      <c r="K3181" t="s">
        <v>53</v>
      </c>
      <c r="L3181" s="4">
        <v>7.1104128275166252</v>
      </c>
      <c r="M3181" s="1" t="s">
        <v>38</v>
      </c>
      <c r="N3181" s="11">
        <f t="shared" si="49"/>
        <v>5</v>
      </c>
    </row>
    <row r="3182" spans="1:14" ht="16" x14ac:dyDescent="0.2">
      <c r="A3182" s="3">
        <v>43970</v>
      </c>
      <c r="B3182" s="1" t="s">
        <v>3366</v>
      </c>
      <c r="C3182" t="s">
        <v>538</v>
      </c>
      <c r="D3182">
        <v>4</v>
      </c>
      <c r="E3182">
        <v>261</v>
      </c>
      <c r="F3182">
        <v>87</v>
      </c>
      <c r="G3182">
        <v>1044</v>
      </c>
      <c r="H3182" s="4">
        <v>348</v>
      </c>
      <c r="I3182" s="4">
        <v>696</v>
      </c>
      <c r="J3182" t="s">
        <v>738</v>
      </c>
      <c r="K3182" t="s">
        <v>33</v>
      </c>
      <c r="L3182" s="4">
        <v>12.985332015423809</v>
      </c>
      <c r="M3182" s="1" t="s">
        <v>38</v>
      </c>
      <c r="N3182" s="11">
        <f t="shared" si="49"/>
        <v>5</v>
      </c>
    </row>
    <row r="3183" spans="1:14" ht="16" x14ac:dyDescent="0.2">
      <c r="A3183" s="3">
        <v>43971</v>
      </c>
      <c r="B3183" s="1" t="s">
        <v>3367</v>
      </c>
      <c r="C3183" t="s">
        <v>547</v>
      </c>
      <c r="D3183">
        <v>2</v>
      </c>
      <c r="E3183">
        <v>300</v>
      </c>
      <c r="F3183">
        <v>75</v>
      </c>
      <c r="G3183">
        <v>600</v>
      </c>
      <c r="H3183" s="4">
        <v>150</v>
      </c>
      <c r="I3183" s="4">
        <v>450</v>
      </c>
      <c r="J3183" t="s">
        <v>1008</v>
      </c>
      <c r="K3183" t="s">
        <v>58</v>
      </c>
      <c r="L3183" s="4">
        <v>9.9471686551317795</v>
      </c>
      <c r="M3183" s="1" t="s">
        <v>38</v>
      </c>
      <c r="N3183" s="11">
        <f t="shared" si="49"/>
        <v>5</v>
      </c>
    </row>
    <row r="3184" spans="1:14" ht="16" x14ac:dyDescent="0.2">
      <c r="A3184" s="3">
        <v>43972</v>
      </c>
      <c r="B3184" s="1" t="s">
        <v>3368</v>
      </c>
      <c r="C3184" t="s">
        <v>72</v>
      </c>
      <c r="D3184">
        <v>8</v>
      </c>
      <c r="E3184">
        <v>352</v>
      </c>
      <c r="F3184">
        <v>88</v>
      </c>
      <c r="G3184">
        <v>2816</v>
      </c>
      <c r="H3184" s="4">
        <v>704</v>
      </c>
      <c r="I3184" s="4">
        <v>2112</v>
      </c>
      <c r="J3184" t="s">
        <v>1138</v>
      </c>
      <c r="K3184" t="s">
        <v>64</v>
      </c>
      <c r="L3184" s="4">
        <v>13.601235361661526</v>
      </c>
      <c r="M3184" s="1" t="s">
        <v>54</v>
      </c>
      <c r="N3184" s="11">
        <f t="shared" si="49"/>
        <v>10</v>
      </c>
    </row>
    <row r="3185" spans="1:14" ht="16" x14ac:dyDescent="0.2">
      <c r="A3185" s="3">
        <v>43973</v>
      </c>
      <c r="B3185" s="1" t="s">
        <v>3369</v>
      </c>
      <c r="C3185" t="s">
        <v>607</v>
      </c>
      <c r="D3185">
        <v>14</v>
      </c>
      <c r="E3185">
        <v>225</v>
      </c>
      <c r="F3185">
        <v>75</v>
      </c>
      <c r="G3185">
        <v>3150</v>
      </c>
      <c r="H3185" s="4">
        <v>1050</v>
      </c>
      <c r="I3185" s="4">
        <v>2100</v>
      </c>
      <c r="J3185" t="s">
        <v>704</v>
      </c>
      <c r="K3185" t="s">
        <v>86</v>
      </c>
      <c r="L3185" s="4">
        <v>12.699042739101285</v>
      </c>
      <c r="M3185" s="1" t="s">
        <v>38</v>
      </c>
      <c r="N3185" s="11">
        <f t="shared" si="49"/>
        <v>5</v>
      </c>
    </row>
    <row r="3186" spans="1:14" ht="16" x14ac:dyDescent="0.2">
      <c r="A3186" s="3">
        <v>43974</v>
      </c>
      <c r="B3186" s="1" t="s">
        <v>3370</v>
      </c>
      <c r="C3186" t="s">
        <v>243</v>
      </c>
      <c r="D3186">
        <v>13</v>
      </c>
      <c r="E3186">
        <v>90</v>
      </c>
      <c r="F3186">
        <v>45</v>
      </c>
      <c r="G3186">
        <v>1170</v>
      </c>
      <c r="H3186" s="4">
        <v>585</v>
      </c>
      <c r="I3186" s="4">
        <v>585</v>
      </c>
      <c r="J3186" t="s">
        <v>1625</v>
      </c>
      <c r="K3186" t="s">
        <v>86</v>
      </c>
      <c r="L3186" s="4">
        <v>11.238524301148807</v>
      </c>
      <c r="M3186" s="1" t="s">
        <v>38</v>
      </c>
      <c r="N3186" s="11">
        <f t="shared" si="49"/>
        <v>5</v>
      </c>
    </row>
    <row r="3187" spans="1:14" ht="16" x14ac:dyDescent="0.2">
      <c r="A3187" s="3">
        <v>43975</v>
      </c>
      <c r="B3187" s="1" t="s">
        <v>3371</v>
      </c>
      <c r="C3187" t="s">
        <v>312</v>
      </c>
      <c r="D3187">
        <v>6</v>
      </c>
      <c r="E3187">
        <v>240</v>
      </c>
      <c r="F3187">
        <v>80</v>
      </c>
      <c r="G3187">
        <v>1440</v>
      </c>
      <c r="H3187" s="4">
        <v>480</v>
      </c>
      <c r="I3187" s="4">
        <v>960</v>
      </c>
      <c r="J3187" t="s">
        <v>244</v>
      </c>
      <c r="K3187" t="s">
        <v>86</v>
      </c>
      <c r="L3187" s="4">
        <v>15.458859683514467</v>
      </c>
      <c r="M3187" s="1" t="s">
        <v>38</v>
      </c>
      <c r="N3187" s="11">
        <f t="shared" si="49"/>
        <v>5</v>
      </c>
    </row>
    <row r="3188" spans="1:14" ht="16" x14ac:dyDescent="0.2">
      <c r="A3188" s="3">
        <v>43976</v>
      </c>
      <c r="B3188" s="1" t="s">
        <v>3372</v>
      </c>
      <c r="C3188" t="s">
        <v>301</v>
      </c>
      <c r="D3188">
        <v>13</v>
      </c>
      <c r="E3188">
        <v>188</v>
      </c>
      <c r="F3188">
        <v>94</v>
      </c>
      <c r="G3188">
        <v>2444</v>
      </c>
      <c r="H3188" s="4">
        <v>1222</v>
      </c>
      <c r="I3188" s="4">
        <v>1222</v>
      </c>
      <c r="J3188" t="s">
        <v>1129</v>
      </c>
      <c r="K3188" t="s">
        <v>33</v>
      </c>
      <c r="L3188" s="4">
        <v>10.585251392347548</v>
      </c>
      <c r="M3188" s="1" t="s">
        <v>38</v>
      </c>
      <c r="N3188" s="11">
        <f t="shared" si="49"/>
        <v>5</v>
      </c>
    </row>
    <row r="3189" spans="1:14" ht="16" x14ac:dyDescent="0.2">
      <c r="A3189" s="3">
        <v>43977</v>
      </c>
      <c r="B3189" s="1" t="s">
        <v>3373</v>
      </c>
      <c r="C3189" t="s">
        <v>365</v>
      </c>
      <c r="D3189">
        <v>20</v>
      </c>
      <c r="E3189">
        <v>255</v>
      </c>
      <c r="F3189">
        <v>85</v>
      </c>
      <c r="G3189">
        <v>5100</v>
      </c>
      <c r="H3189" s="4">
        <v>1700</v>
      </c>
      <c r="I3189" s="4">
        <v>3400</v>
      </c>
      <c r="J3189" t="s">
        <v>545</v>
      </c>
      <c r="K3189" t="s">
        <v>53</v>
      </c>
      <c r="L3189" s="4">
        <v>10.112765954734209</v>
      </c>
      <c r="M3189" s="1" t="s">
        <v>38</v>
      </c>
      <c r="N3189" s="11">
        <f t="shared" si="49"/>
        <v>5</v>
      </c>
    </row>
    <row r="3190" spans="1:14" ht="16" x14ac:dyDescent="0.2">
      <c r="A3190" s="3">
        <v>43978</v>
      </c>
      <c r="B3190" s="1" t="s">
        <v>3374</v>
      </c>
      <c r="C3190" t="s">
        <v>88</v>
      </c>
      <c r="D3190">
        <v>16</v>
      </c>
      <c r="E3190">
        <v>210</v>
      </c>
      <c r="F3190">
        <v>70</v>
      </c>
      <c r="G3190">
        <v>3360</v>
      </c>
      <c r="H3190" s="4">
        <v>1120</v>
      </c>
      <c r="I3190" s="4">
        <v>2240</v>
      </c>
      <c r="J3190" t="s">
        <v>397</v>
      </c>
      <c r="K3190" t="s">
        <v>49</v>
      </c>
      <c r="L3190" s="4">
        <v>9.4239783062860578</v>
      </c>
      <c r="M3190" s="1" t="s">
        <v>34</v>
      </c>
      <c r="N3190" s="11">
        <f t="shared" si="49"/>
        <v>1</v>
      </c>
    </row>
    <row r="3191" spans="1:14" ht="16" x14ac:dyDescent="0.2">
      <c r="A3191" s="3">
        <v>43979</v>
      </c>
      <c r="B3191" s="1" t="s">
        <v>3375</v>
      </c>
      <c r="C3191" t="s">
        <v>36</v>
      </c>
      <c r="D3191">
        <v>2</v>
      </c>
      <c r="E3191">
        <v>102</v>
      </c>
      <c r="F3191">
        <v>51</v>
      </c>
      <c r="G3191">
        <v>204</v>
      </c>
      <c r="H3191" s="4">
        <v>102</v>
      </c>
      <c r="I3191" s="4">
        <v>102</v>
      </c>
      <c r="J3191" t="s">
        <v>167</v>
      </c>
      <c r="K3191" t="s">
        <v>86</v>
      </c>
      <c r="L3191" s="4">
        <v>10.216282609482219</v>
      </c>
      <c r="M3191" s="1" t="s">
        <v>54</v>
      </c>
      <c r="N3191" s="11">
        <f t="shared" si="49"/>
        <v>10</v>
      </c>
    </row>
    <row r="3192" spans="1:14" ht="16" x14ac:dyDescent="0.2">
      <c r="A3192" s="3">
        <v>43980</v>
      </c>
      <c r="B3192" s="1" t="s">
        <v>1067</v>
      </c>
      <c r="C3192" t="s">
        <v>91</v>
      </c>
      <c r="D3192">
        <v>15</v>
      </c>
      <c r="E3192">
        <v>300</v>
      </c>
      <c r="F3192">
        <v>75</v>
      </c>
      <c r="G3192">
        <v>4500</v>
      </c>
      <c r="H3192" s="4">
        <v>1125</v>
      </c>
      <c r="I3192" s="4">
        <v>3375</v>
      </c>
      <c r="J3192" t="s">
        <v>450</v>
      </c>
      <c r="K3192" t="s">
        <v>49</v>
      </c>
      <c r="L3192" s="4">
        <v>13.332534707865639</v>
      </c>
      <c r="M3192" s="1" t="s">
        <v>38</v>
      </c>
      <c r="N3192" s="11">
        <f t="shared" si="49"/>
        <v>5</v>
      </c>
    </row>
    <row r="3193" spans="1:14" ht="16" x14ac:dyDescent="0.2">
      <c r="A3193" s="3">
        <v>43981</v>
      </c>
      <c r="B3193" s="1" t="s">
        <v>3376</v>
      </c>
      <c r="C3193" t="s">
        <v>386</v>
      </c>
      <c r="D3193">
        <v>9</v>
      </c>
      <c r="E3193">
        <v>110</v>
      </c>
      <c r="F3193">
        <v>55</v>
      </c>
      <c r="G3193">
        <v>990</v>
      </c>
      <c r="H3193" s="4">
        <v>495</v>
      </c>
      <c r="I3193" s="4">
        <v>495</v>
      </c>
      <c r="J3193" t="s">
        <v>67</v>
      </c>
      <c r="K3193" t="s">
        <v>64</v>
      </c>
      <c r="L3193" s="4">
        <v>15.602184182549776</v>
      </c>
      <c r="M3193" s="1" t="s">
        <v>38</v>
      </c>
      <c r="N3193" s="11">
        <f t="shared" si="49"/>
        <v>5</v>
      </c>
    </row>
    <row r="3194" spans="1:14" ht="16" x14ac:dyDescent="0.2">
      <c r="A3194" s="3">
        <v>43982</v>
      </c>
      <c r="B3194" s="1" t="s">
        <v>3377</v>
      </c>
      <c r="C3194" t="s">
        <v>473</v>
      </c>
      <c r="D3194">
        <v>11</v>
      </c>
      <c r="E3194">
        <v>72</v>
      </c>
      <c r="F3194">
        <v>36</v>
      </c>
      <c r="G3194">
        <v>792</v>
      </c>
      <c r="H3194" s="4">
        <v>396</v>
      </c>
      <c r="I3194" s="4">
        <v>396</v>
      </c>
      <c r="J3194" t="s">
        <v>616</v>
      </c>
      <c r="K3194" t="s">
        <v>49</v>
      </c>
      <c r="L3194" s="4">
        <v>13.466362789017223</v>
      </c>
      <c r="M3194" s="1" t="s">
        <v>54</v>
      </c>
      <c r="N3194" s="11">
        <f t="shared" si="49"/>
        <v>10</v>
      </c>
    </row>
    <row r="3195" spans="1:14" ht="16" x14ac:dyDescent="0.2">
      <c r="A3195" s="3">
        <v>43983</v>
      </c>
      <c r="B3195" s="1" t="s">
        <v>3378</v>
      </c>
      <c r="C3195" t="s">
        <v>204</v>
      </c>
      <c r="D3195">
        <v>11</v>
      </c>
      <c r="E3195">
        <v>57</v>
      </c>
      <c r="F3195">
        <v>19</v>
      </c>
      <c r="G3195">
        <v>627</v>
      </c>
      <c r="H3195" s="4">
        <v>209</v>
      </c>
      <c r="I3195" s="4">
        <v>418</v>
      </c>
      <c r="J3195" t="s">
        <v>292</v>
      </c>
      <c r="K3195" t="s">
        <v>49</v>
      </c>
      <c r="L3195" s="4">
        <v>11.710935611749917</v>
      </c>
      <c r="M3195" s="1" t="s">
        <v>38</v>
      </c>
      <c r="N3195" s="11">
        <f t="shared" si="49"/>
        <v>5</v>
      </c>
    </row>
    <row r="3196" spans="1:14" ht="16" x14ac:dyDescent="0.2">
      <c r="A3196" s="3">
        <v>43984</v>
      </c>
      <c r="B3196" s="1" t="s">
        <v>3379</v>
      </c>
      <c r="C3196" t="s">
        <v>301</v>
      </c>
      <c r="D3196">
        <v>15</v>
      </c>
      <c r="E3196">
        <v>188</v>
      </c>
      <c r="F3196">
        <v>94</v>
      </c>
      <c r="G3196">
        <v>2820</v>
      </c>
      <c r="H3196" s="4">
        <v>1410</v>
      </c>
      <c r="I3196" s="4">
        <v>1410</v>
      </c>
      <c r="J3196" t="s">
        <v>611</v>
      </c>
      <c r="K3196" t="s">
        <v>58</v>
      </c>
      <c r="L3196" s="4">
        <v>7.8974070387684714</v>
      </c>
      <c r="M3196" s="1" t="s">
        <v>38</v>
      </c>
      <c r="N3196" s="11">
        <f t="shared" si="49"/>
        <v>5</v>
      </c>
    </row>
    <row r="3197" spans="1:14" ht="16" x14ac:dyDescent="0.2">
      <c r="A3197" s="3">
        <v>43985</v>
      </c>
      <c r="B3197" s="1" t="s">
        <v>3380</v>
      </c>
      <c r="C3197" t="s">
        <v>248</v>
      </c>
      <c r="D3197">
        <v>15</v>
      </c>
      <c r="E3197">
        <v>132</v>
      </c>
      <c r="F3197">
        <v>44</v>
      </c>
      <c r="G3197">
        <v>1980</v>
      </c>
      <c r="H3197" s="4">
        <v>660</v>
      </c>
      <c r="I3197" s="4">
        <v>1320</v>
      </c>
      <c r="J3197" t="s">
        <v>576</v>
      </c>
      <c r="K3197" t="s">
        <v>33</v>
      </c>
      <c r="L3197" s="4">
        <v>11.769937929618399</v>
      </c>
      <c r="M3197" s="1" t="s">
        <v>38</v>
      </c>
      <c r="N3197" s="11">
        <f t="shared" si="49"/>
        <v>5</v>
      </c>
    </row>
    <row r="3198" spans="1:14" ht="16" x14ac:dyDescent="0.2">
      <c r="A3198" s="3">
        <v>43986</v>
      </c>
      <c r="B3198" s="1" t="s">
        <v>3381</v>
      </c>
      <c r="C3198" t="s">
        <v>204</v>
      </c>
      <c r="D3198">
        <v>1</v>
      </c>
      <c r="E3198">
        <v>57</v>
      </c>
      <c r="F3198">
        <v>19</v>
      </c>
      <c r="G3198">
        <v>57</v>
      </c>
      <c r="H3198" s="4">
        <v>19</v>
      </c>
      <c r="I3198" s="4">
        <v>38</v>
      </c>
      <c r="J3198" t="s">
        <v>879</v>
      </c>
      <c r="K3198" t="s">
        <v>42</v>
      </c>
      <c r="L3198" s="4">
        <v>12.37474961859551</v>
      </c>
      <c r="M3198" s="1" t="s">
        <v>38</v>
      </c>
      <c r="N3198" s="11">
        <f t="shared" si="49"/>
        <v>5</v>
      </c>
    </row>
    <row r="3199" spans="1:14" ht="16" x14ac:dyDescent="0.2">
      <c r="A3199" s="3">
        <v>43987</v>
      </c>
      <c r="B3199" s="1" t="s">
        <v>3382</v>
      </c>
      <c r="C3199" t="s">
        <v>283</v>
      </c>
      <c r="D3199">
        <v>13</v>
      </c>
      <c r="E3199">
        <v>144</v>
      </c>
      <c r="F3199">
        <v>36</v>
      </c>
      <c r="G3199">
        <v>1872</v>
      </c>
      <c r="H3199" s="4">
        <v>468</v>
      </c>
      <c r="I3199" s="4">
        <v>1404</v>
      </c>
      <c r="J3199" t="s">
        <v>270</v>
      </c>
      <c r="K3199" t="s">
        <v>42</v>
      </c>
      <c r="L3199" s="4">
        <v>12.661538237835474</v>
      </c>
      <c r="M3199" s="1" t="s">
        <v>54</v>
      </c>
      <c r="N3199" s="11">
        <f t="shared" si="49"/>
        <v>10</v>
      </c>
    </row>
    <row r="3200" spans="1:14" ht="16" x14ac:dyDescent="0.2">
      <c r="A3200" s="3">
        <v>43988</v>
      </c>
      <c r="B3200" s="1" t="s">
        <v>3383</v>
      </c>
      <c r="C3200" t="s">
        <v>185</v>
      </c>
      <c r="D3200">
        <v>9</v>
      </c>
      <c r="E3200">
        <v>146</v>
      </c>
      <c r="F3200">
        <v>73</v>
      </c>
      <c r="G3200">
        <v>1314</v>
      </c>
      <c r="H3200" s="4">
        <v>657</v>
      </c>
      <c r="I3200" s="4">
        <v>657</v>
      </c>
      <c r="J3200" t="s">
        <v>589</v>
      </c>
      <c r="K3200" t="s">
        <v>58</v>
      </c>
      <c r="L3200" s="4">
        <v>12.207242573430314</v>
      </c>
      <c r="M3200" s="1" t="s">
        <v>54</v>
      </c>
      <c r="N3200" s="11">
        <f t="shared" si="49"/>
        <v>10</v>
      </c>
    </row>
    <row r="3201" spans="1:14" ht="16" x14ac:dyDescent="0.2">
      <c r="A3201" s="3">
        <v>43989</v>
      </c>
      <c r="B3201" s="1" t="s">
        <v>3384</v>
      </c>
      <c r="C3201" t="s">
        <v>365</v>
      </c>
      <c r="D3201">
        <v>17</v>
      </c>
      <c r="E3201">
        <v>255</v>
      </c>
      <c r="F3201">
        <v>85</v>
      </c>
      <c r="G3201">
        <v>4335</v>
      </c>
      <c r="H3201" s="4">
        <v>1445</v>
      </c>
      <c r="I3201" s="4">
        <v>2890</v>
      </c>
      <c r="J3201" t="s">
        <v>270</v>
      </c>
      <c r="K3201" t="s">
        <v>42</v>
      </c>
      <c r="L3201" s="4">
        <v>12.661538237835474</v>
      </c>
      <c r="M3201" s="1" t="s">
        <v>34</v>
      </c>
      <c r="N3201" s="11">
        <f t="shared" si="49"/>
        <v>1</v>
      </c>
    </row>
    <row r="3202" spans="1:14" ht="16" x14ac:dyDescent="0.2">
      <c r="A3202" s="3">
        <v>43990</v>
      </c>
      <c r="B3202" s="1" t="s">
        <v>3385</v>
      </c>
      <c r="C3202" t="s">
        <v>133</v>
      </c>
      <c r="D3202">
        <v>2</v>
      </c>
      <c r="E3202">
        <v>189</v>
      </c>
      <c r="F3202">
        <v>63</v>
      </c>
      <c r="G3202">
        <v>378</v>
      </c>
      <c r="H3202" s="4">
        <v>126</v>
      </c>
      <c r="I3202" s="4">
        <v>252</v>
      </c>
      <c r="J3202" t="s">
        <v>82</v>
      </c>
      <c r="K3202" t="s">
        <v>58</v>
      </c>
      <c r="L3202" s="4">
        <v>13.45980057156361</v>
      </c>
      <c r="M3202" s="1" t="s">
        <v>54</v>
      </c>
      <c r="N3202" s="11">
        <f t="shared" si="49"/>
        <v>10</v>
      </c>
    </row>
    <row r="3203" spans="1:14" ht="16" x14ac:dyDescent="0.2">
      <c r="A3203" s="3">
        <v>43991</v>
      </c>
      <c r="B3203" s="1" t="s">
        <v>1418</v>
      </c>
      <c r="C3203" t="s">
        <v>93</v>
      </c>
      <c r="D3203">
        <v>5</v>
      </c>
      <c r="E3203">
        <v>204</v>
      </c>
      <c r="F3203">
        <v>51</v>
      </c>
      <c r="G3203">
        <v>1020</v>
      </c>
      <c r="H3203" s="4">
        <v>255</v>
      </c>
      <c r="I3203" s="4">
        <v>765</v>
      </c>
      <c r="J3203" t="s">
        <v>609</v>
      </c>
      <c r="K3203" t="s">
        <v>64</v>
      </c>
      <c r="L3203" s="4">
        <v>12.564315242820944</v>
      </c>
      <c r="M3203" s="1" t="s">
        <v>38</v>
      </c>
      <c r="N3203" s="11">
        <f t="shared" ref="N3203:N3266" si="50">+IF(M3203="Dissatisfied",1,IF(M3203="Satisfied",10,5))</f>
        <v>5</v>
      </c>
    </row>
    <row r="3204" spans="1:14" ht="16" x14ac:dyDescent="0.2">
      <c r="A3204" s="3">
        <v>43992</v>
      </c>
      <c r="B3204" s="1" t="s">
        <v>3386</v>
      </c>
      <c r="C3204" t="s">
        <v>125</v>
      </c>
      <c r="D3204">
        <v>12</v>
      </c>
      <c r="E3204">
        <v>176</v>
      </c>
      <c r="F3204">
        <v>88</v>
      </c>
      <c r="G3204">
        <v>2112</v>
      </c>
      <c r="H3204" s="4">
        <v>1056</v>
      </c>
      <c r="I3204" s="4">
        <v>1056</v>
      </c>
      <c r="J3204" t="s">
        <v>277</v>
      </c>
      <c r="K3204" t="s">
        <v>58</v>
      </c>
      <c r="L3204" s="4">
        <v>11.883396013219548</v>
      </c>
      <c r="M3204" s="1" t="s">
        <v>38</v>
      </c>
      <c r="N3204" s="11">
        <f t="shared" si="50"/>
        <v>5</v>
      </c>
    </row>
    <row r="3205" spans="1:14" ht="16" x14ac:dyDescent="0.2">
      <c r="A3205" s="3">
        <v>43993</v>
      </c>
      <c r="B3205" s="1" t="s">
        <v>3387</v>
      </c>
      <c r="C3205" t="s">
        <v>62</v>
      </c>
      <c r="D3205">
        <v>7</v>
      </c>
      <c r="E3205">
        <v>80</v>
      </c>
      <c r="F3205">
        <v>20</v>
      </c>
      <c r="G3205">
        <v>560</v>
      </c>
      <c r="H3205" s="4">
        <v>140</v>
      </c>
      <c r="I3205" s="4">
        <v>420</v>
      </c>
      <c r="J3205" t="s">
        <v>903</v>
      </c>
      <c r="K3205" t="s">
        <v>58</v>
      </c>
      <c r="L3205" s="4">
        <v>11.952554704438674</v>
      </c>
      <c r="M3205" s="1" t="s">
        <v>38</v>
      </c>
      <c r="N3205" s="11">
        <f t="shared" si="50"/>
        <v>5</v>
      </c>
    </row>
    <row r="3206" spans="1:14" ht="16" x14ac:dyDescent="0.2">
      <c r="A3206" s="3">
        <v>43994</v>
      </c>
      <c r="B3206" s="1" t="s">
        <v>3388</v>
      </c>
      <c r="C3206" t="s">
        <v>69</v>
      </c>
      <c r="D3206">
        <v>6</v>
      </c>
      <c r="E3206">
        <v>184</v>
      </c>
      <c r="F3206">
        <v>92</v>
      </c>
      <c r="G3206">
        <v>1104</v>
      </c>
      <c r="H3206" s="4">
        <v>552</v>
      </c>
      <c r="I3206" s="4">
        <v>552</v>
      </c>
      <c r="J3206" t="s">
        <v>545</v>
      </c>
      <c r="K3206" t="s">
        <v>53</v>
      </c>
      <c r="L3206" s="4">
        <v>10.112765954734209</v>
      </c>
      <c r="M3206" s="1" t="s">
        <v>54</v>
      </c>
      <c r="N3206" s="11">
        <f t="shared" si="50"/>
        <v>10</v>
      </c>
    </row>
    <row r="3207" spans="1:14" ht="16" x14ac:dyDescent="0.2">
      <c r="A3207" s="3">
        <v>43995</v>
      </c>
      <c r="B3207" s="1" t="s">
        <v>3389</v>
      </c>
      <c r="C3207" t="s">
        <v>110</v>
      </c>
      <c r="D3207">
        <v>19</v>
      </c>
      <c r="E3207">
        <v>144</v>
      </c>
      <c r="F3207">
        <v>36</v>
      </c>
      <c r="G3207">
        <v>2736</v>
      </c>
      <c r="H3207" s="4">
        <v>684</v>
      </c>
      <c r="I3207" s="4">
        <v>2052</v>
      </c>
      <c r="J3207" t="s">
        <v>421</v>
      </c>
      <c r="K3207" t="s">
        <v>53</v>
      </c>
      <c r="L3207" s="4">
        <v>10.96230865592911</v>
      </c>
      <c r="M3207" s="1" t="s">
        <v>34</v>
      </c>
      <c r="N3207" s="11">
        <f t="shared" si="50"/>
        <v>1</v>
      </c>
    </row>
    <row r="3208" spans="1:14" ht="16" x14ac:dyDescent="0.2">
      <c r="A3208" s="3">
        <v>43996</v>
      </c>
      <c r="B3208" s="1" t="s">
        <v>3390</v>
      </c>
      <c r="C3208" t="s">
        <v>154</v>
      </c>
      <c r="D3208">
        <v>10</v>
      </c>
      <c r="E3208">
        <v>308</v>
      </c>
      <c r="F3208">
        <v>77</v>
      </c>
      <c r="G3208">
        <v>3080</v>
      </c>
      <c r="H3208" s="4">
        <v>770</v>
      </c>
      <c r="I3208" s="4">
        <v>2310</v>
      </c>
      <c r="J3208" t="s">
        <v>79</v>
      </c>
      <c r="K3208" t="s">
        <v>64</v>
      </c>
      <c r="L3208" s="4">
        <v>12.163730387337393</v>
      </c>
      <c r="M3208" s="1" t="s">
        <v>54</v>
      </c>
      <c r="N3208" s="11">
        <f t="shared" si="50"/>
        <v>10</v>
      </c>
    </row>
    <row r="3209" spans="1:14" ht="16" x14ac:dyDescent="0.2">
      <c r="A3209" s="3">
        <v>43997</v>
      </c>
      <c r="B3209" s="1" t="s">
        <v>864</v>
      </c>
      <c r="C3209" t="s">
        <v>788</v>
      </c>
      <c r="D3209">
        <v>19</v>
      </c>
      <c r="E3209">
        <v>100</v>
      </c>
      <c r="F3209">
        <v>25</v>
      </c>
      <c r="G3209">
        <v>1900</v>
      </c>
      <c r="H3209" s="4">
        <v>475</v>
      </c>
      <c r="I3209" s="4">
        <v>1425</v>
      </c>
      <c r="J3209" t="s">
        <v>738</v>
      </c>
      <c r="K3209" t="s">
        <v>33</v>
      </c>
      <c r="L3209" s="4">
        <v>12.985332015423809</v>
      </c>
      <c r="M3209" s="1" t="s">
        <v>54</v>
      </c>
      <c r="N3209" s="11">
        <f t="shared" si="50"/>
        <v>10</v>
      </c>
    </row>
    <row r="3210" spans="1:14" ht="16" x14ac:dyDescent="0.2">
      <c r="A3210" s="3">
        <v>43998</v>
      </c>
      <c r="B3210" s="1" t="s">
        <v>3391</v>
      </c>
      <c r="C3210" t="s">
        <v>544</v>
      </c>
      <c r="D3210">
        <v>13</v>
      </c>
      <c r="E3210">
        <v>267</v>
      </c>
      <c r="F3210">
        <v>89</v>
      </c>
      <c r="G3210">
        <v>3471</v>
      </c>
      <c r="H3210" s="4">
        <v>1157</v>
      </c>
      <c r="I3210" s="4">
        <v>2314</v>
      </c>
      <c r="J3210" t="s">
        <v>767</v>
      </c>
      <c r="K3210" t="s">
        <v>42</v>
      </c>
      <c r="L3210" s="4">
        <v>11.289144410898391</v>
      </c>
      <c r="M3210" s="1" t="s">
        <v>38</v>
      </c>
      <c r="N3210" s="11">
        <f t="shared" si="50"/>
        <v>5</v>
      </c>
    </row>
    <row r="3211" spans="1:14" ht="16" x14ac:dyDescent="0.2">
      <c r="A3211" s="3">
        <v>43999</v>
      </c>
      <c r="B3211" s="1" t="s">
        <v>3392</v>
      </c>
      <c r="C3211" t="s">
        <v>136</v>
      </c>
      <c r="D3211">
        <v>6</v>
      </c>
      <c r="E3211">
        <v>154</v>
      </c>
      <c r="F3211">
        <v>77</v>
      </c>
      <c r="G3211">
        <v>924</v>
      </c>
      <c r="H3211" s="4">
        <v>462</v>
      </c>
      <c r="I3211" s="4">
        <v>462</v>
      </c>
      <c r="J3211" t="s">
        <v>216</v>
      </c>
      <c r="K3211" t="s">
        <v>58</v>
      </c>
      <c r="L3211" s="4">
        <v>15.556812309269255</v>
      </c>
      <c r="M3211" s="1" t="s">
        <v>38</v>
      </c>
      <c r="N3211" s="11">
        <f t="shared" si="50"/>
        <v>5</v>
      </c>
    </row>
    <row r="3212" spans="1:14" ht="16" x14ac:dyDescent="0.2">
      <c r="A3212" s="3">
        <v>44000</v>
      </c>
      <c r="B3212" s="1" t="s">
        <v>3393</v>
      </c>
      <c r="C3212" t="s">
        <v>227</v>
      </c>
      <c r="D3212">
        <v>5</v>
      </c>
      <c r="E3212">
        <v>144</v>
      </c>
      <c r="F3212">
        <v>48</v>
      </c>
      <c r="G3212">
        <v>720</v>
      </c>
      <c r="H3212" s="4">
        <v>240</v>
      </c>
      <c r="I3212" s="4">
        <v>480</v>
      </c>
      <c r="J3212" t="s">
        <v>279</v>
      </c>
      <c r="K3212" t="s">
        <v>64</v>
      </c>
      <c r="L3212" s="4">
        <v>11.504886852416154</v>
      </c>
      <c r="M3212" s="1" t="s">
        <v>38</v>
      </c>
      <c r="N3212" s="11">
        <f t="shared" si="50"/>
        <v>5</v>
      </c>
    </row>
    <row r="3213" spans="1:14" ht="16" x14ac:dyDescent="0.2">
      <c r="A3213" s="3">
        <v>44001</v>
      </c>
      <c r="B3213" s="1" t="s">
        <v>3394</v>
      </c>
      <c r="C3213" t="s">
        <v>69</v>
      </c>
      <c r="D3213">
        <v>14</v>
      </c>
      <c r="E3213">
        <v>184</v>
      </c>
      <c r="F3213">
        <v>92</v>
      </c>
      <c r="G3213">
        <v>2576</v>
      </c>
      <c r="H3213" s="4">
        <v>1288</v>
      </c>
      <c r="I3213" s="4">
        <v>1288</v>
      </c>
      <c r="J3213" t="s">
        <v>890</v>
      </c>
      <c r="K3213" t="s">
        <v>86</v>
      </c>
      <c r="L3213" s="4">
        <v>15.856807810268592</v>
      </c>
      <c r="M3213" s="1" t="s">
        <v>34</v>
      </c>
      <c r="N3213" s="11">
        <f t="shared" si="50"/>
        <v>1</v>
      </c>
    </row>
    <row r="3214" spans="1:14" ht="16" x14ac:dyDescent="0.2">
      <c r="A3214" s="3">
        <v>44002</v>
      </c>
      <c r="B3214" s="1" t="s">
        <v>200</v>
      </c>
      <c r="C3214" t="s">
        <v>105</v>
      </c>
      <c r="D3214">
        <v>3</v>
      </c>
      <c r="E3214">
        <v>201</v>
      </c>
      <c r="F3214">
        <v>67</v>
      </c>
      <c r="G3214">
        <v>603</v>
      </c>
      <c r="H3214" s="4">
        <v>201</v>
      </c>
      <c r="I3214" s="4">
        <v>402</v>
      </c>
      <c r="J3214" t="s">
        <v>844</v>
      </c>
      <c r="K3214" t="s">
        <v>33</v>
      </c>
      <c r="L3214" s="4">
        <v>11.816654396440285</v>
      </c>
      <c r="M3214" s="1" t="s">
        <v>54</v>
      </c>
      <c r="N3214" s="11">
        <f t="shared" si="50"/>
        <v>10</v>
      </c>
    </row>
    <row r="3215" spans="1:14" ht="16" x14ac:dyDescent="0.2">
      <c r="A3215" s="3">
        <v>44003</v>
      </c>
      <c r="B3215" s="1" t="s">
        <v>3395</v>
      </c>
      <c r="C3215" t="s">
        <v>328</v>
      </c>
      <c r="D3215">
        <v>2</v>
      </c>
      <c r="E3215">
        <v>124</v>
      </c>
      <c r="F3215">
        <v>62</v>
      </c>
      <c r="G3215">
        <v>248</v>
      </c>
      <c r="H3215" s="4">
        <v>124</v>
      </c>
      <c r="I3215" s="4">
        <v>124</v>
      </c>
      <c r="J3215" t="s">
        <v>137</v>
      </c>
      <c r="K3215" t="s">
        <v>42</v>
      </c>
      <c r="L3215" s="4">
        <v>11.410471033945758</v>
      </c>
      <c r="M3215" s="1" t="s">
        <v>54</v>
      </c>
      <c r="N3215" s="11">
        <f t="shared" si="50"/>
        <v>10</v>
      </c>
    </row>
    <row r="3216" spans="1:14" ht="16" x14ac:dyDescent="0.2">
      <c r="A3216" s="3">
        <v>44004</v>
      </c>
      <c r="B3216" s="1" t="s">
        <v>3396</v>
      </c>
      <c r="C3216" t="s">
        <v>44</v>
      </c>
      <c r="D3216">
        <v>9</v>
      </c>
      <c r="E3216">
        <v>114</v>
      </c>
      <c r="F3216">
        <v>57</v>
      </c>
      <c r="G3216">
        <v>1026</v>
      </c>
      <c r="H3216" s="4">
        <v>513</v>
      </c>
      <c r="I3216" s="4">
        <v>513</v>
      </c>
      <c r="J3216" t="s">
        <v>485</v>
      </c>
      <c r="K3216" t="s">
        <v>49</v>
      </c>
      <c r="L3216" s="4">
        <v>12.889576147248359</v>
      </c>
      <c r="M3216" s="1" t="s">
        <v>38</v>
      </c>
      <c r="N3216" s="11">
        <f t="shared" si="50"/>
        <v>5</v>
      </c>
    </row>
    <row r="3217" spans="1:14" ht="16" x14ac:dyDescent="0.2">
      <c r="A3217" s="3">
        <v>44005</v>
      </c>
      <c r="B3217" s="1" t="s">
        <v>3397</v>
      </c>
      <c r="C3217" t="s">
        <v>47</v>
      </c>
      <c r="D3217">
        <v>6</v>
      </c>
      <c r="E3217">
        <v>231</v>
      </c>
      <c r="F3217">
        <v>77</v>
      </c>
      <c r="G3217">
        <v>1386</v>
      </c>
      <c r="H3217" s="4">
        <v>462</v>
      </c>
      <c r="I3217" s="4">
        <v>924</v>
      </c>
      <c r="J3217" t="s">
        <v>609</v>
      </c>
      <c r="K3217" t="s">
        <v>64</v>
      </c>
      <c r="L3217" s="4">
        <v>12.564315242820944</v>
      </c>
      <c r="M3217" s="1" t="s">
        <v>38</v>
      </c>
      <c r="N3217" s="11">
        <f t="shared" si="50"/>
        <v>5</v>
      </c>
    </row>
    <row r="3218" spans="1:14" ht="16" x14ac:dyDescent="0.2">
      <c r="A3218" s="3">
        <v>44006</v>
      </c>
      <c r="B3218" s="1" t="s">
        <v>3398</v>
      </c>
      <c r="C3218" t="s">
        <v>157</v>
      </c>
      <c r="D3218">
        <v>5</v>
      </c>
      <c r="E3218">
        <v>50</v>
      </c>
      <c r="F3218">
        <v>25</v>
      </c>
      <c r="G3218">
        <v>250</v>
      </c>
      <c r="H3218" s="4">
        <v>125</v>
      </c>
      <c r="I3218" s="4">
        <v>125</v>
      </c>
      <c r="J3218" t="s">
        <v>665</v>
      </c>
      <c r="K3218" t="s">
        <v>33</v>
      </c>
      <c r="L3218" s="4">
        <v>6.9183250411917196</v>
      </c>
      <c r="M3218" s="1" t="s">
        <v>34</v>
      </c>
      <c r="N3218" s="11">
        <f t="shared" si="50"/>
        <v>1</v>
      </c>
    </row>
    <row r="3219" spans="1:14" ht="16" x14ac:dyDescent="0.2">
      <c r="A3219" s="3">
        <v>44007</v>
      </c>
      <c r="B3219" s="1" t="s">
        <v>3399</v>
      </c>
      <c r="C3219" t="s">
        <v>171</v>
      </c>
      <c r="D3219">
        <v>18</v>
      </c>
      <c r="E3219">
        <v>225</v>
      </c>
      <c r="F3219">
        <v>75</v>
      </c>
      <c r="G3219">
        <v>4050</v>
      </c>
      <c r="H3219" s="4">
        <v>1350</v>
      </c>
      <c r="I3219" s="4">
        <v>2700</v>
      </c>
      <c r="J3219" t="s">
        <v>387</v>
      </c>
      <c r="K3219" t="s">
        <v>86</v>
      </c>
      <c r="L3219" s="4">
        <v>15.60430546146185</v>
      </c>
      <c r="M3219" s="1" t="s">
        <v>38</v>
      </c>
      <c r="N3219" s="11">
        <f t="shared" si="50"/>
        <v>5</v>
      </c>
    </row>
    <row r="3220" spans="1:14" ht="16" x14ac:dyDescent="0.2">
      <c r="A3220" s="3">
        <v>44008</v>
      </c>
      <c r="B3220" s="1" t="s">
        <v>3400</v>
      </c>
      <c r="C3220" t="s">
        <v>431</v>
      </c>
      <c r="D3220">
        <v>8</v>
      </c>
      <c r="E3220">
        <v>356</v>
      </c>
      <c r="F3220">
        <v>89</v>
      </c>
      <c r="G3220">
        <v>2848</v>
      </c>
      <c r="H3220" s="4">
        <v>712</v>
      </c>
      <c r="I3220" s="4">
        <v>2136</v>
      </c>
      <c r="J3220" t="s">
        <v>1223</v>
      </c>
      <c r="K3220" t="s">
        <v>53</v>
      </c>
      <c r="L3220" s="4">
        <v>10.428287009858728</v>
      </c>
      <c r="M3220" s="1" t="s">
        <v>38</v>
      </c>
      <c r="N3220" s="11">
        <f t="shared" si="50"/>
        <v>5</v>
      </c>
    </row>
    <row r="3221" spans="1:14" ht="16" x14ac:dyDescent="0.2">
      <c r="A3221" s="3">
        <v>44009</v>
      </c>
      <c r="B3221" s="1" t="s">
        <v>3401</v>
      </c>
      <c r="C3221" t="s">
        <v>340</v>
      </c>
      <c r="D3221">
        <v>9</v>
      </c>
      <c r="E3221">
        <v>180</v>
      </c>
      <c r="F3221">
        <v>45</v>
      </c>
      <c r="G3221">
        <v>1620</v>
      </c>
      <c r="H3221" s="4">
        <v>405</v>
      </c>
      <c r="I3221" s="4">
        <v>1215</v>
      </c>
      <c r="J3221" t="s">
        <v>169</v>
      </c>
      <c r="K3221" t="s">
        <v>33</v>
      </c>
      <c r="L3221" s="4">
        <v>15.121383064708469</v>
      </c>
      <c r="M3221" s="1" t="s">
        <v>38</v>
      </c>
      <c r="N3221" s="11">
        <f t="shared" si="50"/>
        <v>5</v>
      </c>
    </row>
    <row r="3222" spans="1:14" ht="16" x14ac:dyDescent="0.2">
      <c r="A3222" s="3">
        <v>44010</v>
      </c>
      <c r="B3222" s="1" t="s">
        <v>3402</v>
      </c>
      <c r="C3222" t="s">
        <v>209</v>
      </c>
      <c r="D3222">
        <v>13</v>
      </c>
      <c r="E3222">
        <v>150</v>
      </c>
      <c r="F3222">
        <v>75</v>
      </c>
      <c r="G3222">
        <v>1950</v>
      </c>
      <c r="H3222" s="4">
        <v>975</v>
      </c>
      <c r="I3222" s="4">
        <v>975</v>
      </c>
      <c r="J3222" t="s">
        <v>236</v>
      </c>
      <c r="K3222" t="s">
        <v>53</v>
      </c>
      <c r="L3222" s="4">
        <v>9.3014286057233697</v>
      </c>
      <c r="M3222" s="1" t="s">
        <v>38</v>
      </c>
      <c r="N3222" s="11">
        <f t="shared" si="50"/>
        <v>5</v>
      </c>
    </row>
    <row r="3223" spans="1:14" ht="16" x14ac:dyDescent="0.2">
      <c r="A3223" s="3">
        <v>44011</v>
      </c>
      <c r="B3223" s="1" t="s">
        <v>1381</v>
      </c>
      <c r="C3223" t="s">
        <v>607</v>
      </c>
      <c r="D3223">
        <v>12</v>
      </c>
      <c r="E3223">
        <v>225</v>
      </c>
      <c r="F3223">
        <v>75</v>
      </c>
      <c r="G3223">
        <v>2700</v>
      </c>
      <c r="H3223" s="4">
        <v>900</v>
      </c>
      <c r="I3223" s="4">
        <v>1800</v>
      </c>
      <c r="J3223" t="s">
        <v>234</v>
      </c>
      <c r="K3223" t="s">
        <v>64</v>
      </c>
      <c r="L3223" s="4">
        <v>12.200533931675887</v>
      </c>
      <c r="M3223" s="1" t="s">
        <v>38</v>
      </c>
      <c r="N3223" s="11">
        <f t="shared" si="50"/>
        <v>5</v>
      </c>
    </row>
    <row r="3224" spans="1:14" ht="16" x14ac:dyDescent="0.2">
      <c r="A3224" s="3">
        <v>44012</v>
      </c>
      <c r="B3224" s="1" t="s">
        <v>3403</v>
      </c>
      <c r="C3224" t="s">
        <v>44</v>
      </c>
      <c r="D3224">
        <v>13</v>
      </c>
      <c r="E3224">
        <v>114</v>
      </c>
      <c r="F3224">
        <v>57</v>
      </c>
      <c r="G3224">
        <v>1482</v>
      </c>
      <c r="H3224" s="4">
        <v>741</v>
      </c>
      <c r="I3224" s="4">
        <v>741</v>
      </c>
      <c r="J3224" t="s">
        <v>37</v>
      </c>
      <c r="K3224" t="s">
        <v>33</v>
      </c>
      <c r="L3224" s="4">
        <v>13.299525114817991</v>
      </c>
      <c r="M3224" s="1" t="s">
        <v>54</v>
      </c>
      <c r="N3224" s="11">
        <f t="shared" si="50"/>
        <v>10</v>
      </c>
    </row>
    <row r="3225" spans="1:14" ht="16" x14ac:dyDescent="0.2">
      <c r="A3225" s="3">
        <v>44013</v>
      </c>
      <c r="B3225" s="1" t="s">
        <v>3404</v>
      </c>
      <c r="C3225" t="s">
        <v>110</v>
      </c>
      <c r="D3225">
        <v>10</v>
      </c>
      <c r="E3225">
        <v>144</v>
      </c>
      <c r="F3225">
        <v>36</v>
      </c>
      <c r="G3225">
        <v>1440</v>
      </c>
      <c r="H3225" s="4">
        <v>360</v>
      </c>
      <c r="I3225" s="4">
        <v>1080</v>
      </c>
      <c r="J3225" t="s">
        <v>616</v>
      </c>
      <c r="K3225" t="s">
        <v>49</v>
      </c>
      <c r="L3225" s="4">
        <v>13.466362789017223</v>
      </c>
      <c r="M3225" s="1" t="s">
        <v>38</v>
      </c>
      <c r="N3225" s="11">
        <f t="shared" si="50"/>
        <v>5</v>
      </c>
    </row>
    <row r="3226" spans="1:14" ht="16" x14ac:dyDescent="0.2">
      <c r="A3226" s="3">
        <v>44014</v>
      </c>
      <c r="B3226" s="1" t="s">
        <v>2999</v>
      </c>
      <c r="C3226" t="s">
        <v>365</v>
      </c>
      <c r="D3226">
        <v>13</v>
      </c>
      <c r="E3226">
        <v>255</v>
      </c>
      <c r="F3226">
        <v>85</v>
      </c>
      <c r="G3226">
        <v>3315</v>
      </c>
      <c r="H3226" s="4">
        <v>1105</v>
      </c>
      <c r="I3226" s="4">
        <v>2210</v>
      </c>
      <c r="J3226" t="s">
        <v>1136</v>
      </c>
      <c r="K3226" t="s">
        <v>49</v>
      </c>
      <c r="L3226" s="4">
        <v>14.129095302641241</v>
      </c>
      <c r="M3226" s="1" t="s">
        <v>54</v>
      </c>
      <c r="N3226" s="11">
        <f t="shared" si="50"/>
        <v>10</v>
      </c>
    </row>
    <row r="3227" spans="1:14" ht="16" x14ac:dyDescent="0.2">
      <c r="A3227" s="3">
        <v>44015</v>
      </c>
      <c r="B3227" s="1" t="s">
        <v>3405</v>
      </c>
      <c r="C3227" t="s">
        <v>171</v>
      </c>
      <c r="D3227">
        <v>18</v>
      </c>
      <c r="E3227">
        <v>225</v>
      </c>
      <c r="F3227">
        <v>75</v>
      </c>
      <c r="G3227">
        <v>4050</v>
      </c>
      <c r="H3227" s="4">
        <v>1350</v>
      </c>
      <c r="I3227" s="4">
        <v>2700</v>
      </c>
      <c r="J3227" t="s">
        <v>416</v>
      </c>
      <c r="K3227" t="s">
        <v>58</v>
      </c>
      <c r="L3227" s="4">
        <v>12.399050786131125</v>
      </c>
      <c r="M3227" s="1" t="s">
        <v>34</v>
      </c>
      <c r="N3227" s="11">
        <f t="shared" si="50"/>
        <v>1</v>
      </c>
    </row>
    <row r="3228" spans="1:14" ht="16" x14ac:dyDescent="0.2">
      <c r="A3228" s="3">
        <v>44016</v>
      </c>
      <c r="B3228" s="1" t="s">
        <v>3406</v>
      </c>
      <c r="C3228" t="s">
        <v>304</v>
      </c>
      <c r="D3228">
        <v>12</v>
      </c>
      <c r="E3228">
        <v>116</v>
      </c>
      <c r="F3228">
        <v>29</v>
      </c>
      <c r="G3228">
        <v>1392</v>
      </c>
      <c r="H3228" s="4">
        <v>348</v>
      </c>
      <c r="I3228" s="4">
        <v>1044</v>
      </c>
      <c r="J3228" t="s">
        <v>691</v>
      </c>
      <c r="K3228" t="s">
        <v>33</v>
      </c>
      <c r="L3228" s="4">
        <v>10.248947386022252</v>
      </c>
      <c r="M3228" s="1" t="s">
        <v>38</v>
      </c>
      <c r="N3228" s="11">
        <f t="shared" si="50"/>
        <v>5</v>
      </c>
    </row>
    <row r="3229" spans="1:14" ht="16" x14ac:dyDescent="0.2">
      <c r="A3229" s="3">
        <v>44017</v>
      </c>
      <c r="B3229" s="1" t="s">
        <v>3407</v>
      </c>
      <c r="C3229" t="s">
        <v>125</v>
      </c>
      <c r="D3229">
        <v>1</v>
      </c>
      <c r="E3229">
        <v>176</v>
      </c>
      <c r="F3229">
        <v>88</v>
      </c>
      <c r="G3229">
        <v>176</v>
      </c>
      <c r="H3229" s="4">
        <v>88</v>
      </c>
      <c r="I3229" s="4">
        <v>88</v>
      </c>
      <c r="J3229" t="s">
        <v>552</v>
      </c>
      <c r="K3229" t="s">
        <v>53</v>
      </c>
      <c r="L3229" s="4">
        <v>9.74650548941427</v>
      </c>
      <c r="M3229" s="1" t="s">
        <v>38</v>
      </c>
      <c r="N3229" s="11">
        <f t="shared" si="50"/>
        <v>5</v>
      </c>
    </row>
    <row r="3230" spans="1:14" ht="16" x14ac:dyDescent="0.2">
      <c r="A3230" s="3">
        <v>44018</v>
      </c>
      <c r="B3230" s="1" t="s">
        <v>3408</v>
      </c>
      <c r="C3230" t="s">
        <v>317</v>
      </c>
      <c r="D3230">
        <v>8</v>
      </c>
      <c r="E3230">
        <v>352</v>
      </c>
      <c r="F3230">
        <v>88</v>
      </c>
      <c r="G3230">
        <v>2816</v>
      </c>
      <c r="H3230" s="4">
        <v>704</v>
      </c>
      <c r="I3230" s="4">
        <v>2112</v>
      </c>
      <c r="J3230" t="s">
        <v>1065</v>
      </c>
      <c r="K3230" t="s">
        <v>53</v>
      </c>
      <c r="L3230" s="4">
        <v>13.00553764131261</v>
      </c>
      <c r="M3230" s="1" t="s">
        <v>38</v>
      </c>
      <c r="N3230" s="11">
        <f t="shared" si="50"/>
        <v>5</v>
      </c>
    </row>
    <row r="3231" spans="1:14" ht="16" x14ac:dyDescent="0.2">
      <c r="A3231" s="3">
        <v>44019</v>
      </c>
      <c r="B3231" s="1" t="s">
        <v>2885</v>
      </c>
      <c r="C3231" t="s">
        <v>201</v>
      </c>
      <c r="D3231">
        <v>9</v>
      </c>
      <c r="E3231">
        <v>30</v>
      </c>
      <c r="F3231">
        <v>15</v>
      </c>
      <c r="G3231">
        <v>270</v>
      </c>
      <c r="H3231" s="4">
        <v>135</v>
      </c>
      <c r="I3231" s="4">
        <v>135</v>
      </c>
      <c r="J3231" t="s">
        <v>786</v>
      </c>
      <c r="K3231" t="s">
        <v>86</v>
      </c>
      <c r="L3231" s="4">
        <v>13.095446915421235</v>
      </c>
      <c r="M3231" s="1" t="s">
        <v>38</v>
      </c>
      <c r="N3231" s="11">
        <f t="shared" si="50"/>
        <v>5</v>
      </c>
    </row>
    <row r="3232" spans="1:14" ht="16" x14ac:dyDescent="0.2">
      <c r="A3232" s="3">
        <v>44020</v>
      </c>
      <c r="B3232" s="1" t="s">
        <v>3409</v>
      </c>
      <c r="C3232" t="s">
        <v>136</v>
      </c>
      <c r="D3232">
        <v>15</v>
      </c>
      <c r="E3232">
        <v>154</v>
      </c>
      <c r="F3232">
        <v>77</v>
      </c>
      <c r="G3232">
        <v>2310</v>
      </c>
      <c r="H3232" s="4">
        <v>1155</v>
      </c>
      <c r="I3232" s="4">
        <v>1155</v>
      </c>
      <c r="J3232" t="s">
        <v>216</v>
      </c>
      <c r="K3232" t="s">
        <v>58</v>
      </c>
      <c r="L3232" s="4">
        <v>15.556812309269255</v>
      </c>
      <c r="M3232" s="1" t="s">
        <v>38</v>
      </c>
      <c r="N3232" s="11">
        <f t="shared" si="50"/>
        <v>5</v>
      </c>
    </row>
    <row r="3233" spans="1:14" ht="16" x14ac:dyDescent="0.2">
      <c r="A3233" s="3">
        <v>44021</v>
      </c>
      <c r="B3233" s="1" t="s">
        <v>3410</v>
      </c>
      <c r="C3233" t="s">
        <v>66</v>
      </c>
      <c r="D3233">
        <v>15</v>
      </c>
      <c r="E3233">
        <v>144</v>
      </c>
      <c r="F3233">
        <v>48</v>
      </c>
      <c r="G3233">
        <v>2160</v>
      </c>
      <c r="H3233" s="4">
        <v>720</v>
      </c>
      <c r="I3233" s="4">
        <v>1440</v>
      </c>
      <c r="J3233" t="s">
        <v>295</v>
      </c>
      <c r="K3233" t="s">
        <v>42</v>
      </c>
      <c r="L3233" s="4">
        <v>14.906846445071711</v>
      </c>
      <c r="M3233" s="1" t="s">
        <v>34</v>
      </c>
      <c r="N3233" s="11">
        <f t="shared" si="50"/>
        <v>1</v>
      </c>
    </row>
    <row r="3234" spans="1:14" ht="16" x14ac:dyDescent="0.2">
      <c r="A3234" s="3">
        <v>44022</v>
      </c>
      <c r="B3234" s="1" t="s">
        <v>3411</v>
      </c>
      <c r="C3234" t="s">
        <v>113</v>
      </c>
      <c r="D3234">
        <v>8</v>
      </c>
      <c r="E3234">
        <v>66</v>
      </c>
      <c r="F3234">
        <v>33</v>
      </c>
      <c r="G3234">
        <v>528</v>
      </c>
      <c r="H3234" s="4">
        <v>264</v>
      </c>
      <c r="I3234" s="4">
        <v>264</v>
      </c>
      <c r="J3234" t="s">
        <v>1202</v>
      </c>
      <c r="K3234" t="s">
        <v>58</v>
      </c>
      <c r="L3234" s="4">
        <v>10.524491192521829</v>
      </c>
      <c r="M3234" s="1" t="s">
        <v>38</v>
      </c>
      <c r="N3234" s="11">
        <f t="shared" si="50"/>
        <v>5</v>
      </c>
    </row>
    <row r="3235" spans="1:14" ht="16" x14ac:dyDescent="0.2">
      <c r="A3235" s="3">
        <v>44023</v>
      </c>
      <c r="B3235" s="1" t="s">
        <v>3412</v>
      </c>
      <c r="C3235" t="s">
        <v>399</v>
      </c>
      <c r="D3235">
        <v>8</v>
      </c>
      <c r="E3235">
        <v>160</v>
      </c>
      <c r="F3235">
        <v>80</v>
      </c>
      <c r="G3235">
        <v>1280</v>
      </c>
      <c r="H3235" s="4">
        <v>640</v>
      </c>
      <c r="I3235" s="4">
        <v>640</v>
      </c>
      <c r="J3235" t="s">
        <v>1573</v>
      </c>
      <c r="K3235" t="s">
        <v>64</v>
      </c>
      <c r="L3235" s="4">
        <v>10.78374703625888</v>
      </c>
      <c r="M3235" s="1" t="s">
        <v>38</v>
      </c>
      <c r="N3235" s="11">
        <f t="shared" si="50"/>
        <v>5</v>
      </c>
    </row>
    <row r="3236" spans="1:14" ht="16" x14ac:dyDescent="0.2">
      <c r="A3236" s="3">
        <v>44024</v>
      </c>
      <c r="B3236" s="1" t="s">
        <v>3413</v>
      </c>
      <c r="C3236" t="s">
        <v>370</v>
      </c>
      <c r="D3236">
        <v>14</v>
      </c>
      <c r="E3236">
        <v>144</v>
      </c>
      <c r="F3236">
        <v>36</v>
      </c>
      <c r="G3236">
        <v>2016</v>
      </c>
      <c r="H3236" s="4">
        <v>504</v>
      </c>
      <c r="I3236" s="4">
        <v>1512</v>
      </c>
      <c r="J3236" t="s">
        <v>416</v>
      </c>
      <c r="K3236" t="s">
        <v>58</v>
      </c>
      <c r="L3236" s="4">
        <v>12.399050786131125</v>
      </c>
      <c r="M3236" s="1" t="s">
        <v>54</v>
      </c>
      <c r="N3236" s="11">
        <f t="shared" si="50"/>
        <v>10</v>
      </c>
    </row>
    <row r="3237" spans="1:14" ht="16" x14ac:dyDescent="0.2">
      <c r="A3237" s="3">
        <v>44025</v>
      </c>
      <c r="B3237" s="1" t="s">
        <v>3414</v>
      </c>
      <c r="C3237" t="s">
        <v>209</v>
      </c>
      <c r="D3237">
        <v>11</v>
      </c>
      <c r="E3237">
        <v>150</v>
      </c>
      <c r="F3237">
        <v>75</v>
      </c>
      <c r="G3237">
        <v>1650</v>
      </c>
      <c r="H3237" s="4">
        <v>825</v>
      </c>
      <c r="I3237" s="4">
        <v>825</v>
      </c>
      <c r="J3237" t="s">
        <v>416</v>
      </c>
      <c r="K3237" t="s">
        <v>58</v>
      </c>
      <c r="L3237" s="4">
        <v>12.399050786131125</v>
      </c>
      <c r="M3237" s="1" t="s">
        <v>38</v>
      </c>
      <c r="N3237" s="11">
        <f t="shared" si="50"/>
        <v>5</v>
      </c>
    </row>
    <row r="3238" spans="1:14" ht="16" x14ac:dyDescent="0.2">
      <c r="A3238" s="3">
        <v>44026</v>
      </c>
      <c r="B3238" s="1" t="s">
        <v>3415</v>
      </c>
      <c r="C3238" t="s">
        <v>299</v>
      </c>
      <c r="D3238">
        <v>18</v>
      </c>
      <c r="E3238">
        <v>225</v>
      </c>
      <c r="F3238">
        <v>75</v>
      </c>
      <c r="G3238">
        <v>4050</v>
      </c>
      <c r="H3238" s="4">
        <v>1350</v>
      </c>
      <c r="I3238" s="4">
        <v>2700</v>
      </c>
      <c r="J3238" t="s">
        <v>626</v>
      </c>
      <c r="K3238" t="s">
        <v>58</v>
      </c>
      <c r="L3238" s="4">
        <v>13.259563298324382</v>
      </c>
      <c r="M3238" s="1" t="s">
        <v>38</v>
      </c>
      <c r="N3238" s="11">
        <f t="shared" si="50"/>
        <v>5</v>
      </c>
    </row>
    <row r="3239" spans="1:14" ht="16" x14ac:dyDescent="0.2">
      <c r="A3239" s="3">
        <v>44027</v>
      </c>
      <c r="B3239" s="1" t="s">
        <v>3416</v>
      </c>
      <c r="C3239" t="s">
        <v>240</v>
      </c>
      <c r="D3239">
        <v>19</v>
      </c>
      <c r="E3239">
        <v>108</v>
      </c>
      <c r="F3239">
        <v>54</v>
      </c>
      <c r="G3239">
        <v>2052</v>
      </c>
      <c r="H3239" s="4">
        <v>1026</v>
      </c>
      <c r="I3239" s="4">
        <v>1026</v>
      </c>
      <c r="J3239" t="s">
        <v>366</v>
      </c>
      <c r="K3239" t="s">
        <v>64</v>
      </c>
      <c r="L3239" s="4">
        <v>12.342715162719054</v>
      </c>
      <c r="M3239" s="1" t="s">
        <v>38</v>
      </c>
      <c r="N3239" s="11">
        <f t="shared" si="50"/>
        <v>5</v>
      </c>
    </row>
    <row r="3240" spans="1:14" ht="16" x14ac:dyDescent="0.2">
      <c r="A3240" s="3">
        <v>44028</v>
      </c>
      <c r="B3240" s="1" t="s">
        <v>3279</v>
      </c>
      <c r="C3240" t="s">
        <v>151</v>
      </c>
      <c r="D3240">
        <v>14</v>
      </c>
      <c r="E3240">
        <v>153</v>
      </c>
      <c r="F3240">
        <v>51</v>
      </c>
      <c r="G3240">
        <v>2142</v>
      </c>
      <c r="H3240" s="4">
        <v>714</v>
      </c>
      <c r="I3240" s="4">
        <v>1428</v>
      </c>
      <c r="J3240" t="s">
        <v>650</v>
      </c>
      <c r="K3240" t="s">
        <v>86</v>
      </c>
      <c r="L3240" s="4">
        <v>12.679725647708608</v>
      </c>
      <c r="M3240" s="1" t="s">
        <v>38</v>
      </c>
      <c r="N3240" s="11">
        <f t="shared" si="50"/>
        <v>5</v>
      </c>
    </row>
    <row r="3241" spans="1:14" ht="16" x14ac:dyDescent="0.2">
      <c r="A3241" s="3">
        <v>44029</v>
      </c>
      <c r="B3241" s="1" t="s">
        <v>3417</v>
      </c>
      <c r="C3241" t="s">
        <v>328</v>
      </c>
      <c r="D3241">
        <v>2</v>
      </c>
      <c r="E3241">
        <v>124</v>
      </c>
      <c r="F3241">
        <v>62</v>
      </c>
      <c r="G3241">
        <v>248</v>
      </c>
      <c r="H3241" s="4">
        <v>124</v>
      </c>
      <c r="I3241" s="4">
        <v>124</v>
      </c>
      <c r="J3241" t="s">
        <v>221</v>
      </c>
      <c r="K3241" t="s">
        <v>49</v>
      </c>
      <c r="L3241" s="4">
        <v>12.396052160428608</v>
      </c>
      <c r="M3241" s="1" t="s">
        <v>38</v>
      </c>
      <c r="N3241" s="11">
        <f t="shared" si="50"/>
        <v>5</v>
      </c>
    </row>
    <row r="3242" spans="1:14" ht="16" x14ac:dyDescent="0.2">
      <c r="A3242" s="3">
        <v>44030</v>
      </c>
      <c r="B3242" s="1" t="s">
        <v>3418</v>
      </c>
      <c r="C3242" t="s">
        <v>592</v>
      </c>
      <c r="D3242">
        <v>9</v>
      </c>
      <c r="E3242">
        <v>312</v>
      </c>
      <c r="F3242">
        <v>78</v>
      </c>
      <c r="G3242">
        <v>2808</v>
      </c>
      <c r="H3242" s="4">
        <v>702</v>
      </c>
      <c r="I3242" s="4">
        <v>2106</v>
      </c>
      <c r="J3242" t="s">
        <v>67</v>
      </c>
      <c r="K3242" t="s">
        <v>64</v>
      </c>
      <c r="L3242" s="4">
        <v>15.602184182549776</v>
      </c>
      <c r="M3242" s="1" t="s">
        <v>38</v>
      </c>
      <c r="N3242" s="11">
        <f t="shared" si="50"/>
        <v>5</v>
      </c>
    </row>
    <row r="3243" spans="1:14" ht="16" x14ac:dyDescent="0.2">
      <c r="A3243" s="3">
        <v>44031</v>
      </c>
      <c r="B3243" s="1" t="s">
        <v>3419</v>
      </c>
      <c r="C3243" t="s">
        <v>212</v>
      </c>
      <c r="D3243">
        <v>2</v>
      </c>
      <c r="E3243">
        <v>300</v>
      </c>
      <c r="F3243">
        <v>75</v>
      </c>
      <c r="G3243">
        <v>600</v>
      </c>
      <c r="H3243" s="4">
        <v>150</v>
      </c>
      <c r="I3243" s="4">
        <v>450</v>
      </c>
      <c r="J3243" t="s">
        <v>140</v>
      </c>
      <c r="K3243" t="s">
        <v>53</v>
      </c>
      <c r="L3243" s="4">
        <v>7.1104128275166252</v>
      </c>
      <c r="M3243" s="1" t="s">
        <v>38</v>
      </c>
      <c r="N3243" s="11">
        <f t="shared" si="50"/>
        <v>5</v>
      </c>
    </row>
    <row r="3244" spans="1:14" ht="16" x14ac:dyDescent="0.2">
      <c r="A3244" s="3">
        <v>44032</v>
      </c>
      <c r="B3244" s="1" t="s">
        <v>3420</v>
      </c>
      <c r="C3244" t="s">
        <v>125</v>
      </c>
      <c r="D3244">
        <v>16</v>
      </c>
      <c r="E3244">
        <v>176</v>
      </c>
      <c r="F3244">
        <v>88</v>
      </c>
      <c r="G3244">
        <v>2816</v>
      </c>
      <c r="H3244" s="4">
        <v>1408</v>
      </c>
      <c r="I3244" s="4">
        <v>1408</v>
      </c>
      <c r="J3244" t="s">
        <v>186</v>
      </c>
      <c r="K3244" t="s">
        <v>58</v>
      </c>
      <c r="L3244" s="4">
        <v>11.31221475547909</v>
      </c>
      <c r="M3244" s="1" t="s">
        <v>34</v>
      </c>
      <c r="N3244" s="11">
        <f t="shared" si="50"/>
        <v>1</v>
      </c>
    </row>
    <row r="3245" spans="1:14" ht="16" x14ac:dyDescent="0.2">
      <c r="A3245" s="3">
        <v>44033</v>
      </c>
      <c r="B3245" s="1" t="s">
        <v>1784</v>
      </c>
      <c r="C3245" t="s">
        <v>394</v>
      </c>
      <c r="D3245">
        <v>19</v>
      </c>
      <c r="E3245">
        <v>58</v>
      </c>
      <c r="F3245">
        <v>29</v>
      </c>
      <c r="G3245">
        <v>1102</v>
      </c>
      <c r="H3245" s="4">
        <v>551</v>
      </c>
      <c r="I3245" s="4">
        <v>551</v>
      </c>
      <c r="J3245" t="s">
        <v>729</v>
      </c>
      <c r="K3245" t="s">
        <v>64</v>
      </c>
      <c r="L3245" s="4">
        <v>11.443503623244197</v>
      </c>
      <c r="M3245" s="1" t="s">
        <v>54</v>
      </c>
      <c r="N3245" s="11">
        <f t="shared" si="50"/>
        <v>10</v>
      </c>
    </row>
    <row r="3246" spans="1:14" ht="16" x14ac:dyDescent="0.2">
      <c r="A3246" s="3">
        <v>44034</v>
      </c>
      <c r="B3246" s="1" t="s">
        <v>3421</v>
      </c>
      <c r="C3246" t="s">
        <v>75</v>
      </c>
      <c r="D3246">
        <v>4</v>
      </c>
      <c r="E3246">
        <v>76</v>
      </c>
      <c r="F3246">
        <v>19</v>
      </c>
      <c r="G3246">
        <v>304</v>
      </c>
      <c r="H3246" s="4">
        <v>76</v>
      </c>
      <c r="I3246" s="4">
        <v>228</v>
      </c>
      <c r="J3246" t="s">
        <v>903</v>
      </c>
      <c r="K3246" t="s">
        <v>58</v>
      </c>
      <c r="L3246" s="4">
        <v>11.952554704438674</v>
      </c>
      <c r="M3246" s="1" t="s">
        <v>38</v>
      </c>
      <c r="N3246" s="11">
        <f t="shared" si="50"/>
        <v>5</v>
      </c>
    </row>
    <row r="3247" spans="1:14" ht="16" x14ac:dyDescent="0.2">
      <c r="A3247" s="3">
        <v>44035</v>
      </c>
      <c r="B3247" s="1" t="s">
        <v>3422</v>
      </c>
      <c r="C3247" t="s">
        <v>130</v>
      </c>
      <c r="D3247">
        <v>7</v>
      </c>
      <c r="E3247">
        <v>144</v>
      </c>
      <c r="F3247">
        <v>48</v>
      </c>
      <c r="G3247">
        <v>1008</v>
      </c>
      <c r="H3247" s="4">
        <v>336</v>
      </c>
      <c r="I3247" s="4">
        <v>672</v>
      </c>
      <c r="J3247" t="s">
        <v>741</v>
      </c>
      <c r="K3247" t="s">
        <v>42</v>
      </c>
      <c r="L3247" s="4">
        <v>14.817898176328208</v>
      </c>
      <c r="M3247" s="1" t="s">
        <v>38</v>
      </c>
      <c r="N3247" s="11">
        <f t="shared" si="50"/>
        <v>5</v>
      </c>
    </row>
    <row r="3248" spans="1:14" ht="16" x14ac:dyDescent="0.2">
      <c r="A3248" s="3">
        <v>44036</v>
      </c>
      <c r="B3248" s="1" t="s">
        <v>3423</v>
      </c>
      <c r="C3248" t="s">
        <v>204</v>
      </c>
      <c r="D3248">
        <v>17</v>
      </c>
      <c r="E3248">
        <v>57</v>
      </c>
      <c r="F3248">
        <v>19</v>
      </c>
      <c r="G3248">
        <v>969</v>
      </c>
      <c r="H3248" s="4">
        <v>323</v>
      </c>
      <c r="I3248" s="4">
        <v>646</v>
      </c>
      <c r="J3248" t="s">
        <v>1068</v>
      </c>
      <c r="K3248" t="s">
        <v>42</v>
      </c>
      <c r="L3248" s="4">
        <v>8.1352386075080023</v>
      </c>
      <c r="M3248" s="1" t="s">
        <v>38</v>
      </c>
      <c r="N3248" s="11">
        <f t="shared" si="50"/>
        <v>5</v>
      </c>
    </row>
    <row r="3249" spans="1:14" ht="16" x14ac:dyDescent="0.2">
      <c r="A3249" s="3">
        <v>44037</v>
      </c>
      <c r="B3249" s="1" t="s">
        <v>3424</v>
      </c>
      <c r="C3249" t="s">
        <v>592</v>
      </c>
      <c r="D3249">
        <v>4</v>
      </c>
      <c r="E3249">
        <v>312</v>
      </c>
      <c r="F3249">
        <v>78</v>
      </c>
      <c r="G3249">
        <v>1248</v>
      </c>
      <c r="H3249" s="4">
        <v>312</v>
      </c>
      <c r="I3249" s="4">
        <v>936</v>
      </c>
      <c r="J3249" t="s">
        <v>416</v>
      </c>
      <c r="K3249" t="s">
        <v>58</v>
      </c>
      <c r="L3249" s="4">
        <v>12.399050786131125</v>
      </c>
      <c r="M3249" s="1" t="s">
        <v>38</v>
      </c>
      <c r="N3249" s="11">
        <f t="shared" si="50"/>
        <v>5</v>
      </c>
    </row>
    <row r="3250" spans="1:14" ht="16" x14ac:dyDescent="0.2">
      <c r="A3250" s="3">
        <v>44038</v>
      </c>
      <c r="B3250" s="1" t="s">
        <v>2255</v>
      </c>
      <c r="C3250" t="s">
        <v>788</v>
      </c>
      <c r="D3250">
        <v>12</v>
      </c>
      <c r="E3250">
        <v>100</v>
      </c>
      <c r="F3250">
        <v>25</v>
      </c>
      <c r="G3250">
        <v>1200</v>
      </c>
      <c r="H3250" s="4">
        <v>300</v>
      </c>
      <c r="I3250" s="4">
        <v>900</v>
      </c>
      <c r="J3250" t="s">
        <v>958</v>
      </c>
      <c r="K3250" t="s">
        <v>58</v>
      </c>
      <c r="L3250" s="4">
        <v>9.1591412531773226</v>
      </c>
      <c r="M3250" s="1" t="s">
        <v>38</v>
      </c>
      <c r="N3250" s="11">
        <f t="shared" si="50"/>
        <v>5</v>
      </c>
    </row>
    <row r="3251" spans="1:14" ht="16" x14ac:dyDescent="0.2">
      <c r="A3251" s="3">
        <v>44039</v>
      </c>
      <c r="B3251" s="1" t="s">
        <v>3425</v>
      </c>
      <c r="C3251" t="s">
        <v>561</v>
      </c>
      <c r="D3251">
        <v>17</v>
      </c>
      <c r="E3251">
        <v>384</v>
      </c>
      <c r="F3251">
        <v>96</v>
      </c>
      <c r="G3251">
        <v>6528</v>
      </c>
      <c r="H3251" s="4">
        <v>1632</v>
      </c>
      <c r="I3251" s="4">
        <v>4896</v>
      </c>
      <c r="J3251" t="s">
        <v>411</v>
      </c>
      <c r="K3251" t="s">
        <v>64</v>
      </c>
      <c r="L3251" s="4">
        <v>13.115597690631557</v>
      </c>
      <c r="M3251" s="1" t="s">
        <v>54</v>
      </c>
      <c r="N3251" s="11">
        <f t="shared" si="50"/>
        <v>10</v>
      </c>
    </row>
    <row r="3252" spans="1:14" ht="16" x14ac:dyDescent="0.2">
      <c r="A3252" s="3">
        <v>44040</v>
      </c>
      <c r="B3252" s="1" t="s">
        <v>3426</v>
      </c>
      <c r="C3252" t="s">
        <v>113</v>
      </c>
      <c r="D3252">
        <v>3</v>
      </c>
      <c r="E3252">
        <v>66</v>
      </c>
      <c r="F3252">
        <v>33</v>
      </c>
      <c r="G3252">
        <v>198</v>
      </c>
      <c r="H3252" s="4">
        <v>99</v>
      </c>
      <c r="I3252" s="4">
        <v>99</v>
      </c>
      <c r="J3252" t="s">
        <v>52</v>
      </c>
      <c r="K3252" t="s">
        <v>53</v>
      </c>
      <c r="L3252" s="4">
        <v>12.169266722245851</v>
      </c>
      <c r="M3252" s="1" t="s">
        <v>54</v>
      </c>
      <c r="N3252" s="11">
        <f t="shared" si="50"/>
        <v>10</v>
      </c>
    </row>
    <row r="3253" spans="1:14" ht="16" x14ac:dyDescent="0.2">
      <c r="A3253" s="3">
        <v>44041</v>
      </c>
      <c r="B3253" s="1" t="s">
        <v>3427</v>
      </c>
      <c r="C3253" t="s">
        <v>31</v>
      </c>
      <c r="D3253">
        <v>6</v>
      </c>
      <c r="E3253">
        <v>280</v>
      </c>
      <c r="F3253">
        <v>70</v>
      </c>
      <c r="G3253">
        <v>1680</v>
      </c>
      <c r="H3253" s="4">
        <v>420</v>
      </c>
      <c r="I3253" s="4">
        <v>1260</v>
      </c>
      <c r="J3253" t="s">
        <v>418</v>
      </c>
      <c r="K3253" t="s">
        <v>42</v>
      </c>
      <c r="L3253" s="4">
        <v>11.644564584314265</v>
      </c>
      <c r="M3253" s="1" t="s">
        <v>54</v>
      </c>
      <c r="N3253" s="11">
        <f t="shared" si="50"/>
        <v>10</v>
      </c>
    </row>
    <row r="3254" spans="1:14" ht="16" x14ac:dyDescent="0.2">
      <c r="A3254" s="3">
        <v>44042</v>
      </c>
      <c r="B3254" s="1" t="s">
        <v>3428</v>
      </c>
      <c r="C3254" t="s">
        <v>171</v>
      </c>
      <c r="D3254">
        <v>11</v>
      </c>
      <c r="E3254">
        <v>225</v>
      </c>
      <c r="F3254">
        <v>75</v>
      </c>
      <c r="G3254">
        <v>2475</v>
      </c>
      <c r="H3254" s="4">
        <v>825</v>
      </c>
      <c r="I3254" s="4">
        <v>1650</v>
      </c>
      <c r="J3254" t="s">
        <v>167</v>
      </c>
      <c r="K3254" t="s">
        <v>86</v>
      </c>
      <c r="L3254" s="4">
        <v>10.216282609482219</v>
      </c>
      <c r="M3254" s="1" t="s">
        <v>38</v>
      </c>
      <c r="N3254" s="11">
        <f t="shared" si="50"/>
        <v>5</v>
      </c>
    </row>
    <row r="3255" spans="1:14" ht="16" x14ac:dyDescent="0.2">
      <c r="A3255" s="3">
        <v>44043</v>
      </c>
      <c r="B3255" s="1" t="s">
        <v>3429</v>
      </c>
      <c r="C3255" t="s">
        <v>115</v>
      </c>
      <c r="D3255">
        <v>2</v>
      </c>
      <c r="E3255">
        <v>81</v>
      </c>
      <c r="F3255">
        <v>27</v>
      </c>
      <c r="G3255">
        <v>162</v>
      </c>
      <c r="H3255" s="4">
        <v>54</v>
      </c>
      <c r="I3255" s="4">
        <v>108</v>
      </c>
      <c r="J3255" t="s">
        <v>1126</v>
      </c>
      <c r="K3255" t="s">
        <v>64</v>
      </c>
      <c r="L3255" s="4">
        <v>11.593991859287692</v>
      </c>
      <c r="M3255" s="1" t="s">
        <v>38</v>
      </c>
      <c r="N3255" s="11">
        <f t="shared" si="50"/>
        <v>5</v>
      </c>
    </row>
    <row r="3256" spans="1:14" ht="16" x14ac:dyDescent="0.2">
      <c r="A3256" s="3">
        <v>44044</v>
      </c>
      <c r="B3256" s="1" t="s">
        <v>3430</v>
      </c>
      <c r="C3256" t="s">
        <v>40</v>
      </c>
      <c r="D3256">
        <v>10</v>
      </c>
      <c r="E3256">
        <v>46</v>
      </c>
      <c r="F3256">
        <v>23</v>
      </c>
      <c r="G3256">
        <v>460</v>
      </c>
      <c r="H3256" s="4">
        <v>230</v>
      </c>
      <c r="I3256" s="4">
        <v>230</v>
      </c>
      <c r="J3256" t="s">
        <v>629</v>
      </c>
      <c r="K3256" t="s">
        <v>53</v>
      </c>
      <c r="L3256" s="4">
        <v>9.8892508156549788</v>
      </c>
      <c r="M3256" s="1" t="s">
        <v>34</v>
      </c>
      <c r="N3256" s="11">
        <f t="shared" si="50"/>
        <v>1</v>
      </c>
    </row>
    <row r="3257" spans="1:14" ht="16" x14ac:dyDescent="0.2">
      <c r="A3257" s="3">
        <v>44045</v>
      </c>
      <c r="B3257" s="1" t="s">
        <v>3431</v>
      </c>
      <c r="C3257" t="s">
        <v>110</v>
      </c>
      <c r="D3257">
        <v>11</v>
      </c>
      <c r="E3257">
        <v>144</v>
      </c>
      <c r="F3257">
        <v>36</v>
      </c>
      <c r="G3257">
        <v>1584</v>
      </c>
      <c r="H3257" s="4">
        <v>396</v>
      </c>
      <c r="I3257" s="4">
        <v>1188</v>
      </c>
      <c r="J3257" t="s">
        <v>264</v>
      </c>
      <c r="K3257" t="s">
        <v>42</v>
      </c>
      <c r="L3257" s="4">
        <v>12.514998090845811</v>
      </c>
      <c r="M3257" s="1" t="s">
        <v>54</v>
      </c>
      <c r="N3257" s="11">
        <f t="shared" si="50"/>
        <v>10</v>
      </c>
    </row>
    <row r="3258" spans="1:14" ht="16" x14ac:dyDescent="0.2">
      <c r="A3258" s="3">
        <v>44046</v>
      </c>
      <c r="B3258" s="1" t="s">
        <v>1271</v>
      </c>
      <c r="C3258" t="s">
        <v>204</v>
      </c>
      <c r="D3258">
        <v>17</v>
      </c>
      <c r="E3258">
        <v>57</v>
      </c>
      <c r="F3258">
        <v>19</v>
      </c>
      <c r="G3258">
        <v>969</v>
      </c>
      <c r="H3258" s="4">
        <v>323</v>
      </c>
      <c r="I3258" s="4">
        <v>646</v>
      </c>
      <c r="J3258" t="s">
        <v>397</v>
      </c>
      <c r="K3258" t="s">
        <v>49</v>
      </c>
      <c r="L3258" s="4">
        <v>9.4239783062860578</v>
      </c>
      <c r="M3258" s="1" t="s">
        <v>38</v>
      </c>
      <c r="N3258" s="11">
        <f t="shared" si="50"/>
        <v>5</v>
      </c>
    </row>
    <row r="3259" spans="1:14" ht="16" x14ac:dyDescent="0.2">
      <c r="A3259" s="3">
        <v>44047</v>
      </c>
      <c r="B3259" s="1" t="s">
        <v>3432</v>
      </c>
      <c r="C3259" t="s">
        <v>175</v>
      </c>
      <c r="D3259">
        <v>1</v>
      </c>
      <c r="E3259">
        <v>38</v>
      </c>
      <c r="F3259">
        <v>19</v>
      </c>
      <c r="G3259">
        <v>38</v>
      </c>
      <c r="H3259" s="4">
        <v>19</v>
      </c>
      <c r="I3259" s="4">
        <v>19</v>
      </c>
      <c r="J3259" t="s">
        <v>181</v>
      </c>
      <c r="K3259" t="s">
        <v>53</v>
      </c>
      <c r="L3259" s="4">
        <v>11.727497850343074</v>
      </c>
      <c r="M3259" s="1" t="s">
        <v>38</v>
      </c>
      <c r="N3259" s="11">
        <f t="shared" si="50"/>
        <v>5</v>
      </c>
    </row>
    <row r="3260" spans="1:14" ht="16" x14ac:dyDescent="0.2">
      <c r="A3260" s="3">
        <v>44048</v>
      </c>
      <c r="B3260" s="1" t="s">
        <v>3433</v>
      </c>
      <c r="C3260" t="s">
        <v>209</v>
      </c>
      <c r="D3260">
        <v>4</v>
      </c>
      <c r="E3260">
        <v>150</v>
      </c>
      <c r="F3260">
        <v>75</v>
      </c>
      <c r="G3260">
        <v>600</v>
      </c>
      <c r="H3260" s="4">
        <v>300</v>
      </c>
      <c r="I3260" s="4">
        <v>300</v>
      </c>
      <c r="J3260" t="s">
        <v>504</v>
      </c>
      <c r="K3260" t="s">
        <v>53</v>
      </c>
      <c r="L3260" s="4">
        <v>12.801144805697081</v>
      </c>
      <c r="M3260" s="1" t="s">
        <v>38</v>
      </c>
      <c r="N3260" s="11">
        <f t="shared" si="50"/>
        <v>5</v>
      </c>
    </row>
    <row r="3261" spans="1:14" ht="16" x14ac:dyDescent="0.2">
      <c r="A3261" s="3">
        <v>44049</v>
      </c>
      <c r="B3261" s="1" t="s">
        <v>3434</v>
      </c>
      <c r="C3261" t="s">
        <v>120</v>
      </c>
      <c r="D3261">
        <v>18</v>
      </c>
      <c r="E3261">
        <v>252</v>
      </c>
      <c r="F3261">
        <v>63</v>
      </c>
      <c r="G3261">
        <v>4536</v>
      </c>
      <c r="H3261" s="4">
        <v>1134</v>
      </c>
      <c r="I3261" s="4">
        <v>3402</v>
      </c>
      <c r="J3261" t="s">
        <v>806</v>
      </c>
      <c r="K3261" t="s">
        <v>86</v>
      </c>
      <c r="L3261" s="4">
        <v>11.927799225928501</v>
      </c>
      <c r="M3261" s="1" t="s">
        <v>38</v>
      </c>
      <c r="N3261" s="11">
        <f t="shared" si="50"/>
        <v>5</v>
      </c>
    </row>
    <row r="3262" spans="1:14" ht="16" x14ac:dyDescent="0.2">
      <c r="A3262" s="3">
        <v>44050</v>
      </c>
      <c r="B3262" s="1" t="s">
        <v>3435</v>
      </c>
      <c r="C3262" t="s">
        <v>66</v>
      </c>
      <c r="D3262">
        <v>13</v>
      </c>
      <c r="E3262">
        <v>144</v>
      </c>
      <c r="F3262">
        <v>48</v>
      </c>
      <c r="G3262">
        <v>1872</v>
      </c>
      <c r="H3262" s="4">
        <v>624</v>
      </c>
      <c r="I3262" s="4">
        <v>1248</v>
      </c>
      <c r="J3262" t="s">
        <v>545</v>
      </c>
      <c r="K3262" t="s">
        <v>53</v>
      </c>
      <c r="L3262" s="4">
        <v>10.112765954734209</v>
      </c>
      <c r="M3262" s="1" t="s">
        <v>38</v>
      </c>
      <c r="N3262" s="11">
        <f t="shared" si="50"/>
        <v>5</v>
      </c>
    </row>
    <row r="3263" spans="1:14" ht="16" x14ac:dyDescent="0.2">
      <c r="A3263" s="3">
        <v>44051</v>
      </c>
      <c r="B3263" s="1" t="s">
        <v>3436</v>
      </c>
      <c r="C3263" t="s">
        <v>88</v>
      </c>
      <c r="D3263">
        <v>6</v>
      </c>
      <c r="E3263">
        <v>210</v>
      </c>
      <c r="F3263">
        <v>70</v>
      </c>
      <c r="G3263">
        <v>1260</v>
      </c>
      <c r="H3263" s="4">
        <v>420</v>
      </c>
      <c r="I3263" s="4">
        <v>840</v>
      </c>
      <c r="J3263" t="s">
        <v>444</v>
      </c>
      <c r="K3263" t="s">
        <v>42</v>
      </c>
      <c r="L3263" s="4">
        <v>15.861056998489449</v>
      </c>
      <c r="M3263" s="1" t="s">
        <v>54</v>
      </c>
      <c r="N3263" s="11">
        <f t="shared" si="50"/>
        <v>10</v>
      </c>
    </row>
    <row r="3264" spans="1:14" ht="16" x14ac:dyDescent="0.2">
      <c r="A3264" s="3">
        <v>44052</v>
      </c>
      <c r="B3264" s="1" t="s">
        <v>3437</v>
      </c>
      <c r="C3264" t="s">
        <v>113</v>
      </c>
      <c r="D3264">
        <v>6</v>
      </c>
      <c r="E3264">
        <v>66</v>
      </c>
      <c r="F3264">
        <v>33</v>
      </c>
      <c r="G3264">
        <v>396</v>
      </c>
      <c r="H3264" s="4">
        <v>198</v>
      </c>
      <c r="I3264" s="4">
        <v>198</v>
      </c>
      <c r="J3264" t="s">
        <v>406</v>
      </c>
      <c r="K3264" t="s">
        <v>58</v>
      </c>
      <c r="L3264" s="4">
        <v>11.082295381980092</v>
      </c>
      <c r="M3264" s="1" t="s">
        <v>54</v>
      </c>
      <c r="N3264" s="11">
        <f t="shared" si="50"/>
        <v>10</v>
      </c>
    </row>
    <row r="3265" spans="1:14" ht="16" x14ac:dyDescent="0.2">
      <c r="A3265" s="3">
        <v>44053</v>
      </c>
      <c r="B3265" s="1" t="s">
        <v>3438</v>
      </c>
      <c r="C3265" t="s">
        <v>320</v>
      </c>
      <c r="D3265">
        <v>8</v>
      </c>
      <c r="E3265">
        <v>280</v>
      </c>
      <c r="F3265">
        <v>70</v>
      </c>
      <c r="G3265">
        <v>2240</v>
      </c>
      <c r="H3265" s="4">
        <v>560</v>
      </c>
      <c r="I3265" s="4">
        <v>1680</v>
      </c>
      <c r="J3265" t="s">
        <v>116</v>
      </c>
      <c r="K3265" t="s">
        <v>64</v>
      </c>
      <c r="L3265" s="4">
        <v>14.697745043716761</v>
      </c>
      <c r="M3265" s="1" t="s">
        <v>38</v>
      </c>
      <c r="N3265" s="11">
        <f t="shared" si="50"/>
        <v>5</v>
      </c>
    </row>
    <row r="3266" spans="1:14" ht="16" x14ac:dyDescent="0.2">
      <c r="A3266" s="3">
        <v>44054</v>
      </c>
      <c r="B3266" s="1" t="s">
        <v>3439</v>
      </c>
      <c r="C3266" t="s">
        <v>178</v>
      </c>
      <c r="D3266">
        <v>7</v>
      </c>
      <c r="E3266">
        <v>189</v>
      </c>
      <c r="F3266">
        <v>63</v>
      </c>
      <c r="G3266">
        <v>1323</v>
      </c>
      <c r="H3266" s="4">
        <v>441</v>
      </c>
      <c r="I3266" s="4">
        <v>882</v>
      </c>
      <c r="J3266" t="s">
        <v>197</v>
      </c>
      <c r="K3266" t="s">
        <v>49</v>
      </c>
      <c r="L3266" s="4">
        <v>13.288482149665386</v>
      </c>
      <c r="M3266" s="1" t="s">
        <v>38</v>
      </c>
      <c r="N3266" s="11">
        <f t="shared" si="50"/>
        <v>5</v>
      </c>
    </row>
    <row r="3267" spans="1:14" ht="16" x14ac:dyDescent="0.2">
      <c r="A3267" s="3">
        <v>44055</v>
      </c>
      <c r="B3267" s="1" t="s">
        <v>3440</v>
      </c>
      <c r="C3267" t="s">
        <v>243</v>
      </c>
      <c r="D3267">
        <v>16</v>
      </c>
      <c r="E3267">
        <v>90</v>
      </c>
      <c r="F3267">
        <v>45</v>
      </c>
      <c r="G3267">
        <v>1440</v>
      </c>
      <c r="H3267" s="4">
        <v>720</v>
      </c>
      <c r="I3267" s="4">
        <v>720</v>
      </c>
      <c r="J3267" t="s">
        <v>645</v>
      </c>
      <c r="K3267" t="s">
        <v>86</v>
      </c>
      <c r="L3267" s="4">
        <v>9.879282537628514</v>
      </c>
      <c r="M3267" s="1" t="s">
        <v>38</v>
      </c>
      <c r="N3267" s="11">
        <f t="shared" ref="N3267:N3330" si="51">+IF(M3267="Dissatisfied",1,IF(M3267="Satisfied",10,5))</f>
        <v>5</v>
      </c>
    </row>
    <row r="3268" spans="1:14" ht="16" x14ac:dyDescent="0.2">
      <c r="A3268" s="3">
        <v>44056</v>
      </c>
      <c r="B3268" s="1" t="s">
        <v>2988</v>
      </c>
      <c r="C3268" t="s">
        <v>175</v>
      </c>
      <c r="D3268">
        <v>20</v>
      </c>
      <c r="E3268">
        <v>38</v>
      </c>
      <c r="F3268">
        <v>19</v>
      </c>
      <c r="G3268">
        <v>760</v>
      </c>
      <c r="H3268" s="4">
        <v>380</v>
      </c>
      <c r="I3268" s="4">
        <v>380</v>
      </c>
      <c r="J3268" t="s">
        <v>272</v>
      </c>
      <c r="K3268" t="s">
        <v>49</v>
      </c>
      <c r="L3268" s="4">
        <v>12.503632939408062</v>
      </c>
      <c r="M3268" s="1" t="s">
        <v>34</v>
      </c>
      <c r="N3268" s="11">
        <f t="shared" si="51"/>
        <v>1</v>
      </c>
    </row>
    <row r="3269" spans="1:14" ht="16" x14ac:dyDescent="0.2">
      <c r="A3269" s="3">
        <v>44057</v>
      </c>
      <c r="B3269" s="1" t="s">
        <v>3441</v>
      </c>
      <c r="C3269" t="s">
        <v>399</v>
      </c>
      <c r="D3269">
        <v>6</v>
      </c>
      <c r="E3269">
        <v>160</v>
      </c>
      <c r="F3269">
        <v>80</v>
      </c>
      <c r="G3269">
        <v>960</v>
      </c>
      <c r="H3269" s="4">
        <v>480</v>
      </c>
      <c r="I3269" s="4">
        <v>480</v>
      </c>
      <c r="J3269" t="s">
        <v>660</v>
      </c>
      <c r="K3269" t="s">
        <v>86</v>
      </c>
      <c r="L3269" s="4">
        <v>10.163794912095831</v>
      </c>
      <c r="M3269" s="1" t="s">
        <v>34</v>
      </c>
      <c r="N3269" s="11">
        <f t="shared" si="51"/>
        <v>1</v>
      </c>
    </row>
    <row r="3270" spans="1:14" ht="16" x14ac:dyDescent="0.2">
      <c r="A3270" s="3">
        <v>44058</v>
      </c>
      <c r="B3270" s="1" t="s">
        <v>3442</v>
      </c>
      <c r="C3270" t="s">
        <v>356</v>
      </c>
      <c r="D3270">
        <v>19</v>
      </c>
      <c r="E3270">
        <v>356</v>
      </c>
      <c r="F3270">
        <v>89</v>
      </c>
      <c r="G3270">
        <v>6764</v>
      </c>
      <c r="H3270" s="4">
        <v>1691</v>
      </c>
      <c r="I3270" s="4">
        <v>5073</v>
      </c>
      <c r="J3270" t="s">
        <v>681</v>
      </c>
      <c r="K3270" t="s">
        <v>86</v>
      </c>
      <c r="L3270" s="4">
        <v>8.1628930629234038</v>
      </c>
      <c r="M3270" s="1" t="s">
        <v>34</v>
      </c>
      <c r="N3270" s="11">
        <f t="shared" si="51"/>
        <v>1</v>
      </c>
    </row>
    <row r="3271" spans="1:14" ht="16" x14ac:dyDescent="0.2">
      <c r="A3271" s="3">
        <v>44059</v>
      </c>
      <c r="B3271" s="1" t="s">
        <v>3443</v>
      </c>
      <c r="C3271" t="s">
        <v>288</v>
      </c>
      <c r="D3271">
        <v>10</v>
      </c>
      <c r="E3271">
        <v>48</v>
      </c>
      <c r="F3271">
        <v>24</v>
      </c>
      <c r="G3271">
        <v>480</v>
      </c>
      <c r="H3271" s="4">
        <v>240</v>
      </c>
      <c r="I3271" s="4">
        <v>240</v>
      </c>
      <c r="J3271" t="s">
        <v>892</v>
      </c>
      <c r="K3271" t="s">
        <v>33</v>
      </c>
      <c r="L3271" s="4">
        <v>13.062292798511226</v>
      </c>
      <c r="M3271" s="1" t="s">
        <v>38</v>
      </c>
      <c r="N3271" s="11">
        <f t="shared" si="51"/>
        <v>5</v>
      </c>
    </row>
    <row r="3272" spans="1:14" ht="16" x14ac:dyDescent="0.2">
      <c r="A3272" s="3">
        <v>44060</v>
      </c>
      <c r="B3272" s="1" t="s">
        <v>3388</v>
      </c>
      <c r="C3272" t="s">
        <v>261</v>
      </c>
      <c r="D3272">
        <v>4</v>
      </c>
      <c r="E3272">
        <v>92</v>
      </c>
      <c r="F3272">
        <v>46</v>
      </c>
      <c r="G3272">
        <v>368</v>
      </c>
      <c r="H3272" s="4">
        <v>184</v>
      </c>
      <c r="I3272" s="4">
        <v>184</v>
      </c>
      <c r="J3272" t="s">
        <v>146</v>
      </c>
      <c r="K3272" t="s">
        <v>64</v>
      </c>
      <c r="L3272" s="4">
        <v>12.487915239531313</v>
      </c>
      <c r="M3272" s="1" t="s">
        <v>38</v>
      </c>
      <c r="N3272" s="11">
        <f t="shared" si="51"/>
        <v>5</v>
      </c>
    </row>
    <row r="3273" spans="1:14" ht="16" x14ac:dyDescent="0.2">
      <c r="A3273" s="3">
        <v>44061</v>
      </c>
      <c r="B3273" s="1" t="s">
        <v>3444</v>
      </c>
      <c r="C3273" t="s">
        <v>399</v>
      </c>
      <c r="D3273">
        <v>3</v>
      </c>
      <c r="E3273">
        <v>160</v>
      </c>
      <c r="F3273">
        <v>80</v>
      </c>
      <c r="G3273">
        <v>480</v>
      </c>
      <c r="H3273" s="4">
        <v>240</v>
      </c>
      <c r="I3273" s="4">
        <v>240</v>
      </c>
      <c r="J3273" t="s">
        <v>426</v>
      </c>
      <c r="K3273" t="s">
        <v>53</v>
      </c>
      <c r="L3273" s="4">
        <v>13.923194761258239</v>
      </c>
      <c r="M3273" s="1" t="s">
        <v>38</v>
      </c>
      <c r="N3273" s="11">
        <f t="shared" si="51"/>
        <v>5</v>
      </c>
    </row>
    <row r="3274" spans="1:14" ht="16" x14ac:dyDescent="0.2">
      <c r="A3274" s="3">
        <v>44062</v>
      </c>
      <c r="B3274" s="1" t="s">
        <v>3445</v>
      </c>
      <c r="C3274" t="s">
        <v>779</v>
      </c>
      <c r="D3274">
        <v>10</v>
      </c>
      <c r="E3274">
        <v>120</v>
      </c>
      <c r="F3274">
        <v>30</v>
      </c>
      <c r="G3274">
        <v>1200</v>
      </c>
      <c r="H3274" s="4">
        <v>300</v>
      </c>
      <c r="I3274" s="4">
        <v>900</v>
      </c>
      <c r="J3274" t="s">
        <v>329</v>
      </c>
      <c r="K3274" t="s">
        <v>33</v>
      </c>
      <c r="L3274" s="4">
        <v>12.545140403858928</v>
      </c>
      <c r="M3274" s="1" t="s">
        <v>38</v>
      </c>
      <c r="N3274" s="11">
        <f t="shared" si="51"/>
        <v>5</v>
      </c>
    </row>
    <row r="3275" spans="1:14" ht="16" x14ac:dyDescent="0.2">
      <c r="A3275" s="3">
        <v>44063</v>
      </c>
      <c r="B3275" s="1" t="s">
        <v>2013</v>
      </c>
      <c r="C3275" t="s">
        <v>259</v>
      </c>
      <c r="D3275">
        <v>14</v>
      </c>
      <c r="E3275">
        <v>270</v>
      </c>
      <c r="F3275">
        <v>90</v>
      </c>
      <c r="G3275">
        <v>3780</v>
      </c>
      <c r="H3275" s="4">
        <v>1260</v>
      </c>
      <c r="I3275" s="4">
        <v>2520</v>
      </c>
      <c r="J3275" t="s">
        <v>384</v>
      </c>
      <c r="K3275" t="s">
        <v>33</v>
      </c>
      <c r="L3275" s="4">
        <v>11.687634894637348</v>
      </c>
      <c r="M3275" s="1" t="s">
        <v>38</v>
      </c>
      <c r="N3275" s="11">
        <f t="shared" si="51"/>
        <v>5</v>
      </c>
    </row>
    <row r="3276" spans="1:14" ht="16" x14ac:dyDescent="0.2">
      <c r="A3276" s="3">
        <v>44064</v>
      </c>
      <c r="B3276" s="1" t="s">
        <v>3446</v>
      </c>
      <c r="C3276" t="s">
        <v>788</v>
      </c>
      <c r="D3276">
        <v>18</v>
      </c>
      <c r="E3276">
        <v>100</v>
      </c>
      <c r="F3276">
        <v>25</v>
      </c>
      <c r="G3276">
        <v>1800</v>
      </c>
      <c r="H3276" s="4">
        <v>450</v>
      </c>
      <c r="I3276" s="4">
        <v>1350</v>
      </c>
      <c r="J3276" t="s">
        <v>653</v>
      </c>
      <c r="K3276" t="s">
        <v>86</v>
      </c>
      <c r="L3276" s="4">
        <v>12.869841591513939</v>
      </c>
      <c r="M3276" s="1" t="s">
        <v>38</v>
      </c>
      <c r="N3276" s="11">
        <f t="shared" si="51"/>
        <v>5</v>
      </c>
    </row>
    <row r="3277" spans="1:14" ht="16" x14ac:dyDescent="0.2">
      <c r="A3277" s="3">
        <v>44065</v>
      </c>
      <c r="B3277" s="1" t="s">
        <v>1689</v>
      </c>
      <c r="C3277" t="s">
        <v>125</v>
      </c>
      <c r="D3277">
        <v>19</v>
      </c>
      <c r="E3277">
        <v>176</v>
      </c>
      <c r="F3277">
        <v>88</v>
      </c>
      <c r="G3277">
        <v>3344</v>
      </c>
      <c r="H3277" s="4">
        <v>1672</v>
      </c>
      <c r="I3277" s="4">
        <v>1672</v>
      </c>
      <c r="J3277" t="s">
        <v>343</v>
      </c>
      <c r="K3277" t="s">
        <v>42</v>
      </c>
      <c r="L3277" s="4">
        <v>9.8928038181361391</v>
      </c>
      <c r="M3277" s="1" t="s">
        <v>38</v>
      </c>
      <c r="N3277" s="11">
        <f t="shared" si="51"/>
        <v>5</v>
      </c>
    </row>
    <row r="3278" spans="1:14" ht="16" x14ac:dyDescent="0.2">
      <c r="A3278" s="3">
        <v>44066</v>
      </c>
      <c r="B3278" s="1" t="s">
        <v>3447</v>
      </c>
      <c r="C3278" t="s">
        <v>56</v>
      </c>
      <c r="D3278">
        <v>16</v>
      </c>
      <c r="E3278">
        <v>38</v>
      </c>
      <c r="F3278">
        <v>19</v>
      </c>
      <c r="G3278">
        <v>608</v>
      </c>
      <c r="H3278" s="4">
        <v>304</v>
      </c>
      <c r="I3278" s="4">
        <v>304</v>
      </c>
      <c r="J3278" t="s">
        <v>622</v>
      </c>
      <c r="K3278" t="s">
        <v>49</v>
      </c>
      <c r="L3278" s="4">
        <v>8.3272837771733244</v>
      </c>
      <c r="M3278" s="1" t="s">
        <v>54</v>
      </c>
      <c r="N3278" s="11">
        <f t="shared" si="51"/>
        <v>10</v>
      </c>
    </row>
    <row r="3279" spans="1:14" ht="16" x14ac:dyDescent="0.2">
      <c r="A3279" s="3">
        <v>44067</v>
      </c>
      <c r="B3279" s="1" t="s">
        <v>3448</v>
      </c>
      <c r="C3279" t="s">
        <v>301</v>
      </c>
      <c r="D3279">
        <v>13</v>
      </c>
      <c r="E3279">
        <v>188</v>
      </c>
      <c r="F3279">
        <v>94</v>
      </c>
      <c r="G3279">
        <v>2444</v>
      </c>
      <c r="H3279" s="4">
        <v>1222</v>
      </c>
      <c r="I3279" s="4">
        <v>1222</v>
      </c>
      <c r="J3279" t="s">
        <v>268</v>
      </c>
      <c r="K3279" t="s">
        <v>49</v>
      </c>
      <c r="L3279" s="4">
        <v>11.756374828790458</v>
      </c>
      <c r="M3279" s="1" t="s">
        <v>54</v>
      </c>
      <c r="N3279" s="11">
        <f t="shared" si="51"/>
        <v>10</v>
      </c>
    </row>
    <row r="3280" spans="1:14" ht="16" x14ac:dyDescent="0.2">
      <c r="A3280" s="3">
        <v>44068</v>
      </c>
      <c r="B3280" s="1" t="s">
        <v>3449</v>
      </c>
      <c r="C3280" t="s">
        <v>583</v>
      </c>
      <c r="D3280">
        <v>19</v>
      </c>
      <c r="E3280">
        <v>57</v>
      </c>
      <c r="F3280">
        <v>19</v>
      </c>
      <c r="G3280">
        <v>1083</v>
      </c>
      <c r="H3280" s="4">
        <v>361</v>
      </c>
      <c r="I3280" s="4">
        <v>722</v>
      </c>
      <c r="J3280" t="s">
        <v>531</v>
      </c>
      <c r="K3280" t="s">
        <v>58</v>
      </c>
      <c r="L3280" s="4">
        <v>14.064516999204997</v>
      </c>
      <c r="M3280" s="1" t="s">
        <v>38</v>
      </c>
      <c r="N3280" s="11">
        <f t="shared" si="51"/>
        <v>5</v>
      </c>
    </row>
    <row r="3281" spans="1:14" ht="16" x14ac:dyDescent="0.2">
      <c r="A3281" s="3">
        <v>44069</v>
      </c>
      <c r="B3281" s="1" t="s">
        <v>3450</v>
      </c>
      <c r="C3281" t="s">
        <v>243</v>
      </c>
      <c r="D3281">
        <v>18</v>
      </c>
      <c r="E3281">
        <v>90</v>
      </c>
      <c r="F3281">
        <v>45</v>
      </c>
      <c r="G3281">
        <v>1620</v>
      </c>
      <c r="H3281" s="4">
        <v>810</v>
      </c>
      <c r="I3281" s="4">
        <v>810</v>
      </c>
      <c r="J3281" t="s">
        <v>923</v>
      </c>
      <c r="K3281" t="s">
        <v>42</v>
      </c>
      <c r="L3281" s="4">
        <v>12.502346728827876</v>
      </c>
      <c r="M3281" s="1" t="s">
        <v>34</v>
      </c>
      <c r="N3281" s="11">
        <f t="shared" si="51"/>
        <v>1</v>
      </c>
    </row>
    <row r="3282" spans="1:14" ht="16" x14ac:dyDescent="0.2">
      <c r="A3282" s="3">
        <v>44070</v>
      </c>
      <c r="B3282" s="1" t="s">
        <v>3451</v>
      </c>
      <c r="C3282" t="s">
        <v>356</v>
      </c>
      <c r="D3282">
        <v>20</v>
      </c>
      <c r="E3282">
        <v>356</v>
      </c>
      <c r="F3282">
        <v>89</v>
      </c>
      <c r="G3282">
        <v>7120</v>
      </c>
      <c r="H3282" s="4">
        <v>1780</v>
      </c>
      <c r="I3282" s="4">
        <v>5340</v>
      </c>
      <c r="J3282" t="s">
        <v>378</v>
      </c>
      <c r="K3282" t="s">
        <v>53</v>
      </c>
      <c r="L3282" s="4">
        <v>14.423322704129969</v>
      </c>
      <c r="M3282" s="1" t="s">
        <v>54</v>
      </c>
      <c r="N3282" s="11">
        <f t="shared" si="51"/>
        <v>10</v>
      </c>
    </row>
    <row r="3283" spans="1:14" ht="16" x14ac:dyDescent="0.2">
      <c r="A3283" s="3">
        <v>44071</v>
      </c>
      <c r="B3283" s="1" t="s">
        <v>3299</v>
      </c>
      <c r="C3283" t="s">
        <v>218</v>
      </c>
      <c r="D3283">
        <v>18</v>
      </c>
      <c r="E3283">
        <v>264</v>
      </c>
      <c r="F3283">
        <v>88</v>
      </c>
      <c r="G3283">
        <v>4752</v>
      </c>
      <c r="H3283" s="4">
        <v>1584</v>
      </c>
      <c r="I3283" s="4">
        <v>3168</v>
      </c>
      <c r="J3283" t="s">
        <v>665</v>
      </c>
      <c r="K3283" t="s">
        <v>33</v>
      </c>
      <c r="L3283" s="4">
        <v>6.9183250411917196</v>
      </c>
      <c r="M3283" s="1" t="s">
        <v>54</v>
      </c>
      <c r="N3283" s="11">
        <f t="shared" si="51"/>
        <v>10</v>
      </c>
    </row>
    <row r="3284" spans="1:14" ht="16" x14ac:dyDescent="0.2">
      <c r="A3284" s="3">
        <v>44072</v>
      </c>
      <c r="B3284" s="1" t="s">
        <v>3452</v>
      </c>
      <c r="C3284" t="s">
        <v>145</v>
      </c>
      <c r="D3284">
        <v>18</v>
      </c>
      <c r="E3284">
        <v>207</v>
      </c>
      <c r="F3284">
        <v>69</v>
      </c>
      <c r="G3284">
        <v>3726</v>
      </c>
      <c r="H3284" s="4">
        <v>1242</v>
      </c>
      <c r="I3284" s="4">
        <v>2484</v>
      </c>
      <c r="J3284" t="s">
        <v>149</v>
      </c>
      <c r="K3284" t="s">
        <v>58</v>
      </c>
      <c r="L3284" s="4">
        <v>8.1085102757869372</v>
      </c>
      <c r="M3284" s="1" t="s">
        <v>34</v>
      </c>
      <c r="N3284" s="11">
        <f t="shared" si="51"/>
        <v>1</v>
      </c>
    </row>
    <row r="3285" spans="1:14" ht="16" x14ac:dyDescent="0.2">
      <c r="A3285" s="3">
        <v>44073</v>
      </c>
      <c r="B3285" s="1" t="s">
        <v>2530</v>
      </c>
      <c r="C3285" t="s">
        <v>788</v>
      </c>
      <c r="D3285">
        <v>11</v>
      </c>
      <c r="E3285">
        <v>100</v>
      </c>
      <c r="F3285">
        <v>25</v>
      </c>
      <c r="G3285">
        <v>1100</v>
      </c>
      <c r="H3285" s="4">
        <v>275</v>
      </c>
      <c r="I3285" s="4">
        <v>825</v>
      </c>
      <c r="J3285" t="s">
        <v>363</v>
      </c>
      <c r="K3285" t="s">
        <v>64</v>
      </c>
      <c r="L3285" s="4">
        <v>14.690198582365463</v>
      </c>
      <c r="M3285" s="1" t="s">
        <v>54</v>
      </c>
      <c r="N3285" s="11">
        <f t="shared" si="51"/>
        <v>10</v>
      </c>
    </row>
    <row r="3286" spans="1:14" ht="16" x14ac:dyDescent="0.2">
      <c r="A3286" s="3">
        <v>44074</v>
      </c>
      <c r="B3286" s="1" t="s">
        <v>3453</v>
      </c>
      <c r="C3286" t="s">
        <v>276</v>
      </c>
      <c r="D3286">
        <v>18</v>
      </c>
      <c r="E3286">
        <v>57</v>
      </c>
      <c r="F3286">
        <v>19</v>
      </c>
      <c r="G3286">
        <v>1026</v>
      </c>
      <c r="H3286" s="4">
        <v>342</v>
      </c>
      <c r="I3286" s="4">
        <v>684</v>
      </c>
      <c r="J3286" t="s">
        <v>691</v>
      </c>
      <c r="K3286" t="s">
        <v>33</v>
      </c>
      <c r="L3286" s="4">
        <v>10.248947386022252</v>
      </c>
      <c r="M3286" s="1" t="s">
        <v>34</v>
      </c>
      <c r="N3286" s="11">
        <f t="shared" si="51"/>
        <v>1</v>
      </c>
    </row>
    <row r="3287" spans="1:14" ht="16" x14ac:dyDescent="0.2">
      <c r="A3287" s="3">
        <v>44075</v>
      </c>
      <c r="B3287" s="1" t="s">
        <v>3454</v>
      </c>
      <c r="C3287" t="s">
        <v>583</v>
      </c>
      <c r="D3287">
        <v>6</v>
      </c>
      <c r="E3287">
        <v>57</v>
      </c>
      <c r="F3287">
        <v>19</v>
      </c>
      <c r="G3287">
        <v>342</v>
      </c>
      <c r="H3287" s="4">
        <v>114</v>
      </c>
      <c r="I3287" s="4">
        <v>228</v>
      </c>
      <c r="J3287" t="s">
        <v>116</v>
      </c>
      <c r="K3287" t="s">
        <v>64</v>
      </c>
      <c r="L3287" s="4">
        <v>14.697745043716761</v>
      </c>
      <c r="M3287" s="1" t="s">
        <v>34</v>
      </c>
      <c r="N3287" s="11">
        <f t="shared" si="51"/>
        <v>1</v>
      </c>
    </row>
    <row r="3288" spans="1:14" ht="16" x14ac:dyDescent="0.2">
      <c r="A3288" s="3">
        <v>44076</v>
      </c>
      <c r="B3288" s="1" t="s">
        <v>3455</v>
      </c>
      <c r="C3288" t="s">
        <v>72</v>
      </c>
      <c r="D3288">
        <v>1</v>
      </c>
      <c r="E3288">
        <v>352</v>
      </c>
      <c r="F3288">
        <v>88</v>
      </c>
      <c r="G3288">
        <v>352</v>
      </c>
      <c r="H3288" s="4">
        <v>88</v>
      </c>
      <c r="I3288" s="4">
        <v>264</v>
      </c>
      <c r="J3288" t="s">
        <v>85</v>
      </c>
      <c r="K3288" t="s">
        <v>86</v>
      </c>
      <c r="L3288" s="4">
        <v>11.631646244583138</v>
      </c>
      <c r="M3288" s="1" t="s">
        <v>34</v>
      </c>
      <c r="N3288" s="11">
        <f t="shared" si="51"/>
        <v>1</v>
      </c>
    </row>
    <row r="3289" spans="1:14" ht="16" x14ac:dyDescent="0.2">
      <c r="A3289" s="3">
        <v>44077</v>
      </c>
      <c r="B3289" s="1" t="s">
        <v>3456</v>
      </c>
      <c r="C3289" t="s">
        <v>157</v>
      </c>
      <c r="D3289">
        <v>16</v>
      </c>
      <c r="E3289">
        <v>50</v>
      </c>
      <c r="F3289">
        <v>25</v>
      </c>
      <c r="G3289">
        <v>800</v>
      </c>
      <c r="H3289" s="4">
        <v>400</v>
      </c>
      <c r="I3289" s="4">
        <v>400</v>
      </c>
      <c r="J3289" t="s">
        <v>851</v>
      </c>
      <c r="K3289" t="s">
        <v>49</v>
      </c>
      <c r="L3289" s="4">
        <v>9.5176115401380308</v>
      </c>
      <c r="M3289" s="1" t="s">
        <v>34</v>
      </c>
      <c r="N3289" s="11">
        <f t="shared" si="51"/>
        <v>1</v>
      </c>
    </row>
    <row r="3290" spans="1:14" ht="16" x14ac:dyDescent="0.2">
      <c r="A3290" s="3">
        <v>44078</v>
      </c>
      <c r="B3290" s="1" t="s">
        <v>3457</v>
      </c>
      <c r="C3290" t="s">
        <v>370</v>
      </c>
      <c r="D3290">
        <v>8</v>
      </c>
      <c r="E3290">
        <v>144</v>
      </c>
      <c r="F3290">
        <v>36</v>
      </c>
      <c r="G3290">
        <v>1152</v>
      </c>
      <c r="H3290" s="4">
        <v>288</v>
      </c>
      <c r="I3290" s="4">
        <v>864</v>
      </c>
      <c r="J3290" t="s">
        <v>613</v>
      </c>
      <c r="K3290" t="s">
        <v>86</v>
      </c>
      <c r="L3290" s="4">
        <v>8.8169309002713945</v>
      </c>
      <c r="M3290" s="1" t="s">
        <v>38</v>
      </c>
      <c r="N3290" s="11">
        <f t="shared" si="51"/>
        <v>5</v>
      </c>
    </row>
    <row r="3291" spans="1:14" ht="16" x14ac:dyDescent="0.2">
      <c r="A3291" s="3">
        <v>44079</v>
      </c>
      <c r="B3291" s="1" t="s">
        <v>3458</v>
      </c>
      <c r="C3291" t="s">
        <v>487</v>
      </c>
      <c r="D3291">
        <v>15</v>
      </c>
      <c r="E3291">
        <v>264</v>
      </c>
      <c r="F3291">
        <v>88</v>
      </c>
      <c r="G3291">
        <v>3960</v>
      </c>
      <c r="H3291" s="4">
        <v>1320</v>
      </c>
      <c r="I3291" s="4">
        <v>2640</v>
      </c>
      <c r="J3291" t="s">
        <v>279</v>
      </c>
      <c r="K3291" t="s">
        <v>64</v>
      </c>
      <c r="L3291" s="4">
        <v>11.504886852416154</v>
      </c>
      <c r="M3291" s="1" t="s">
        <v>34</v>
      </c>
      <c r="N3291" s="11">
        <f t="shared" si="51"/>
        <v>1</v>
      </c>
    </row>
    <row r="3292" spans="1:14" ht="16" x14ac:dyDescent="0.2">
      <c r="A3292" s="3">
        <v>44080</v>
      </c>
      <c r="B3292" s="1" t="s">
        <v>3459</v>
      </c>
      <c r="C3292" t="s">
        <v>163</v>
      </c>
      <c r="D3292">
        <v>20</v>
      </c>
      <c r="E3292">
        <v>108</v>
      </c>
      <c r="F3292">
        <v>36</v>
      </c>
      <c r="G3292">
        <v>2160</v>
      </c>
      <c r="H3292" s="4">
        <v>720</v>
      </c>
      <c r="I3292" s="4">
        <v>1440</v>
      </c>
      <c r="J3292" t="s">
        <v>315</v>
      </c>
      <c r="K3292" t="s">
        <v>42</v>
      </c>
      <c r="L3292" s="4">
        <v>10.966283117837653</v>
      </c>
      <c r="M3292" s="1" t="s">
        <v>38</v>
      </c>
      <c r="N3292" s="11">
        <f t="shared" si="51"/>
        <v>5</v>
      </c>
    </row>
    <row r="3293" spans="1:14" ht="16" x14ac:dyDescent="0.2">
      <c r="A3293" s="3">
        <v>44081</v>
      </c>
      <c r="B3293" s="1" t="s">
        <v>3460</v>
      </c>
      <c r="C3293" t="s">
        <v>386</v>
      </c>
      <c r="D3293">
        <v>12</v>
      </c>
      <c r="E3293">
        <v>110</v>
      </c>
      <c r="F3293">
        <v>55</v>
      </c>
      <c r="G3293">
        <v>1320</v>
      </c>
      <c r="H3293" s="4">
        <v>660</v>
      </c>
      <c r="I3293" s="4">
        <v>660</v>
      </c>
      <c r="J3293" t="s">
        <v>589</v>
      </c>
      <c r="K3293" t="s">
        <v>58</v>
      </c>
      <c r="L3293" s="4">
        <v>12.207242573430314</v>
      </c>
      <c r="M3293" s="1" t="s">
        <v>38</v>
      </c>
      <c r="N3293" s="11">
        <f t="shared" si="51"/>
        <v>5</v>
      </c>
    </row>
    <row r="3294" spans="1:14" ht="16" x14ac:dyDescent="0.2">
      <c r="A3294" s="3">
        <v>44082</v>
      </c>
      <c r="B3294" s="1" t="s">
        <v>3461</v>
      </c>
      <c r="C3294" t="s">
        <v>72</v>
      </c>
      <c r="D3294">
        <v>8</v>
      </c>
      <c r="E3294">
        <v>352</v>
      </c>
      <c r="F3294">
        <v>88</v>
      </c>
      <c r="G3294">
        <v>2816</v>
      </c>
      <c r="H3294" s="4">
        <v>704</v>
      </c>
      <c r="I3294" s="4">
        <v>2112</v>
      </c>
      <c r="J3294" t="s">
        <v>754</v>
      </c>
      <c r="K3294" t="s">
        <v>42</v>
      </c>
      <c r="L3294" s="4">
        <v>14.376986923104601</v>
      </c>
      <c r="M3294" s="1" t="s">
        <v>54</v>
      </c>
      <c r="N3294" s="11">
        <f t="shared" si="51"/>
        <v>10</v>
      </c>
    </row>
    <row r="3295" spans="1:14" ht="16" x14ac:dyDescent="0.2">
      <c r="A3295" s="3">
        <v>44083</v>
      </c>
      <c r="B3295" s="1" t="s">
        <v>3462</v>
      </c>
      <c r="C3295" t="s">
        <v>136</v>
      </c>
      <c r="D3295">
        <v>15</v>
      </c>
      <c r="E3295">
        <v>154</v>
      </c>
      <c r="F3295">
        <v>77</v>
      </c>
      <c r="G3295">
        <v>2310</v>
      </c>
      <c r="H3295" s="4">
        <v>1155</v>
      </c>
      <c r="I3295" s="4">
        <v>1155</v>
      </c>
      <c r="J3295" t="s">
        <v>482</v>
      </c>
      <c r="K3295" t="s">
        <v>42</v>
      </c>
      <c r="L3295" s="4">
        <v>11.311040680082275</v>
      </c>
      <c r="M3295" s="1" t="s">
        <v>38</v>
      </c>
      <c r="N3295" s="11">
        <f t="shared" si="51"/>
        <v>5</v>
      </c>
    </row>
    <row r="3296" spans="1:14" ht="16" x14ac:dyDescent="0.2">
      <c r="A3296" s="3">
        <v>44084</v>
      </c>
      <c r="B3296" s="1" t="s">
        <v>3463</v>
      </c>
      <c r="C3296" t="s">
        <v>171</v>
      </c>
      <c r="D3296">
        <v>2</v>
      </c>
      <c r="E3296">
        <v>225</v>
      </c>
      <c r="F3296">
        <v>75</v>
      </c>
      <c r="G3296">
        <v>450</v>
      </c>
      <c r="H3296" s="4">
        <v>150</v>
      </c>
      <c r="I3296" s="4">
        <v>300</v>
      </c>
      <c r="J3296" t="s">
        <v>363</v>
      </c>
      <c r="K3296" t="s">
        <v>64</v>
      </c>
      <c r="L3296" s="4">
        <v>14.690198582365463</v>
      </c>
      <c r="M3296" s="1" t="s">
        <v>34</v>
      </c>
      <c r="N3296" s="11">
        <f t="shared" si="51"/>
        <v>1</v>
      </c>
    </row>
    <row r="3297" spans="1:14" ht="16" x14ac:dyDescent="0.2">
      <c r="A3297" s="3">
        <v>44085</v>
      </c>
      <c r="B3297" s="1" t="s">
        <v>3464</v>
      </c>
      <c r="C3297" t="s">
        <v>561</v>
      </c>
      <c r="D3297">
        <v>1</v>
      </c>
      <c r="E3297">
        <v>384</v>
      </c>
      <c r="F3297">
        <v>96</v>
      </c>
      <c r="G3297">
        <v>384</v>
      </c>
      <c r="H3297" s="4">
        <v>96</v>
      </c>
      <c r="I3297" s="4">
        <v>288</v>
      </c>
      <c r="J3297" t="s">
        <v>485</v>
      </c>
      <c r="K3297" t="s">
        <v>49</v>
      </c>
      <c r="L3297" s="4">
        <v>12.889576147248359</v>
      </c>
      <c r="M3297" s="1" t="s">
        <v>54</v>
      </c>
      <c r="N3297" s="11">
        <f t="shared" si="51"/>
        <v>10</v>
      </c>
    </row>
    <row r="3298" spans="1:14" ht="16" x14ac:dyDescent="0.2">
      <c r="A3298" s="3">
        <v>44086</v>
      </c>
      <c r="B3298" s="1" t="s">
        <v>3465</v>
      </c>
      <c r="C3298" t="s">
        <v>115</v>
      </c>
      <c r="D3298">
        <v>16</v>
      </c>
      <c r="E3298">
        <v>81</v>
      </c>
      <c r="F3298">
        <v>27</v>
      </c>
      <c r="G3298">
        <v>1296</v>
      </c>
      <c r="H3298" s="4">
        <v>432</v>
      </c>
      <c r="I3298" s="4">
        <v>864</v>
      </c>
      <c r="J3298" t="s">
        <v>962</v>
      </c>
      <c r="K3298" t="s">
        <v>86</v>
      </c>
      <c r="L3298" s="4">
        <v>10.968401424454578</v>
      </c>
      <c r="M3298" s="1" t="s">
        <v>38</v>
      </c>
      <c r="N3298" s="11">
        <f t="shared" si="51"/>
        <v>5</v>
      </c>
    </row>
    <row r="3299" spans="1:14" ht="16" x14ac:dyDescent="0.2">
      <c r="A3299" s="3">
        <v>44087</v>
      </c>
      <c r="B3299" s="1" t="s">
        <v>3466</v>
      </c>
      <c r="C3299" t="s">
        <v>227</v>
      </c>
      <c r="D3299">
        <v>12</v>
      </c>
      <c r="E3299">
        <v>144</v>
      </c>
      <c r="F3299">
        <v>48</v>
      </c>
      <c r="G3299">
        <v>1728</v>
      </c>
      <c r="H3299" s="4">
        <v>576</v>
      </c>
      <c r="I3299" s="4">
        <v>1152</v>
      </c>
      <c r="J3299" t="s">
        <v>517</v>
      </c>
      <c r="K3299" t="s">
        <v>86</v>
      </c>
      <c r="L3299" s="4">
        <v>13.57003172959007</v>
      </c>
      <c r="M3299" s="1" t="s">
        <v>38</v>
      </c>
      <c r="N3299" s="11">
        <f t="shared" si="51"/>
        <v>5</v>
      </c>
    </row>
    <row r="3300" spans="1:14" ht="16" x14ac:dyDescent="0.2">
      <c r="A3300" s="3">
        <v>44088</v>
      </c>
      <c r="B3300" s="1" t="s">
        <v>3467</v>
      </c>
      <c r="C3300" t="s">
        <v>125</v>
      </c>
      <c r="D3300">
        <v>1</v>
      </c>
      <c r="E3300">
        <v>176</v>
      </c>
      <c r="F3300">
        <v>88</v>
      </c>
      <c r="G3300">
        <v>176</v>
      </c>
      <c r="H3300" s="4">
        <v>88</v>
      </c>
      <c r="I3300" s="4">
        <v>88</v>
      </c>
      <c r="J3300" t="s">
        <v>366</v>
      </c>
      <c r="K3300" t="s">
        <v>64</v>
      </c>
      <c r="L3300" s="4">
        <v>12.342715162719054</v>
      </c>
      <c r="M3300" s="1" t="s">
        <v>38</v>
      </c>
      <c r="N3300" s="11">
        <f t="shared" si="51"/>
        <v>5</v>
      </c>
    </row>
    <row r="3301" spans="1:14" ht="16" x14ac:dyDescent="0.2">
      <c r="A3301" s="3">
        <v>44089</v>
      </c>
      <c r="B3301" s="1" t="s">
        <v>3468</v>
      </c>
      <c r="C3301" t="s">
        <v>193</v>
      </c>
      <c r="D3301">
        <v>5</v>
      </c>
      <c r="E3301">
        <v>348</v>
      </c>
      <c r="F3301">
        <v>87</v>
      </c>
      <c r="G3301">
        <v>1740</v>
      </c>
      <c r="H3301" s="4">
        <v>435</v>
      </c>
      <c r="I3301" s="4">
        <v>1305</v>
      </c>
      <c r="J3301" t="s">
        <v>426</v>
      </c>
      <c r="K3301" t="s">
        <v>53</v>
      </c>
      <c r="L3301" s="4">
        <v>13.923194761258239</v>
      </c>
      <c r="M3301" s="1" t="s">
        <v>54</v>
      </c>
      <c r="N3301" s="11">
        <f t="shared" si="51"/>
        <v>10</v>
      </c>
    </row>
    <row r="3302" spans="1:14" ht="16" x14ac:dyDescent="0.2">
      <c r="A3302" s="3">
        <v>44090</v>
      </c>
      <c r="B3302" s="1" t="s">
        <v>3469</v>
      </c>
      <c r="C3302" t="s">
        <v>75</v>
      </c>
      <c r="D3302">
        <v>16</v>
      </c>
      <c r="E3302">
        <v>76</v>
      </c>
      <c r="F3302">
        <v>19</v>
      </c>
      <c r="G3302">
        <v>1216</v>
      </c>
      <c r="H3302" s="4">
        <v>304</v>
      </c>
      <c r="I3302" s="4">
        <v>912</v>
      </c>
      <c r="J3302" t="s">
        <v>345</v>
      </c>
      <c r="K3302" t="s">
        <v>49</v>
      </c>
      <c r="L3302" s="4">
        <v>14.687857652112591</v>
      </c>
      <c r="M3302" s="1" t="s">
        <v>38</v>
      </c>
      <c r="N3302" s="11">
        <f t="shared" si="51"/>
        <v>5</v>
      </c>
    </row>
    <row r="3303" spans="1:14" ht="16" x14ac:dyDescent="0.2">
      <c r="A3303" s="3">
        <v>44091</v>
      </c>
      <c r="B3303" s="1" t="s">
        <v>3470</v>
      </c>
      <c r="C3303" t="s">
        <v>248</v>
      </c>
      <c r="D3303">
        <v>16</v>
      </c>
      <c r="E3303">
        <v>132</v>
      </c>
      <c r="F3303">
        <v>44</v>
      </c>
      <c r="G3303">
        <v>2112</v>
      </c>
      <c r="H3303" s="4">
        <v>704</v>
      </c>
      <c r="I3303" s="4">
        <v>1408</v>
      </c>
      <c r="J3303" t="s">
        <v>517</v>
      </c>
      <c r="K3303" t="s">
        <v>86</v>
      </c>
      <c r="L3303" s="4">
        <v>13.57003172959007</v>
      </c>
      <c r="M3303" s="1" t="s">
        <v>54</v>
      </c>
      <c r="N3303" s="11">
        <f t="shared" si="51"/>
        <v>10</v>
      </c>
    </row>
    <row r="3304" spans="1:14" ht="16" x14ac:dyDescent="0.2">
      <c r="A3304" s="3">
        <v>44092</v>
      </c>
      <c r="B3304" s="1" t="s">
        <v>3199</v>
      </c>
      <c r="C3304" t="s">
        <v>151</v>
      </c>
      <c r="D3304">
        <v>14</v>
      </c>
      <c r="E3304">
        <v>153</v>
      </c>
      <c r="F3304">
        <v>51</v>
      </c>
      <c r="G3304">
        <v>2142</v>
      </c>
      <c r="H3304" s="4">
        <v>714</v>
      </c>
      <c r="I3304" s="4">
        <v>1428</v>
      </c>
      <c r="J3304" t="s">
        <v>609</v>
      </c>
      <c r="K3304" t="s">
        <v>64</v>
      </c>
      <c r="L3304" s="4">
        <v>12.564315242820944</v>
      </c>
      <c r="M3304" s="1" t="s">
        <v>54</v>
      </c>
      <c r="N3304" s="11">
        <f t="shared" si="51"/>
        <v>10</v>
      </c>
    </row>
    <row r="3305" spans="1:14" ht="16" x14ac:dyDescent="0.2">
      <c r="A3305" s="3">
        <v>44093</v>
      </c>
      <c r="B3305" s="1" t="s">
        <v>1397</v>
      </c>
      <c r="C3305" t="s">
        <v>136</v>
      </c>
      <c r="D3305">
        <v>17</v>
      </c>
      <c r="E3305">
        <v>154</v>
      </c>
      <c r="F3305">
        <v>77</v>
      </c>
      <c r="G3305">
        <v>2618</v>
      </c>
      <c r="H3305" s="4">
        <v>1309</v>
      </c>
      <c r="I3305" s="4">
        <v>1309</v>
      </c>
      <c r="J3305" t="s">
        <v>143</v>
      </c>
      <c r="K3305" t="s">
        <v>64</v>
      </c>
      <c r="L3305" s="4">
        <v>11.406233913305266</v>
      </c>
      <c r="M3305" s="1" t="s">
        <v>54</v>
      </c>
      <c r="N3305" s="11">
        <f t="shared" si="51"/>
        <v>10</v>
      </c>
    </row>
    <row r="3306" spans="1:14" ht="16" x14ac:dyDescent="0.2">
      <c r="A3306" s="3">
        <v>44094</v>
      </c>
      <c r="B3306" s="1" t="s">
        <v>3471</v>
      </c>
      <c r="C3306" t="s">
        <v>304</v>
      </c>
      <c r="D3306">
        <v>4</v>
      </c>
      <c r="E3306">
        <v>116</v>
      </c>
      <c r="F3306">
        <v>29</v>
      </c>
      <c r="G3306">
        <v>464</v>
      </c>
      <c r="H3306" s="4">
        <v>116</v>
      </c>
      <c r="I3306" s="4">
        <v>348</v>
      </c>
      <c r="J3306" t="s">
        <v>213</v>
      </c>
      <c r="K3306" t="s">
        <v>58</v>
      </c>
      <c r="L3306" s="4">
        <v>10.980884286450312</v>
      </c>
      <c r="M3306" s="1" t="s">
        <v>38</v>
      </c>
      <c r="N3306" s="11">
        <f t="shared" si="51"/>
        <v>5</v>
      </c>
    </row>
    <row r="3307" spans="1:14" ht="16" x14ac:dyDescent="0.2">
      <c r="A3307" s="3">
        <v>44095</v>
      </c>
      <c r="B3307" s="1" t="s">
        <v>1876</v>
      </c>
      <c r="C3307" t="s">
        <v>248</v>
      </c>
      <c r="D3307">
        <v>6</v>
      </c>
      <c r="E3307">
        <v>132</v>
      </c>
      <c r="F3307">
        <v>44</v>
      </c>
      <c r="G3307">
        <v>792</v>
      </c>
      <c r="H3307" s="4">
        <v>264</v>
      </c>
      <c r="I3307" s="4">
        <v>528</v>
      </c>
      <c r="J3307" t="s">
        <v>716</v>
      </c>
      <c r="K3307" t="s">
        <v>33</v>
      </c>
      <c r="L3307" s="4">
        <v>10.411813357023924</v>
      </c>
      <c r="M3307" s="1" t="s">
        <v>38</v>
      </c>
      <c r="N3307" s="11">
        <f t="shared" si="51"/>
        <v>5</v>
      </c>
    </row>
    <row r="3308" spans="1:14" ht="16" x14ac:dyDescent="0.2">
      <c r="A3308" s="3">
        <v>44096</v>
      </c>
      <c r="B3308" s="1" t="s">
        <v>3472</v>
      </c>
      <c r="C3308" t="s">
        <v>171</v>
      </c>
      <c r="D3308">
        <v>12</v>
      </c>
      <c r="E3308">
        <v>225</v>
      </c>
      <c r="F3308">
        <v>75</v>
      </c>
      <c r="G3308">
        <v>2700</v>
      </c>
      <c r="H3308" s="4">
        <v>900</v>
      </c>
      <c r="I3308" s="4">
        <v>1800</v>
      </c>
      <c r="J3308" t="s">
        <v>284</v>
      </c>
      <c r="K3308" t="s">
        <v>58</v>
      </c>
      <c r="L3308" s="4">
        <v>10.570474361325047</v>
      </c>
      <c r="M3308" s="1" t="s">
        <v>38</v>
      </c>
      <c r="N3308" s="11">
        <f t="shared" si="51"/>
        <v>5</v>
      </c>
    </row>
    <row r="3309" spans="1:14" ht="16" x14ac:dyDescent="0.2">
      <c r="A3309" s="3">
        <v>44097</v>
      </c>
      <c r="B3309" s="1" t="s">
        <v>3335</v>
      </c>
      <c r="C3309" t="s">
        <v>151</v>
      </c>
      <c r="D3309">
        <v>10</v>
      </c>
      <c r="E3309">
        <v>153</v>
      </c>
      <c r="F3309">
        <v>51</v>
      </c>
      <c r="G3309">
        <v>1530</v>
      </c>
      <c r="H3309" s="4">
        <v>510</v>
      </c>
      <c r="I3309" s="4">
        <v>1020</v>
      </c>
      <c r="J3309" t="s">
        <v>1434</v>
      </c>
      <c r="K3309" t="s">
        <v>86</v>
      </c>
      <c r="L3309" s="4">
        <v>10.826646539963521</v>
      </c>
      <c r="M3309" s="1" t="s">
        <v>38</v>
      </c>
      <c r="N3309" s="11">
        <f t="shared" si="51"/>
        <v>5</v>
      </c>
    </row>
    <row r="3310" spans="1:14" ht="16" x14ac:dyDescent="0.2">
      <c r="A3310" s="3">
        <v>44098</v>
      </c>
      <c r="B3310" s="1" t="s">
        <v>3473</v>
      </c>
      <c r="C3310" t="s">
        <v>583</v>
      </c>
      <c r="D3310">
        <v>17</v>
      </c>
      <c r="E3310">
        <v>57</v>
      </c>
      <c r="F3310">
        <v>19</v>
      </c>
      <c r="G3310">
        <v>969</v>
      </c>
      <c r="H3310" s="4">
        <v>323</v>
      </c>
      <c r="I3310" s="4">
        <v>646</v>
      </c>
      <c r="J3310" t="s">
        <v>387</v>
      </c>
      <c r="K3310" t="s">
        <v>86</v>
      </c>
      <c r="L3310" s="4">
        <v>15.60430546146185</v>
      </c>
      <c r="M3310" s="1" t="s">
        <v>54</v>
      </c>
      <c r="N3310" s="11">
        <f t="shared" si="51"/>
        <v>10</v>
      </c>
    </row>
    <row r="3311" spans="1:14" ht="16" x14ac:dyDescent="0.2">
      <c r="A3311" s="3">
        <v>44099</v>
      </c>
      <c r="B3311" s="1" t="s">
        <v>3474</v>
      </c>
      <c r="C3311" t="s">
        <v>365</v>
      </c>
      <c r="D3311">
        <v>19</v>
      </c>
      <c r="E3311">
        <v>255</v>
      </c>
      <c r="F3311">
        <v>85</v>
      </c>
      <c r="G3311">
        <v>4845</v>
      </c>
      <c r="H3311" s="4">
        <v>1615</v>
      </c>
      <c r="I3311" s="4">
        <v>3230</v>
      </c>
      <c r="J3311" t="s">
        <v>387</v>
      </c>
      <c r="K3311" t="s">
        <v>86</v>
      </c>
      <c r="L3311" s="4">
        <v>15.60430546146185</v>
      </c>
      <c r="M3311" s="1" t="s">
        <v>34</v>
      </c>
      <c r="N3311" s="11">
        <f t="shared" si="51"/>
        <v>1</v>
      </c>
    </row>
    <row r="3312" spans="1:14" ht="16" x14ac:dyDescent="0.2">
      <c r="A3312" s="3">
        <v>44100</v>
      </c>
      <c r="B3312" s="1" t="s">
        <v>3475</v>
      </c>
      <c r="C3312" t="s">
        <v>56</v>
      </c>
      <c r="D3312">
        <v>17</v>
      </c>
      <c r="E3312">
        <v>38</v>
      </c>
      <c r="F3312">
        <v>19</v>
      </c>
      <c r="G3312">
        <v>646</v>
      </c>
      <c r="H3312" s="4">
        <v>323</v>
      </c>
      <c r="I3312" s="4">
        <v>323</v>
      </c>
      <c r="J3312" t="s">
        <v>262</v>
      </c>
      <c r="K3312" t="s">
        <v>86</v>
      </c>
      <c r="L3312" s="4">
        <v>12.796588406005421</v>
      </c>
      <c r="M3312" s="1" t="s">
        <v>54</v>
      </c>
      <c r="N3312" s="11">
        <f t="shared" si="51"/>
        <v>10</v>
      </c>
    </row>
    <row r="3313" spans="1:14" ht="16" x14ac:dyDescent="0.2">
      <c r="A3313" s="3">
        <v>44101</v>
      </c>
      <c r="B3313" s="1" t="s">
        <v>3476</v>
      </c>
      <c r="C3313" t="s">
        <v>178</v>
      </c>
      <c r="D3313">
        <v>8</v>
      </c>
      <c r="E3313">
        <v>189</v>
      </c>
      <c r="F3313">
        <v>63</v>
      </c>
      <c r="G3313">
        <v>1512</v>
      </c>
      <c r="H3313" s="4">
        <v>504</v>
      </c>
      <c r="I3313" s="4">
        <v>1008</v>
      </c>
      <c r="J3313" t="s">
        <v>1157</v>
      </c>
      <c r="K3313" t="s">
        <v>42</v>
      </c>
      <c r="L3313" s="4">
        <v>10.517826055804084</v>
      </c>
      <c r="M3313" s="1" t="s">
        <v>38</v>
      </c>
      <c r="N3313" s="11">
        <f t="shared" si="51"/>
        <v>5</v>
      </c>
    </row>
    <row r="3314" spans="1:14" ht="16" x14ac:dyDescent="0.2">
      <c r="A3314" s="3">
        <v>44102</v>
      </c>
      <c r="B3314" s="1" t="s">
        <v>3442</v>
      </c>
      <c r="C3314" t="s">
        <v>317</v>
      </c>
      <c r="D3314">
        <v>13</v>
      </c>
      <c r="E3314">
        <v>352</v>
      </c>
      <c r="F3314">
        <v>88</v>
      </c>
      <c r="G3314">
        <v>4576</v>
      </c>
      <c r="H3314" s="4">
        <v>1144</v>
      </c>
      <c r="I3314" s="4">
        <v>3432</v>
      </c>
      <c r="J3314" t="s">
        <v>650</v>
      </c>
      <c r="K3314" t="s">
        <v>86</v>
      </c>
      <c r="L3314" s="4">
        <v>12.679725647708608</v>
      </c>
      <c r="M3314" s="1" t="s">
        <v>34</v>
      </c>
      <c r="N3314" s="11">
        <f t="shared" si="51"/>
        <v>1</v>
      </c>
    </row>
    <row r="3315" spans="1:14" ht="16" x14ac:dyDescent="0.2">
      <c r="A3315" s="3">
        <v>44103</v>
      </c>
      <c r="B3315" s="1" t="s">
        <v>3477</v>
      </c>
      <c r="C3315" t="s">
        <v>252</v>
      </c>
      <c r="D3315">
        <v>16</v>
      </c>
      <c r="E3315">
        <v>252</v>
      </c>
      <c r="F3315">
        <v>63</v>
      </c>
      <c r="G3315">
        <v>4032</v>
      </c>
      <c r="H3315" s="4">
        <v>1008</v>
      </c>
      <c r="I3315" s="4">
        <v>3024</v>
      </c>
      <c r="J3315" t="s">
        <v>613</v>
      </c>
      <c r="K3315" t="s">
        <v>86</v>
      </c>
      <c r="L3315" s="4">
        <v>8.8169309002713945</v>
      </c>
      <c r="M3315" s="1" t="s">
        <v>38</v>
      </c>
      <c r="N3315" s="11">
        <f t="shared" si="51"/>
        <v>5</v>
      </c>
    </row>
    <row r="3316" spans="1:14" ht="16" x14ac:dyDescent="0.2">
      <c r="A3316" s="3">
        <v>44104</v>
      </c>
      <c r="B3316" s="1" t="s">
        <v>3478</v>
      </c>
      <c r="C3316" t="s">
        <v>561</v>
      </c>
      <c r="D3316">
        <v>18</v>
      </c>
      <c r="E3316">
        <v>384</v>
      </c>
      <c r="F3316">
        <v>96</v>
      </c>
      <c r="G3316">
        <v>6912</v>
      </c>
      <c r="H3316" s="4">
        <v>1728</v>
      </c>
      <c r="I3316" s="4">
        <v>5184</v>
      </c>
      <c r="J3316" t="s">
        <v>1085</v>
      </c>
      <c r="K3316" t="s">
        <v>49</v>
      </c>
      <c r="L3316" s="4">
        <v>10.818241047231139</v>
      </c>
      <c r="M3316" s="1" t="s">
        <v>38</v>
      </c>
      <c r="N3316" s="11">
        <f t="shared" si="51"/>
        <v>5</v>
      </c>
    </row>
    <row r="3317" spans="1:14" ht="16" x14ac:dyDescent="0.2">
      <c r="A3317" s="3">
        <v>44105</v>
      </c>
      <c r="B3317" s="1" t="s">
        <v>3479</v>
      </c>
      <c r="C3317" t="s">
        <v>188</v>
      </c>
      <c r="D3317">
        <v>14</v>
      </c>
      <c r="E3317">
        <v>368</v>
      </c>
      <c r="F3317">
        <v>92</v>
      </c>
      <c r="G3317">
        <v>5152</v>
      </c>
      <c r="H3317" s="4">
        <v>1288</v>
      </c>
      <c r="I3317" s="4">
        <v>3864</v>
      </c>
      <c r="J3317" t="s">
        <v>806</v>
      </c>
      <c r="K3317" t="s">
        <v>86</v>
      </c>
      <c r="L3317" s="4">
        <v>11.927799225928501</v>
      </c>
      <c r="M3317" s="1" t="s">
        <v>34</v>
      </c>
      <c r="N3317" s="11">
        <f t="shared" si="51"/>
        <v>1</v>
      </c>
    </row>
    <row r="3318" spans="1:14" ht="16" x14ac:dyDescent="0.2">
      <c r="A3318" s="3">
        <v>44106</v>
      </c>
      <c r="B3318" s="1" t="s">
        <v>3480</v>
      </c>
      <c r="C3318" t="s">
        <v>88</v>
      </c>
      <c r="D3318">
        <v>20</v>
      </c>
      <c r="E3318">
        <v>210</v>
      </c>
      <c r="F3318">
        <v>70</v>
      </c>
      <c r="G3318">
        <v>4200</v>
      </c>
      <c r="H3318" s="4">
        <v>1400</v>
      </c>
      <c r="I3318" s="4">
        <v>2800</v>
      </c>
      <c r="J3318" t="s">
        <v>914</v>
      </c>
      <c r="K3318" t="s">
        <v>42</v>
      </c>
      <c r="L3318" s="4">
        <v>13.853438793083487</v>
      </c>
      <c r="M3318" s="1" t="s">
        <v>38</v>
      </c>
      <c r="N3318" s="11">
        <f t="shared" si="51"/>
        <v>5</v>
      </c>
    </row>
    <row r="3319" spans="1:14" ht="16" x14ac:dyDescent="0.2">
      <c r="A3319" s="3">
        <v>44107</v>
      </c>
      <c r="B3319" s="1" t="s">
        <v>3481</v>
      </c>
      <c r="C3319" t="s">
        <v>592</v>
      </c>
      <c r="D3319">
        <v>12</v>
      </c>
      <c r="E3319">
        <v>312</v>
      </c>
      <c r="F3319">
        <v>78</v>
      </c>
      <c r="G3319">
        <v>3744</v>
      </c>
      <c r="H3319" s="4">
        <v>936</v>
      </c>
      <c r="I3319" s="4">
        <v>2808</v>
      </c>
      <c r="J3319" t="s">
        <v>268</v>
      </c>
      <c r="K3319" t="s">
        <v>49</v>
      </c>
      <c r="L3319" s="4">
        <v>11.756374828790458</v>
      </c>
      <c r="M3319" s="1" t="s">
        <v>34</v>
      </c>
      <c r="N3319" s="11">
        <f t="shared" si="51"/>
        <v>1</v>
      </c>
    </row>
    <row r="3320" spans="1:14" ht="16" x14ac:dyDescent="0.2">
      <c r="A3320" s="3">
        <v>44108</v>
      </c>
      <c r="B3320" s="1" t="s">
        <v>3482</v>
      </c>
      <c r="C3320" t="s">
        <v>178</v>
      </c>
      <c r="D3320">
        <v>19</v>
      </c>
      <c r="E3320">
        <v>189</v>
      </c>
      <c r="F3320">
        <v>63</v>
      </c>
      <c r="G3320">
        <v>3591</v>
      </c>
      <c r="H3320" s="4">
        <v>1197</v>
      </c>
      <c r="I3320" s="4">
        <v>2394</v>
      </c>
      <c r="J3320" t="s">
        <v>877</v>
      </c>
      <c r="K3320" t="s">
        <v>49</v>
      </c>
      <c r="L3320" s="4">
        <v>13.275355576494196</v>
      </c>
      <c r="M3320" s="1" t="s">
        <v>34</v>
      </c>
      <c r="N3320" s="11">
        <f t="shared" si="51"/>
        <v>1</v>
      </c>
    </row>
    <row r="3321" spans="1:14" ht="16" x14ac:dyDescent="0.2">
      <c r="A3321" s="3">
        <v>44109</v>
      </c>
      <c r="B3321" s="1" t="s">
        <v>3483</v>
      </c>
      <c r="C3321" t="s">
        <v>101</v>
      </c>
      <c r="D3321">
        <v>3</v>
      </c>
      <c r="E3321">
        <v>50</v>
      </c>
      <c r="F3321">
        <v>25</v>
      </c>
      <c r="G3321">
        <v>150</v>
      </c>
      <c r="H3321" s="4">
        <v>75</v>
      </c>
      <c r="I3321" s="4">
        <v>75</v>
      </c>
      <c r="J3321" t="s">
        <v>968</v>
      </c>
      <c r="K3321" t="s">
        <v>42</v>
      </c>
      <c r="L3321" s="4">
        <v>11.961761925704458</v>
      </c>
      <c r="M3321" s="1" t="s">
        <v>38</v>
      </c>
      <c r="N3321" s="11">
        <f t="shared" si="51"/>
        <v>5</v>
      </c>
    </row>
    <row r="3322" spans="1:14" ht="16" x14ac:dyDescent="0.2">
      <c r="A3322" s="3">
        <v>44110</v>
      </c>
      <c r="B3322" s="1" t="s">
        <v>3484</v>
      </c>
      <c r="C3322" t="s">
        <v>328</v>
      </c>
      <c r="D3322">
        <v>1</v>
      </c>
      <c r="E3322">
        <v>124</v>
      </c>
      <c r="F3322">
        <v>62</v>
      </c>
      <c r="G3322">
        <v>124</v>
      </c>
      <c r="H3322" s="4">
        <v>62</v>
      </c>
      <c r="I3322" s="4">
        <v>62</v>
      </c>
      <c r="J3322" t="s">
        <v>432</v>
      </c>
      <c r="K3322" t="s">
        <v>49</v>
      </c>
      <c r="L3322" s="4">
        <v>13.857835104514242</v>
      </c>
      <c r="M3322" s="1" t="s">
        <v>34</v>
      </c>
      <c r="N3322" s="11">
        <f t="shared" si="51"/>
        <v>1</v>
      </c>
    </row>
    <row r="3323" spans="1:14" ht="16" x14ac:dyDescent="0.2">
      <c r="A3323" s="3">
        <v>44111</v>
      </c>
      <c r="B3323" s="1" t="s">
        <v>3485</v>
      </c>
      <c r="C3323" t="s">
        <v>88</v>
      </c>
      <c r="D3323">
        <v>18</v>
      </c>
      <c r="E3323">
        <v>210</v>
      </c>
      <c r="F3323">
        <v>70</v>
      </c>
      <c r="G3323">
        <v>3780</v>
      </c>
      <c r="H3323" s="4">
        <v>1260</v>
      </c>
      <c r="I3323" s="4">
        <v>2520</v>
      </c>
      <c r="J3323" t="s">
        <v>382</v>
      </c>
      <c r="K3323" t="s">
        <v>49</v>
      </c>
      <c r="L3323" s="4">
        <v>12.299779975023837</v>
      </c>
      <c r="M3323" s="1" t="s">
        <v>54</v>
      </c>
      <c r="N3323" s="11">
        <f t="shared" si="51"/>
        <v>10</v>
      </c>
    </row>
    <row r="3324" spans="1:14" ht="16" x14ac:dyDescent="0.2">
      <c r="A3324" s="3">
        <v>44112</v>
      </c>
      <c r="B3324" s="1" t="s">
        <v>3486</v>
      </c>
      <c r="C3324" t="s">
        <v>420</v>
      </c>
      <c r="D3324">
        <v>17</v>
      </c>
      <c r="E3324">
        <v>162</v>
      </c>
      <c r="F3324">
        <v>54</v>
      </c>
      <c r="G3324">
        <v>2754</v>
      </c>
      <c r="H3324" s="4">
        <v>918</v>
      </c>
      <c r="I3324" s="4">
        <v>1836</v>
      </c>
      <c r="J3324" t="s">
        <v>164</v>
      </c>
      <c r="K3324" t="s">
        <v>86</v>
      </c>
      <c r="L3324" s="4">
        <v>12.452986387489583</v>
      </c>
      <c r="M3324" s="1" t="s">
        <v>38</v>
      </c>
      <c r="N3324" s="11">
        <f t="shared" si="51"/>
        <v>5</v>
      </c>
    </row>
    <row r="3325" spans="1:14" ht="16" x14ac:dyDescent="0.2">
      <c r="A3325" s="3">
        <v>44113</v>
      </c>
      <c r="B3325" s="1" t="s">
        <v>3487</v>
      </c>
      <c r="C3325" t="s">
        <v>136</v>
      </c>
      <c r="D3325">
        <v>4</v>
      </c>
      <c r="E3325">
        <v>154</v>
      </c>
      <c r="F3325">
        <v>77</v>
      </c>
      <c r="G3325">
        <v>616</v>
      </c>
      <c r="H3325" s="4">
        <v>308</v>
      </c>
      <c r="I3325" s="4">
        <v>308</v>
      </c>
      <c r="J3325" t="s">
        <v>67</v>
      </c>
      <c r="K3325" t="s">
        <v>64</v>
      </c>
      <c r="L3325" s="4">
        <v>15.602184182549776</v>
      </c>
      <c r="M3325" s="1" t="s">
        <v>54</v>
      </c>
      <c r="N3325" s="11">
        <f t="shared" si="51"/>
        <v>10</v>
      </c>
    </row>
    <row r="3326" spans="1:14" ht="16" x14ac:dyDescent="0.2">
      <c r="A3326" s="3">
        <v>44114</v>
      </c>
      <c r="B3326" s="1" t="s">
        <v>3488</v>
      </c>
      <c r="C3326" t="s">
        <v>91</v>
      </c>
      <c r="D3326">
        <v>15</v>
      </c>
      <c r="E3326">
        <v>300</v>
      </c>
      <c r="F3326">
        <v>75</v>
      </c>
      <c r="G3326">
        <v>4500</v>
      </c>
      <c r="H3326" s="4">
        <v>1125</v>
      </c>
      <c r="I3326" s="4">
        <v>3375</v>
      </c>
      <c r="J3326" t="s">
        <v>640</v>
      </c>
      <c r="K3326" t="s">
        <v>53</v>
      </c>
      <c r="L3326" s="4">
        <v>8.7741864171993527</v>
      </c>
      <c r="M3326" s="1" t="s">
        <v>38</v>
      </c>
      <c r="N3326" s="11">
        <f t="shared" si="51"/>
        <v>5</v>
      </c>
    </row>
    <row r="3327" spans="1:14" ht="16" x14ac:dyDescent="0.2">
      <c r="A3327" s="3">
        <v>44115</v>
      </c>
      <c r="B3327" s="1" t="s">
        <v>1062</v>
      </c>
      <c r="C3327" t="s">
        <v>148</v>
      </c>
      <c r="D3327">
        <v>15</v>
      </c>
      <c r="E3327">
        <v>144</v>
      </c>
      <c r="F3327">
        <v>36</v>
      </c>
      <c r="G3327">
        <v>2160</v>
      </c>
      <c r="H3327" s="4">
        <v>540</v>
      </c>
      <c r="I3327" s="4">
        <v>1620</v>
      </c>
      <c r="J3327" t="s">
        <v>52</v>
      </c>
      <c r="K3327" t="s">
        <v>53</v>
      </c>
      <c r="L3327" s="4">
        <v>12.169266722245851</v>
      </c>
      <c r="M3327" s="1" t="s">
        <v>54</v>
      </c>
      <c r="N3327" s="11">
        <f t="shared" si="51"/>
        <v>10</v>
      </c>
    </row>
    <row r="3328" spans="1:14" ht="16" x14ac:dyDescent="0.2">
      <c r="A3328" s="3">
        <v>44116</v>
      </c>
      <c r="B3328" s="1" t="s">
        <v>3489</v>
      </c>
      <c r="C3328" t="s">
        <v>72</v>
      </c>
      <c r="D3328">
        <v>12</v>
      </c>
      <c r="E3328">
        <v>352</v>
      </c>
      <c r="F3328">
        <v>88</v>
      </c>
      <c r="G3328">
        <v>4224</v>
      </c>
      <c r="H3328" s="4">
        <v>1056</v>
      </c>
      <c r="I3328" s="4">
        <v>3168</v>
      </c>
      <c r="J3328" t="s">
        <v>1129</v>
      </c>
      <c r="K3328" t="s">
        <v>33</v>
      </c>
      <c r="L3328" s="4">
        <v>10.585251392347548</v>
      </c>
      <c r="M3328" s="1" t="s">
        <v>54</v>
      </c>
      <c r="N3328" s="11">
        <f t="shared" si="51"/>
        <v>10</v>
      </c>
    </row>
    <row r="3329" spans="1:14" ht="16" x14ac:dyDescent="0.2">
      <c r="A3329" s="3">
        <v>44117</v>
      </c>
      <c r="B3329" s="1" t="s">
        <v>3490</v>
      </c>
      <c r="C3329" t="s">
        <v>240</v>
      </c>
      <c r="D3329">
        <v>2</v>
      </c>
      <c r="E3329">
        <v>108</v>
      </c>
      <c r="F3329">
        <v>54</v>
      </c>
      <c r="G3329">
        <v>216</v>
      </c>
      <c r="H3329" s="4">
        <v>108</v>
      </c>
      <c r="I3329" s="4">
        <v>108</v>
      </c>
      <c r="J3329" t="s">
        <v>587</v>
      </c>
      <c r="K3329" t="s">
        <v>49</v>
      </c>
      <c r="L3329" s="4">
        <v>14.760829371220243</v>
      </c>
      <c r="M3329" s="1" t="s">
        <v>54</v>
      </c>
      <c r="N3329" s="11">
        <f t="shared" si="51"/>
        <v>10</v>
      </c>
    </row>
    <row r="3330" spans="1:14" ht="16" x14ac:dyDescent="0.2">
      <c r="A3330" s="3">
        <v>44118</v>
      </c>
      <c r="B3330" s="1" t="s">
        <v>1609</v>
      </c>
      <c r="C3330" t="s">
        <v>163</v>
      </c>
      <c r="D3330">
        <v>16</v>
      </c>
      <c r="E3330">
        <v>108</v>
      </c>
      <c r="F3330">
        <v>36</v>
      </c>
      <c r="G3330">
        <v>1728</v>
      </c>
      <c r="H3330" s="4">
        <v>576</v>
      </c>
      <c r="I3330" s="4">
        <v>1152</v>
      </c>
      <c r="J3330" t="s">
        <v>281</v>
      </c>
      <c r="K3330" t="s">
        <v>33</v>
      </c>
      <c r="L3330" s="4">
        <v>11.428575823958646</v>
      </c>
      <c r="M3330" s="1" t="s">
        <v>38</v>
      </c>
      <c r="N3330" s="11">
        <f t="shared" si="51"/>
        <v>5</v>
      </c>
    </row>
    <row r="3331" spans="1:14" ht="16" x14ac:dyDescent="0.2">
      <c r="A3331" s="3">
        <v>44119</v>
      </c>
      <c r="B3331" s="1" t="s">
        <v>3491</v>
      </c>
      <c r="C3331" t="s">
        <v>410</v>
      </c>
      <c r="D3331">
        <v>4</v>
      </c>
      <c r="E3331">
        <v>84</v>
      </c>
      <c r="F3331">
        <v>21</v>
      </c>
      <c r="G3331">
        <v>336</v>
      </c>
      <c r="H3331" s="4">
        <v>84</v>
      </c>
      <c r="I3331" s="4">
        <v>252</v>
      </c>
      <c r="J3331" t="s">
        <v>455</v>
      </c>
      <c r="K3331" t="s">
        <v>53</v>
      </c>
      <c r="L3331" s="4">
        <v>13.574227261506472</v>
      </c>
      <c r="M3331" s="1" t="s">
        <v>34</v>
      </c>
      <c r="N3331" s="11">
        <f t="shared" ref="N3331:N3394" si="52">+IF(M3331="Dissatisfied",1,IF(M3331="Satisfied",10,5))</f>
        <v>1</v>
      </c>
    </row>
    <row r="3332" spans="1:14" ht="16" x14ac:dyDescent="0.2">
      <c r="A3332" s="3">
        <v>44120</v>
      </c>
      <c r="B3332" s="1" t="s">
        <v>3492</v>
      </c>
      <c r="C3332" t="s">
        <v>240</v>
      </c>
      <c r="D3332">
        <v>1</v>
      </c>
      <c r="E3332">
        <v>108</v>
      </c>
      <c r="F3332">
        <v>54</v>
      </c>
      <c r="G3332">
        <v>108</v>
      </c>
      <c r="H3332" s="4">
        <v>54</v>
      </c>
      <c r="I3332" s="4">
        <v>54</v>
      </c>
      <c r="J3332" t="s">
        <v>444</v>
      </c>
      <c r="K3332" t="s">
        <v>42</v>
      </c>
      <c r="L3332" s="4">
        <v>15.861056998489449</v>
      </c>
      <c r="M3332" s="1" t="s">
        <v>54</v>
      </c>
      <c r="N3332" s="11">
        <f t="shared" si="52"/>
        <v>10</v>
      </c>
    </row>
    <row r="3333" spans="1:14" ht="16" x14ac:dyDescent="0.2">
      <c r="A3333" s="3">
        <v>44121</v>
      </c>
      <c r="B3333" s="1" t="s">
        <v>3493</v>
      </c>
      <c r="C3333" t="s">
        <v>227</v>
      </c>
      <c r="D3333">
        <v>13</v>
      </c>
      <c r="E3333">
        <v>144</v>
      </c>
      <c r="F3333">
        <v>48</v>
      </c>
      <c r="G3333">
        <v>1872</v>
      </c>
      <c r="H3333" s="4">
        <v>624</v>
      </c>
      <c r="I3333" s="4">
        <v>1248</v>
      </c>
      <c r="J3333" t="s">
        <v>338</v>
      </c>
      <c r="K3333" t="s">
        <v>64</v>
      </c>
      <c r="L3333" s="4">
        <v>10.132922049221957</v>
      </c>
      <c r="M3333" s="1" t="s">
        <v>38</v>
      </c>
      <c r="N3333" s="11">
        <f t="shared" si="52"/>
        <v>5</v>
      </c>
    </row>
    <row r="3334" spans="1:14" ht="16" x14ac:dyDescent="0.2">
      <c r="A3334" s="3">
        <v>44122</v>
      </c>
      <c r="B3334" s="1" t="s">
        <v>2804</v>
      </c>
      <c r="C3334" t="s">
        <v>276</v>
      </c>
      <c r="D3334">
        <v>6</v>
      </c>
      <c r="E3334">
        <v>57</v>
      </c>
      <c r="F3334">
        <v>19</v>
      </c>
      <c r="G3334">
        <v>342</v>
      </c>
      <c r="H3334" s="4">
        <v>114</v>
      </c>
      <c r="I3334" s="4">
        <v>228</v>
      </c>
      <c r="J3334" t="s">
        <v>745</v>
      </c>
      <c r="K3334" t="s">
        <v>33</v>
      </c>
      <c r="L3334" s="4">
        <v>9.1057685343725456</v>
      </c>
      <c r="M3334" s="1" t="s">
        <v>34</v>
      </c>
      <c r="N3334" s="11">
        <f t="shared" si="52"/>
        <v>1</v>
      </c>
    </row>
    <row r="3335" spans="1:14" ht="16" x14ac:dyDescent="0.2">
      <c r="A3335" s="3">
        <v>44123</v>
      </c>
      <c r="B3335" s="1" t="s">
        <v>3494</v>
      </c>
      <c r="C3335" t="s">
        <v>78</v>
      </c>
      <c r="D3335">
        <v>18</v>
      </c>
      <c r="E3335">
        <v>94</v>
      </c>
      <c r="F3335">
        <v>47</v>
      </c>
      <c r="G3335">
        <v>1692</v>
      </c>
      <c r="H3335" s="4">
        <v>846</v>
      </c>
      <c r="I3335" s="4">
        <v>846</v>
      </c>
      <c r="J3335" t="s">
        <v>542</v>
      </c>
      <c r="K3335" t="s">
        <v>58</v>
      </c>
      <c r="L3335" s="4">
        <v>13.929237493388955</v>
      </c>
      <c r="M3335" s="1" t="s">
        <v>54</v>
      </c>
      <c r="N3335" s="11">
        <f t="shared" si="52"/>
        <v>10</v>
      </c>
    </row>
    <row r="3336" spans="1:14" ht="16" x14ac:dyDescent="0.2">
      <c r="A3336" s="3">
        <v>44124</v>
      </c>
      <c r="B3336" s="1" t="s">
        <v>3495</v>
      </c>
      <c r="C3336" t="s">
        <v>473</v>
      </c>
      <c r="D3336">
        <v>20</v>
      </c>
      <c r="E3336">
        <v>72</v>
      </c>
      <c r="F3336">
        <v>36</v>
      </c>
      <c r="G3336">
        <v>1440</v>
      </c>
      <c r="H3336" s="4">
        <v>720</v>
      </c>
      <c r="I3336" s="4">
        <v>720</v>
      </c>
      <c r="J3336" t="s">
        <v>774</v>
      </c>
      <c r="K3336" t="s">
        <v>49</v>
      </c>
      <c r="L3336" s="4">
        <v>13.392447352247808</v>
      </c>
      <c r="M3336" s="1" t="s">
        <v>38</v>
      </c>
      <c r="N3336" s="11">
        <f t="shared" si="52"/>
        <v>5</v>
      </c>
    </row>
    <row r="3337" spans="1:14" ht="16" x14ac:dyDescent="0.2">
      <c r="A3337" s="3">
        <v>44125</v>
      </c>
      <c r="B3337" s="1" t="s">
        <v>3496</v>
      </c>
      <c r="C3337" t="s">
        <v>304</v>
      </c>
      <c r="D3337">
        <v>3</v>
      </c>
      <c r="E3337">
        <v>116</v>
      </c>
      <c r="F3337">
        <v>29</v>
      </c>
      <c r="G3337">
        <v>348</v>
      </c>
      <c r="H3337" s="4">
        <v>87</v>
      </c>
      <c r="I3337" s="4">
        <v>261</v>
      </c>
      <c r="J3337" t="s">
        <v>609</v>
      </c>
      <c r="K3337" t="s">
        <v>64</v>
      </c>
      <c r="L3337" s="4">
        <v>12.564315242820944</v>
      </c>
      <c r="M3337" s="1" t="s">
        <v>34</v>
      </c>
      <c r="N3337" s="11">
        <f t="shared" si="52"/>
        <v>1</v>
      </c>
    </row>
    <row r="3338" spans="1:14" ht="16" x14ac:dyDescent="0.2">
      <c r="A3338" s="3">
        <v>44126</v>
      </c>
      <c r="B3338" s="1" t="s">
        <v>3497</v>
      </c>
      <c r="C3338" t="s">
        <v>209</v>
      </c>
      <c r="D3338">
        <v>13</v>
      </c>
      <c r="E3338">
        <v>150</v>
      </c>
      <c r="F3338">
        <v>75</v>
      </c>
      <c r="G3338">
        <v>1950</v>
      </c>
      <c r="H3338" s="4">
        <v>975</v>
      </c>
      <c r="I3338" s="4">
        <v>975</v>
      </c>
      <c r="J3338" t="s">
        <v>741</v>
      </c>
      <c r="K3338" t="s">
        <v>42</v>
      </c>
      <c r="L3338" s="4">
        <v>14.817898176328208</v>
      </c>
      <c r="M3338" s="1" t="s">
        <v>38</v>
      </c>
      <c r="N3338" s="11">
        <f t="shared" si="52"/>
        <v>5</v>
      </c>
    </row>
    <row r="3339" spans="1:14" ht="16" x14ac:dyDescent="0.2">
      <c r="A3339" s="3">
        <v>44127</v>
      </c>
      <c r="B3339" s="1" t="s">
        <v>3498</v>
      </c>
      <c r="C3339" t="s">
        <v>317</v>
      </c>
      <c r="D3339">
        <v>3</v>
      </c>
      <c r="E3339">
        <v>352</v>
      </c>
      <c r="F3339">
        <v>88</v>
      </c>
      <c r="G3339">
        <v>1056</v>
      </c>
      <c r="H3339" s="4">
        <v>264</v>
      </c>
      <c r="I3339" s="4">
        <v>792</v>
      </c>
      <c r="J3339" t="s">
        <v>1202</v>
      </c>
      <c r="K3339" t="s">
        <v>58</v>
      </c>
      <c r="L3339" s="4">
        <v>10.524491192521829</v>
      </c>
      <c r="M3339" s="1" t="s">
        <v>38</v>
      </c>
      <c r="N3339" s="11">
        <f t="shared" si="52"/>
        <v>5</v>
      </c>
    </row>
    <row r="3340" spans="1:14" ht="16" x14ac:dyDescent="0.2">
      <c r="A3340" s="3">
        <v>44128</v>
      </c>
      <c r="B3340" s="1" t="s">
        <v>3499</v>
      </c>
      <c r="C3340" t="s">
        <v>218</v>
      </c>
      <c r="D3340">
        <v>4</v>
      </c>
      <c r="E3340">
        <v>264</v>
      </c>
      <c r="F3340">
        <v>88</v>
      </c>
      <c r="G3340">
        <v>1056</v>
      </c>
      <c r="H3340" s="4">
        <v>352</v>
      </c>
      <c r="I3340" s="4">
        <v>704</v>
      </c>
      <c r="J3340" t="s">
        <v>1091</v>
      </c>
      <c r="K3340" t="s">
        <v>33</v>
      </c>
      <c r="L3340" s="4">
        <v>12.55774399806273</v>
      </c>
      <c r="M3340" s="1" t="s">
        <v>38</v>
      </c>
      <c r="N3340" s="11">
        <f t="shared" si="52"/>
        <v>5</v>
      </c>
    </row>
    <row r="3341" spans="1:14" ht="16" x14ac:dyDescent="0.2">
      <c r="A3341" s="3">
        <v>44129</v>
      </c>
      <c r="B3341" s="1" t="s">
        <v>3500</v>
      </c>
      <c r="C3341" t="s">
        <v>328</v>
      </c>
      <c r="D3341">
        <v>7</v>
      </c>
      <c r="E3341">
        <v>124</v>
      </c>
      <c r="F3341">
        <v>62</v>
      </c>
      <c r="G3341">
        <v>868</v>
      </c>
      <c r="H3341" s="4">
        <v>434</v>
      </c>
      <c r="I3341" s="4">
        <v>434</v>
      </c>
      <c r="J3341" t="s">
        <v>329</v>
      </c>
      <c r="K3341" t="s">
        <v>33</v>
      </c>
      <c r="L3341" s="4">
        <v>12.545140403858928</v>
      </c>
      <c r="M3341" s="1" t="s">
        <v>38</v>
      </c>
      <c r="N3341" s="11">
        <f t="shared" si="52"/>
        <v>5</v>
      </c>
    </row>
    <row r="3342" spans="1:14" ht="16" x14ac:dyDescent="0.2">
      <c r="A3342" s="3">
        <v>44130</v>
      </c>
      <c r="B3342" s="1" t="s">
        <v>3501</v>
      </c>
      <c r="C3342" t="s">
        <v>157</v>
      </c>
      <c r="D3342">
        <v>7</v>
      </c>
      <c r="E3342">
        <v>50</v>
      </c>
      <c r="F3342">
        <v>25</v>
      </c>
      <c r="G3342">
        <v>350</v>
      </c>
      <c r="H3342" s="4">
        <v>175</v>
      </c>
      <c r="I3342" s="4">
        <v>175</v>
      </c>
      <c r="J3342" t="s">
        <v>629</v>
      </c>
      <c r="K3342" t="s">
        <v>53</v>
      </c>
      <c r="L3342" s="4">
        <v>9.8892508156549788</v>
      </c>
      <c r="M3342" s="1" t="s">
        <v>38</v>
      </c>
      <c r="N3342" s="11">
        <f t="shared" si="52"/>
        <v>5</v>
      </c>
    </row>
    <row r="3343" spans="1:14" ht="16" x14ac:dyDescent="0.2">
      <c r="A3343" s="3">
        <v>44131</v>
      </c>
      <c r="B3343" s="1" t="s">
        <v>1889</v>
      </c>
      <c r="C3343" t="s">
        <v>583</v>
      </c>
      <c r="D3343">
        <v>6</v>
      </c>
      <c r="E3343">
        <v>57</v>
      </c>
      <c r="F3343">
        <v>19</v>
      </c>
      <c r="G3343">
        <v>342</v>
      </c>
      <c r="H3343" s="4">
        <v>114</v>
      </c>
      <c r="I3343" s="4">
        <v>228</v>
      </c>
      <c r="J3343" t="s">
        <v>1702</v>
      </c>
      <c r="K3343" t="s">
        <v>42</v>
      </c>
      <c r="L3343" s="4">
        <v>11.375127981841125</v>
      </c>
      <c r="M3343" s="1" t="s">
        <v>34</v>
      </c>
      <c r="N3343" s="11">
        <f t="shared" si="52"/>
        <v>1</v>
      </c>
    </row>
    <row r="3344" spans="1:14" ht="16" x14ac:dyDescent="0.2">
      <c r="A3344" s="3">
        <v>44132</v>
      </c>
      <c r="B3344" s="1" t="s">
        <v>761</v>
      </c>
      <c r="C3344" t="s">
        <v>487</v>
      </c>
      <c r="D3344">
        <v>14</v>
      </c>
      <c r="E3344">
        <v>264</v>
      </c>
      <c r="F3344">
        <v>88</v>
      </c>
      <c r="G3344">
        <v>3696</v>
      </c>
      <c r="H3344" s="4">
        <v>1232</v>
      </c>
      <c r="I3344" s="4">
        <v>2464</v>
      </c>
      <c r="J3344" t="s">
        <v>485</v>
      </c>
      <c r="K3344" t="s">
        <v>49</v>
      </c>
      <c r="L3344" s="4">
        <v>12.889576147248359</v>
      </c>
      <c r="M3344" s="1" t="s">
        <v>54</v>
      </c>
      <c r="N3344" s="11">
        <f t="shared" si="52"/>
        <v>10</v>
      </c>
    </row>
    <row r="3345" spans="1:14" ht="16" x14ac:dyDescent="0.2">
      <c r="A3345" s="3">
        <v>44133</v>
      </c>
      <c r="B3345" s="1" t="s">
        <v>3502</v>
      </c>
      <c r="C3345" t="s">
        <v>133</v>
      </c>
      <c r="D3345">
        <v>13</v>
      </c>
      <c r="E3345">
        <v>189</v>
      </c>
      <c r="F3345">
        <v>63</v>
      </c>
      <c r="G3345">
        <v>2457</v>
      </c>
      <c r="H3345" s="4">
        <v>819</v>
      </c>
      <c r="I3345" s="4">
        <v>1638</v>
      </c>
      <c r="J3345" t="s">
        <v>752</v>
      </c>
      <c r="K3345" t="s">
        <v>49</v>
      </c>
      <c r="L3345" s="4">
        <v>11.862005526237752</v>
      </c>
      <c r="M3345" s="1" t="s">
        <v>54</v>
      </c>
      <c r="N3345" s="11">
        <f t="shared" si="52"/>
        <v>10</v>
      </c>
    </row>
    <row r="3346" spans="1:14" ht="16" x14ac:dyDescent="0.2">
      <c r="A3346" s="3">
        <v>44134</v>
      </c>
      <c r="B3346" s="1" t="s">
        <v>3503</v>
      </c>
      <c r="C3346" t="s">
        <v>240</v>
      </c>
      <c r="D3346">
        <v>1</v>
      </c>
      <c r="E3346">
        <v>108</v>
      </c>
      <c r="F3346">
        <v>54</v>
      </c>
      <c r="G3346">
        <v>108</v>
      </c>
      <c r="H3346" s="4">
        <v>54</v>
      </c>
      <c r="I3346" s="4">
        <v>54</v>
      </c>
      <c r="J3346" t="s">
        <v>99</v>
      </c>
      <c r="K3346" t="s">
        <v>86</v>
      </c>
      <c r="L3346" s="4">
        <v>15.140903556171683</v>
      </c>
      <c r="M3346" s="1" t="s">
        <v>38</v>
      </c>
      <c r="N3346" s="11">
        <f t="shared" si="52"/>
        <v>5</v>
      </c>
    </row>
    <row r="3347" spans="1:14" ht="16" x14ac:dyDescent="0.2">
      <c r="A3347" s="3">
        <v>44135</v>
      </c>
      <c r="B3347" s="1" t="s">
        <v>1964</v>
      </c>
      <c r="C3347" t="s">
        <v>592</v>
      </c>
      <c r="D3347">
        <v>13</v>
      </c>
      <c r="E3347">
        <v>312</v>
      </c>
      <c r="F3347">
        <v>78</v>
      </c>
      <c r="G3347">
        <v>4056</v>
      </c>
      <c r="H3347" s="4">
        <v>1014</v>
      </c>
      <c r="I3347" s="4">
        <v>3042</v>
      </c>
      <c r="J3347" t="s">
        <v>1126</v>
      </c>
      <c r="K3347" t="s">
        <v>64</v>
      </c>
      <c r="L3347" s="4">
        <v>11.593991859287692</v>
      </c>
      <c r="M3347" s="1" t="s">
        <v>38</v>
      </c>
      <c r="N3347" s="11">
        <f t="shared" si="52"/>
        <v>5</v>
      </c>
    </row>
    <row r="3348" spans="1:14" ht="16" x14ac:dyDescent="0.2">
      <c r="A3348" s="3">
        <v>44136</v>
      </c>
      <c r="B3348" s="1" t="s">
        <v>3504</v>
      </c>
      <c r="C3348" t="s">
        <v>188</v>
      </c>
      <c r="D3348">
        <v>10</v>
      </c>
      <c r="E3348">
        <v>368</v>
      </c>
      <c r="F3348">
        <v>92</v>
      </c>
      <c r="G3348">
        <v>3680</v>
      </c>
      <c r="H3348" s="4">
        <v>920</v>
      </c>
      <c r="I3348" s="4">
        <v>2760</v>
      </c>
      <c r="J3348" t="s">
        <v>681</v>
      </c>
      <c r="K3348" t="s">
        <v>86</v>
      </c>
      <c r="L3348" s="4">
        <v>8.1628930629234038</v>
      </c>
      <c r="M3348" s="1" t="s">
        <v>34</v>
      </c>
      <c r="N3348" s="11">
        <f t="shared" si="52"/>
        <v>1</v>
      </c>
    </row>
    <row r="3349" spans="1:14" ht="16" x14ac:dyDescent="0.2">
      <c r="A3349" s="3">
        <v>44137</v>
      </c>
      <c r="B3349" s="1" t="s">
        <v>3505</v>
      </c>
      <c r="C3349" t="s">
        <v>44</v>
      </c>
      <c r="D3349">
        <v>17</v>
      </c>
      <c r="E3349">
        <v>114</v>
      </c>
      <c r="F3349">
        <v>57</v>
      </c>
      <c r="G3349">
        <v>1938</v>
      </c>
      <c r="H3349" s="4">
        <v>969</v>
      </c>
      <c r="I3349" s="4">
        <v>969</v>
      </c>
      <c r="J3349" t="s">
        <v>131</v>
      </c>
      <c r="K3349" t="s">
        <v>33</v>
      </c>
      <c r="L3349" s="4">
        <v>12.844063202784817</v>
      </c>
      <c r="M3349" s="1" t="s">
        <v>38</v>
      </c>
      <c r="N3349" s="11">
        <f t="shared" si="52"/>
        <v>5</v>
      </c>
    </row>
    <row r="3350" spans="1:14" ht="16" x14ac:dyDescent="0.2">
      <c r="A3350" s="3">
        <v>44138</v>
      </c>
      <c r="B3350" s="1" t="s">
        <v>3506</v>
      </c>
      <c r="C3350" t="s">
        <v>47</v>
      </c>
      <c r="D3350">
        <v>10</v>
      </c>
      <c r="E3350">
        <v>231</v>
      </c>
      <c r="F3350">
        <v>77</v>
      </c>
      <c r="G3350">
        <v>2310</v>
      </c>
      <c r="H3350" s="4">
        <v>770</v>
      </c>
      <c r="I3350" s="4">
        <v>1540</v>
      </c>
      <c r="J3350" t="s">
        <v>1273</v>
      </c>
      <c r="K3350" t="s">
        <v>42</v>
      </c>
      <c r="L3350" s="4">
        <v>12.427459362224146</v>
      </c>
      <c r="M3350" s="1" t="s">
        <v>38</v>
      </c>
      <c r="N3350" s="11">
        <f t="shared" si="52"/>
        <v>5</v>
      </c>
    </row>
    <row r="3351" spans="1:14" ht="16" x14ac:dyDescent="0.2">
      <c r="A3351" s="3">
        <v>44139</v>
      </c>
      <c r="B3351" s="1" t="s">
        <v>3507</v>
      </c>
      <c r="C3351" t="s">
        <v>125</v>
      </c>
      <c r="D3351">
        <v>15</v>
      </c>
      <c r="E3351">
        <v>176</v>
      </c>
      <c r="F3351">
        <v>88</v>
      </c>
      <c r="G3351">
        <v>2640</v>
      </c>
      <c r="H3351" s="4">
        <v>1320</v>
      </c>
      <c r="I3351" s="4">
        <v>1320</v>
      </c>
      <c r="J3351" t="s">
        <v>438</v>
      </c>
      <c r="K3351" t="s">
        <v>64</v>
      </c>
      <c r="L3351" s="4">
        <v>12.532428411174646</v>
      </c>
      <c r="M3351" s="1" t="s">
        <v>34</v>
      </c>
      <c r="N3351" s="11">
        <f t="shared" si="52"/>
        <v>1</v>
      </c>
    </row>
    <row r="3352" spans="1:14" ht="16" x14ac:dyDescent="0.2">
      <c r="A3352" s="3">
        <v>44140</v>
      </c>
      <c r="B3352" s="1" t="s">
        <v>3508</v>
      </c>
      <c r="C3352" t="s">
        <v>365</v>
      </c>
      <c r="D3352">
        <v>17</v>
      </c>
      <c r="E3352">
        <v>255</v>
      </c>
      <c r="F3352">
        <v>85</v>
      </c>
      <c r="G3352">
        <v>4335</v>
      </c>
      <c r="H3352" s="4">
        <v>1445</v>
      </c>
      <c r="I3352" s="4">
        <v>2890</v>
      </c>
      <c r="J3352" t="s">
        <v>640</v>
      </c>
      <c r="K3352" t="s">
        <v>53</v>
      </c>
      <c r="L3352" s="4">
        <v>8.7741864171993527</v>
      </c>
      <c r="M3352" s="1" t="s">
        <v>38</v>
      </c>
      <c r="N3352" s="11">
        <f t="shared" si="52"/>
        <v>5</v>
      </c>
    </row>
    <row r="3353" spans="1:14" ht="16" x14ac:dyDescent="0.2">
      <c r="A3353" s="3">
        <v>44141</v>
      </c>
      <c r="B3353" s="1" t="s">
        <v>2182</v>
      </c>
      <c r="C3353" t="s">
        <v>391</v>
      </c>
      <c r="D3353">
        <v>13</v>
      </c>
      <c r="E3353">
        <v>72</v>
      </c>
      <c r="F3353">
        <v>36</v>
      </c>
      <c r="G3353">
        <v>936</v>
      </c>
      <c r="H3353" s="4">
        <v>468</v>
      </c>
      <c r="I3353" s="4">
        <v>468</v>
      </c>
      <c r="J3353" t="s">
        <v>442</v>
      </c>
      <c r="K3353" t="s">
        <v>58</v>
      </c>
      <c r="L3353" s="4">
        <v>16.429355109701351</v>
      </c>
      <c r="M3353" s="1" t="s">
        <v>54</v>
      </c>
      <c r="N3353" s="11">
        <f t="shared" si="52"/>
        <v>10</v>
      </c>
    </row>
    <row r="3354" spans="1:14" ht="16" x14ac:dyDescent="0.2">
      <c r="A3354" s="3">
        <v>44142</v>
      </c>
      <c r="B3354" s="1" t="s">
        <v>1822</v>
      </c>
      <c r="C3354" t="s">
        <v>391</v>
      </c>
      <c r="D3354">
        <v>17</v>
      </c>
      <c r="E3354">
        <v>72</v>
      </c>
      <c r="F3354">
        <v>36</v>
      </c>
      <c r="G3354">
        <v>1224</v>
      </c>
      <c r="H3354" s="4">
        <v>612</v>
      </c>
      <c r="I3354" s="4">
        <v>612</v>
      </c>
      <c r="J3354" t="s">
        <v>357</v>
      </c>
      <c r="K3354" t="s">
        <v>86</v>
      </c>
      <c r="L3354" s="4">
        <v>11.986565560885863</v>
      </c>
      <c r="M3354" s="1" t="s">
        <v>38</v>
      </c>
      <c r="N3354" s="11">
        <f t="shared" si="52"/>
        <v>5</v>
      </c>
    </row>
    <row r="3355" spans="1:14" ht="16" x14ac:dyDescent="0.2">
      <c r="A3355" s="3">
        <v>44143</v>
      </c>
      <c r="B3355" s="1" t="s">
        <v>3509</v>
      </c>
      <c r="C3355" t="s">
        <v>209</v>
      </c>
      <c r="D3355">
        <v>1</v>
      </c>
      <c r="E3355">
        <v>150</v>
      </c>
      <c r="F3355">
        <v>75</v>
      </c>
      <c r="G3355">
        <v>150</v>
      </c>
      <c r="H3355" s="4">
        <v>75</v>
      </c>
      <c r="I3355" s="4">
        <v>75</v>
      </c>
      <c r="J3355" t="s">
        <v>709</v>
      </c>
      <c r="K3355" t="s">
        <v>86</v>
      </c>
      <c r="L3355" s="4">
        <v>12.658317415198635</v>
      </c>
      <c r="M3355" s="1" t="s">
        <v>54</v>
      </c>
      <c r="N3355" s="11">
        <f t="shared" si="52"/>
        <v>10</v>
      </c>
    </row>
    <row r="3356" spans="1:14" ht="16" x14ac:dyDescent="0.2">
      <c r="A3356" s="3">
        <v>44144</v>
      </c>
      <c r="B3356" s="1" t="s">
        <v>3510</v>
      </c>
      <c r="C3356" t="s">
        <v>538</v>
      </c>
      <c r="D3356">
        <v>6</v>
      </c>
      <c r="E3356">
        <v>261</v>
      </c>
      <c r="F3356">
        <v>87</v>
      </c>
      <c r="G3356">
        <v>1566</v>
      </c>
      <c r="H3356" s="4">
        <v>522</v>
      </c>
      <c r="I3356" s="4">
        <v>1044</v>
      </c>
      <c r="J3356" t="s">
        <v>490</v>
      </c>
      <c r="K3356" t="s">
        <v>64</v>
      </c>
      <c r="L3356" s="4">
        <v>11.249825090458803</v>
      </c>
      <c r="M3356" s="1" t="s">
        <v>38</v>
      </c>
      <c r="N3356" s="11">
        <f t="shared" si="52"/>
        <v>5</v>
      </c>
    </row>
    <row r="3357" spans="1:14" ht="16" x14ac:dyDescent="0.2">
      <c r="A3357" s="3">
        <v>44145</v>
      </c>
      <c r="B3357" s="1" t="s">
        <v>3511</v>
      </c>
      <c r="C3357" t="s">
        <v>266</v>
      </c>
      <c r="D3357">
        <v>14</v>
      </c>
      <c r="E3357">
        <v>50</v>
      </c>
      <c r="F3357">
        <v>25</v>
      </c>
      <c r="G3357">
        <v>700</v>
      </c>
      <c r="H3357" s="4">
        <v>350</v>
      </c>
      <c r="I3357" s="4">
        <v>350</v>
      </c>
      <c r="J3357" t="s">
        <v>89</v>
      </c>
      <c r="K3357" t="s">
        <v>64</v>
      </c>
      <c r="L3357" s="4">
        <v>12.865074657680612</v>
      </c>
      <c r="M3357" s="1" t="s">
        <v>54</v>
      </c>
      <c r="N3357" s="11">
        <f t="shared" si="52"/>
        <v>10</v>
      </c>
    </row>
    <row r="3358" spans="1:14" ht="16" x14ac:dyDescent="0.2">
      <c r="A3358" s="3">
        <v>44146</v>
      </c>
      <c r="B3358" s="1" t="s">
        <v>3512</v>
      </c>
      <c r="C3358" t="s">
        <v>212</v>
      </c>
      <c r="D3358">
        <v>8</v>
      </c>
      <c r="E3358">
        <v>300</v>
      </c>
      <c r="F3358">
        <v>75</v>
      </c>
      <c r="G3358">
        <v>2400</v>
      </c>
      <c r="H3358" s="4">
        <v>600</v>
      </c>
      <c r="I3358" s="4">
        <v>1800</v>
      </c>
      <c r="J3358" t="s">
        <v>223</v>
      </c>
      <c r="K3358" t="s">
        <v>64</v>
      </c>
      <c r="L3358" s="4">
        <v>14.030594525378042</v>
      </c>
      <c r="M3358" s="1" t="s">
        <v>54</v>
      </c>
      <c r="N3358" s="11">
        <f t="shared" si="52"/>
        <v>10</v>
      </c>
    </row>
    <row r="3359" spans="1:14" ht="16" x14ac:dyDescent="0.2">
      <c r="A3359" s="3">
        <v>44147</v>
      </c>
      <c r="B3359" s="1" t="s">
        <v>2756</v>
      </c>
      <c r="C3359" t="s">
        <v>136</v>
      </c>
      <c r="D3359">
        <v>20</v>
      </c>
      <c r="E3359">
        <v>154</v>
      </c>
      <c r="F3359">
        <v>77</v>
      </c>
      <c r="G3359">
        <v>3080</v>
      </c>
      <c r="H3359" s="4">
        <v>1540</v>
      </c>
      <c r="I3359" s="4">
        <v>1540</v>
      </c>
      <c r="J3359" t="s">
        <v>555</v>
      </c>
      <c r="K3359" t="s">
        <v>53</v>
      </c>
      <c r="L3359" s="4">
        <v>14.341195386574373</v>
      </c>
      <c r="M3359" s="1" t="s">
        <v>34</v>
      </c>
      <c r="N3359" s="11">
        <f t="shared" si="52"/>
        <v>1</v>
      </c>
    </row>
    <row r="3360" spans="1:14" ht="16" x14ac:dyDescent="0.2">
      <c r="A3360" s="3">
        <v>44148</v>
      </c>
      <c r="B3360" s="1" t="s">
        <v>3513</v>
      </c>
      <c r="C3360" t="s">
        <v>47</v>
      </c>
      <c r="D3360">
        <v>13</v>
      </c>
      <c r="E3360">
        <v>231</v>
      </c>
      <c r="F3360">
        <v>77</v>
      </c>
      <c r="G3360">
        <v>3003</v>
      </c>
      <c r="H3360" s="4">
        <v>1001</v>
      </c>
      <c r="I3360" s="4">
        <v>2002</v>
      </c>
      <c r="J3360" t="s">
        <v>378</v>
      </c>
      <c r="K3360" t="s">
        <v>53</v>
      </c>
      <c r="L3360" s="4">
        <v>14.423322704129969</v>
      </c>
      <c r="M3360" s="1" t="s">
        <v>34</v>
      </c>
      <c r="N3360" s="11">
        <f t="shared" si="52"/>
        <v>1</v>
      </c>
    </row>
    <row r="3361" spans="1:14" ht="16" x14ac:dyDescent="0.2">
      <c r="A3361" s="3">
        <v>44149</v>
      </c>
      <c r="B3361" s="1" t="s">
        <v>3514</v>
      </c>
      <c r="C3361" t="s">
        <v>410</v>
      </c>
      <c r="D3361">
        <v>11</v>
      </c>
      <c r="E3361">
        <v>84</v>
      </c>
      <c r="F3361">
        <v>21</v>
      </c>
      <c r="G3361">
        <v>924</v>
      </c>
      <c r="H3361" s="4">
        <v>231</v>
      </c>
      <c r="I3361" s="4">
        <v>693</v>
      </c>
      <c r="J3361" t="s">
        <v>79</v>
      </c>
      <c r="K3361" t="s">
        <v>64</v>
      </c>
      <c r="L3361" s="4">
        <v>12.163730387337393</v>
      </c>
      <c r="M3361" s="1" t="s">
        <v>38</v>
      </c>
      <c r="N3361" s="11">
        <f t="shared" si="52"/>
        <v>5</v>
      </c>
    </row>
    <row r="3362" spans="1:14" ht="16" x14ac:dyDescent="0.2">
      <c r="A3362" s="3">
        <v>44150</v>
      </c>
      <c r="B3362" s="1" t="s">
        <v>3515</v>
      </c>
      <c r="C3362" t="s">
        <v>240</v>
      </c>
      <c r="D3362">
        <v>16</v>
      </c>
      <c r="E3362">
        <v>108</v>
      </c>
      <c r="F3362">
        <v>54</v>
      </c>
      <c r="G3362">
        <v>1728</v>
      </c>
      <c r="H3362" s="4">
        <v>864</v>
      </c>
      <c r="I3362" s="4">
        <v>864</v>
      </c>
      <c r="J3362" t="s">
        <v>552</v>
      </c>
      <c r="K3362" t="s">
        <v>53</v>
      </c>
      <c r="L3362" s="4">
        <v>9.74650548941427</v>
      </c>
      <c r="M3362" s="1" t="s">
        <v>54</v>
      </c>
      <c r="N3362" s="11">
        <f t="shared" si="52"/>
        <v>10</v>
      </c>
    </row>
    <row r="3363" spans="1:14" ht="16" x14ac:dyDescent="0.2">
      <c r="A3363" s="3">
        <v>44151</v>
      </c>
      <c r="B3363" s="1" t="s">
        <v>3175</v>
      </c>
      <c r="C3363" t="s">
        <v>91</v>
      </c>
      <c r="D3363">
        <v>17</v>
      </c>
      <c r="E3363">
        <v>300</v>
      </c>
      <c r="F3363">
        <v>75</v>
      </c>
      <c r="G3363">
        <v>5100</v>
      </c>
      <c r="H3363" s="4">
        <v>1275</v>
      </c>
      <c r="I3363" s="4">
        <v>3825</v>
      </c>
      <c r="J3363" t="s">
        <v>643</v>
      </c>
      <c r="K3363" t="s">
        <v>33</v>
      </c>
      <c r="L3363" s="4">
        <v>12.275875773922367</v>
      </c>
      <c r="M3363" s="1" t="s">
        <v>38</v>
      </c>
      <c r="N3363" s="11">
        <f t="shared" si="52"/>
        <v>5</v>
      </c>
    </row>
    <row r="3364" spans="1:14" ht="16" x14ac:dyDescent="0.2">
      <c r="A3364" s="3">
        <v>44152</v>
      </c>
      <c r="B3364" s="1" t="s">
        <v>3516</v>
      </c>
      <c r="C3364" t="s">
        <v>779</v>
      </c>
      <c r="D3364">
        <v>5</v>
      </c>
      <c r="E3364">
        <v>120</v>
      </c>
      <c r="F3364">
        <v>30</v>
      </c>
      <c r="G3364">
        <v>600</v>
      </c>
      <c r="H3364" s="4">
        <v>150</v>
      </c>
      <c r="I3364" s="4">
        <v>450</v>
      </c>
      <c r="J3364" t="s">
        <v>363</v>
      </c>
      <c r="K3364" t="s">
        <v>64</v>
      </c>
      <c r="L3364" s="4">
        <v>14.690198582365463</v>
      </c>
      <c r="M3364" s="1" t="s">
        <v>34</v>
      </c>
      <c r="N3364" s="11">
        <f t="shared" si="52"/>
        <v>1</v>
      </c>
    </row>
    <row r="3365" spans="1:14" ht="16" x14ac:dyDescent="0.2">
      <c r="A3365" s="3">
        <v>44153</v>
      </c>
      <c r="B3365" s="1" t="s">
        <v>3119</v>
      </c>
      <c r="C3365" t="s">
        <v>81</v>
      </c>
      <c r="D3365">
        <v>18</v>
      </c>
      <c r="E3365">
        <v>166</v>
      </c>
      <c r="F3365">
        <v>83</v>
      </c>
      <c r="G3365">
        <v>2988</v>
      </c>
      <c r="H3365" s="4">
        <v>1494</v>
      </c>
      <c r="I3365" s="4">
        <v>1494</v>
      </c>
      <c r="J3365" t="s">
        <v>474</v>
      </c>
      <c r="K3365" t="s">
        <v>33</v>
      </c>
      <c r="L3365" s="4">
        <v>9.629298039722805</v>
      </c>
      <c r="M3365" s="1" t="s">
        <v>54</v>
      </c>
      <c r="N3365" s="11">
        <f t="shared" si="52"/>
        <v>10</v>
      </c>
    </row>
    <row r="3366" spans="1:14" ht="16" x14ac:dyDescent="0.2">
      <c r="A3366" s="3">
        <v>44154</v>
      </c>
      <c r="B3366" s="1" t="s">
        <v>3517</v>
      </c>
      <c r="C3366" t="s">
        <v>212</v>
      </c>
      <c r="D3366">
        <v>14</v>
      </c>
      <c r="E3366">
        <v>300</v>
      </c>
      <c r="F3366">
        <v>75</v>
      </c>
      <c r="G3366">
        <v>4200</v>
      </c>
      <c r="H3366" s="4">
        <v>1050</v>
      </c>
      <c r="I3366" s="4">
        <v>3150</v>
      </c>
      <c r="J3366" t="s">
        <v>234</v>
      </c>
      <c r="K3366" t="s">
        <v>64</v>
      </c>
      <c r="L3366" s="4">
        <v>12.200533931675887</v>
      </c>
      <c r="M3366" s="1" t="s">
        <v>54</v>
      </c>
      <c r="N3366" s="11">
        <f t="shared" si="52"/>
        <v>10</v>
      </c>
    </row>
    <row r="3367" spans="1:14" ht="16" x14ac:dyDescent="0.2">
      <c r="A3367" s="3">
        <v>44155</v>
      </c>
      <c r="B3367" s="1" t="s">
        <v>3444</v>
      </c>
      <c r="C3367" t="s">
        <v>40</v>
      </c>
      <c r="D3367">
        <v>3</v>
      </c>
      <c r="E3367">
        <v>46</v>
      </c>
      <c r="F3367">
        <v>23</v>
      </c>
      <c r="G3367">
        <v>138</v>
      </c>
      <c r="H3367" s="4">
        <v>69</v>
      </c>
      <c r="I3367" s="4">
        <v>69</v>
      </c>
      <c r="J3367" t="s">
        <v>626</v>
      </c>
      <c r="K3367" t="s">
        <v>58</v>
      </c>
      <c r="L3367" s="4">
        <v>13.259563298324382</v>
      </c>
      <c r="M3367" s="1" t="s">
        <v>38</v>
      </c>
      <c r="N3367" s="11">
        <f t="shared" si="52"/>
        <v>5</v>
      </c>
    </row>
    <row r="3368" spans="1:14" ht="16" x14ac:dyDescent="0.2">
      <c r="A3368" s="3">
        <v>44156</v>
      </c>
      <c r="B3368" s="1" t="s">
        <v>3518</v>
      </c>
      <c r="C3368" t="s">
        <v>36</v>
      </c>
      <c r="D3368">
        <v>11</v>
      </c>
      <c r="E3368">
        <v>102</v>
      </c>
      <c r="F3368">
        <v>51</v>
      </c>
      <c r="G3368">
        <v>1122</v>
      </c>
      <c r="H3368" s="4">
        <v>561</v>
      </c>
      <c r="I3368" s="4">
        <v>561</v>
      </c>
      <c r="J3368" t="s">
        <v>752</v>
      </c>
      <c r="K3368" t="s">
        <v>49</v>
      </c>
      <c r="L3368" s="4">
        <v>11.862005526237752</v>
      </c>
      <c r="M3368" s="1" t="s">
        <v>34</v>
      </c>
      <c r="N3368" s="11">
        <f t="shared" si="52"/>
        <v>1</v>
      </c>
    </row>
    <row r="3369" spans="1:14" ht="16" x14ac:dyDescent="0.2">
      <c r="A3369" s="3">
        <v>44157</v>
      </c>
      <c r="B3369" s="1" t="s">
        <v>3519</v>
      </c>
      <c r="C3369" t="s">
        <v>193</v>
      </c>
      <c r="D3369">
        <v>7</v>
      </c>
      <c r="E3369">
        <v>348</v>
      </c>
      <c r="F3369">
        <v>87</v>
      </c>
      <c r="G3369">
        <v>2436</v>
      </c>
      <c r="H3369" s="4">
        <v>609</v>
      </c>
      <c r="I3369" s="4">
        <v>1827</v>
      </c>
      <c r="J3369" t="s">
        <v>633</v>
      </c>
      <c r="K3369" t="s">
        <v>86</v>
      </c>
      <c r="L3369" s="4">
        <v>12.954911944548844</v>
      </c>
      <c r="M3369" s="1" t="s">
        <v>54</v>
      </c>
      <c r="N3369" s="11">
        <f t="shared" si="52"/>
        <v>10</v>
      </c>
    </row>
    <row r="3370" spans="1:14" ht="16" x14ac:dyDescent="0.2">
      <c r="A3370" s="3">
        <v>44158</v>
      </c>
      <c r="B3370" s="1" t="s">
        <v>2506</v>
      </c>
      <c r="C3370" t="s">
        <v>240</v>
      </c>
      <c r="D3370">
        <v>2</v>
      </c>
      <c r="E3370">
        <v>108</v>
      </c>
      <c r="F3370">
        <v>54</v>
      </c>
      <c r="G3370">
        <v>216</v>
      </c>
      <c r="H3370" s="4">
        <v>108</v>
      </c>
      <c r="I3370" s="4">
        <v>108</v>
      </c>
      <c r="J3370" t="s">
        <v>197</v>
      </c>
      <c r="K3370" t="s">
        <v>49</v>
      </c>
      <c r="L3370" s="4">
        <v>13.288482149665386</v>
      </c>
      <c r="M3370" s="1" t="s">
        <v>38</v>
      </c>
      <c r="N3370" s="11">
        <f t="shared" si="52"/>
        <v>5</v>
      </c>
    </row>
    <row r="3371" spans="1:14" ht="16" x14ac:dyDescent="0.2">
      <c r="A3371" s="3">
        <v>44159</v>
      </c>
      <c r="B3371" s="1" t="s">
        <v>3520</v>
      </c>
      <c r="C3371" t="s">
        <v>101</v>
      </c>
      <c r="D3371">
        <v>10</v>
      </c>
      <c r="E3371">
        <v>50</v>
      </c>
      <c r="F3371">
        <v>25</v>
      </c>
      <c r="G3371">
        <v>500</v>
      </c>
      <c r="H3371" s="4">
        <v>250</v>
      </c>
      <c r="I3371" s="4">
        <v>250</v>
      </c>
      <c r="J3371" t="s">
        <v>531</v>
      </c>
      <c r="K3371" t="s">
        <v>58</v>
      </c>
      <c r="L3371" s="4">
        <v>14.064516999204997</v>
      </c>
      <c r="M3371" s="1" t="s">
        <v>38</v>
      </c>
      <c r="N3371" s="11">
        <f t="shared" si="52"/>
        <v>5</v>
      </c>
    </row>
    <row r="3372" spans="1:14" ht="16" x14ac:dyDescent="0.2">
      <c r="A3372" s="3">
        <v>44160</v>
      </c>
      <c r="B3372" s="1" t="s">
        <v>422</v>
      </c>
      <c r="C3372" t="s">
        <v>356</v>
      </c>
      <c r="D3372">
        <v>16</v>
      </c>
      <c r="E3372">
        <v>356</v>
      </c>
      <c r="F3372">
        <v>89</v>
      </c>
      <c r="G3372">
        <v>5696</v>
      </c>
      <c r="H3372" s="4">
        <v>1424</v>
      </c>
      <c r="I3372" s="4">
        <v>4272</v>
      </c>
      <c r="J3372" t="s">
        <v>938</v>
      </c>
      <c r="K3372" t="s">
        <v>33</v>
      </c>
      <c r="L3372" s="4">
        <v>13.397308081757757</v>
      </c>
      <c r="M3372" s="1" t="s">
        <v>38</v>
      </c>
      <c r="N3372" s="11">
        <f t="shared" si="52"/>
        <v>5</v>
      </c>
    </row>
    <row r="3373" spans="1:14" ht="16" x14ac:dyDescent="0.2">
      <c r="A3373" s="3">
        <v>44161</v>
      </c>
      <c r="B3373" s="1" t="s">
        <v>3521</v>
      </c>
      <c r="C3373" t="s">
        <v>779</v>
      </c>
      <c r="D3373">
        <v>19</v>
      </c>
      <c r="E3373">
        <v>120</v>
      </c>
      <c r="F3373">
        <v>30</v>
      </c>
      <c r="G3373">
        <v>2280</v>
      </c>
      <c r="H3373" s="4">
        <v>570</v>
      </c>
      <c r="I3373" s="4">
        <v>1710</v>
      </c>
      <c r="J3373" t="s">
        <v>912</v>
      </c>
      <c r="K3373" t="s">
        <v>64</v>
      </c>
      <c r="L3373" s="4">
        <v>11.816651848338852</v>
      </c>
      <c r="M3373" s="1" t="s">
        <v>54</v>
      </c>
      <c r="N3373" s="11">
        <f t="shared" si="52"/>
        <v>10</v>
      </c>
    </row>
    <row r="3374" spans="1:14" ht="16" x14ac:dyDescent="0.2">
      <c r="A3374" s="3">
        <v>44162</v>
      </c>
      <c r="B3374" s="1" t="s">
        <v>3522</v>
      </c>
      <c r="C3374" t="s">
        <v>185</v>
      </c>
      <c r="D3374">
        <v>3</v>
      </c>
      <c r="E3374">
        <v>146</v>
      </c>
      <c r="F3374">
        <v>73</v>
      </c>
      <c r="G3374">
        <v>438</v>
      </c>
      <c r="H3374" s="4">
        <v>219</v>
      </c>
      <c r="I3374" s="4">
        <v>219</v>
      </c>
      <c r="J3374" t="s">
        <v>1358</v>
      </c>
      <c r="K3374" t="s">
        <v>86</v>
      </c>
      <c r="L3374" s="4">
        <v>13.811876869930865</v>
      </c>
      <c r="M3374" s="1" t="s">
        <v>34</v>
      </c>
      <c r="N3374" s="11">
        <f t="shared" si="52"/>
        <v>1</v>
      </c>
    </row>
    <row r="3375" spans="1:14" ht="16" x14ac:dyDescent="0.2">
      <c r="A3375" s="3">
        <v>44163</v>
      </c>
      <c r="B3375" s="1" t="s">
        <v>3523</v>
      </c>
      <c r="C3375" t="s">
        <v>171</v>
      </c>
      <c r="D3375">
        <v>17</v>
      </c>
      <c r="E3375">
        <v>225</v>
      </c>
      <c r="F3375">
        <v>75</v>
      </c>
      <c r="G3375">
        <v>3825</v>
      </c>
      <c r="H3375" s="4">
        <v>1275</v>
      </c>
      <c r="I3375" s="4">
        <v>2550</v>
      </c>
      <c r="J3375" t="s">
        <v>825</v>
      </c>
      <c r="K3375" t="s">
        <v>42</v>
      </c>
      <c r="L3375" s="4">
        <v>14.060995290679429</v>
      </c>
      <c r="M3375" s="1" t="s">
        <v>38</v>
      </c>
      <c r="N3375" s="11">
        <f t="shared" si="52"/>
        <v>5</v>
      </c>
    </row>
    <row r="3376" spans="1:14" ht="16" x14ac:dyDescent="0.2">
      <c r="A3376" s="3">
        <v>44164</v>
      </c>
      <c r="B3376" s="1" t="s">
        <v>3524</v>
      </c>
      <c r="C3376" t="s">
        <v>151</v>
      </c>
      <c r="D3376">
        <v>5</v>
      </c>
      <c r="E3376">
        <v>153</v>
      </c>
      <c r="F3376">
        <v>51</v>
      </c>
      <c r="G3376">
        <v>765</v>
      </c>
      <c r="H3376" s="4">
        <v>255</v>
      </c>
      <c r="I3376" s="4">
        <v>510</v>
      </c>
      <c r="J3376" t="s">
        <v>1022</v>
      </c>
      <c r="K3376" t="s">
        <v>49</v>
      </c>
      <c r="L3376" s="4">
        <v>15.268550004010105</v>
      </c>
      <c r="M3376" s="1" t="s">
        <v>34</v>
      </c>
      <c r="N3376" s="11">
        <f t="shared" si="52"/>
        <v>1</v>
      </c>
    </row>
    <row r="3377" spans="1:14" ht="16" x14ac:dyDescent="0.2">
      <c r="A3377" s="3">
        <v>44165</v>
      </c>
      <c r="B3377" s="1" t="s">
        <v>3525</v>
      </c>
      <c r="C3377" t="s">
        <v>120</v>
      </c>
      <c r="D3377">
        <v>18</v>
      </c>
      <c r="E3377">
        <v>252</v>
      </c>
      <c r="F3377">
        <v>63</v>
      </c>
      <c r="G3377">
        <v>4536</v>
      </c>
      <c r="H3377" s="4">
        <v>1134</v>
      </c>
      <c r="I3377" s="4">
        <v>3402</v>
      </c>
      <c r="J3377" t="s">
        <v>595</v>
      </c>
      <c r="K3377" t="s">
        <v>86</v>
      </c>
      <c r="L3377" s="4">
        <v>12.045339240427111</v>
      </c>
      <c r="M3377" s="1" t="s">
        <v>54</v>
      </c>
      <c r="N3377" s="11">
        <f t="shared" si="52"/>
        <v>10</v>
      </c>
    </row>
    <row r="3378" spans="1:14" ht="16" x14ac:dyDescent="0.2">
      <c r="A3378" s="3">
        <v>44166</v>
      </c>
      <c r="B3378" s="1" t="s">
        <v>3526</v>
      </c>
      <c r="C3378" t="s">
        <v>248</v>
      </c>
      <c r="D3378">
        <v>7</v>
      </c>
      <c r="E3378">
        <v>132</v>
      </c>
      <c r="F3378">
        <v>44</v>
      </c>
      <c r="G3378">
        <v>924</v>
      </c>
      <c r="H3378" s="4">
        <v>308</v>
      </c>
      <c r="I3378" s="4">
        <v>616</v>
      </c>
      <c r="J3378" t="s">
        <v>435</v>
      </c>
      <c r="K3378" t="s">
        <v>33</v>
      </c>
      <c r="L3378" s="4">
        <v>5.9872353338051019</v>
      </c>
      <c r="M3378" s="1" t="s">
        <v>34</v>
      </c>
      <c r="N3378" s="11">
        <f t="shared" si="52"/>
        <v>1</v>
      </c>
    </row>
    <row r="3379" spans="1:14" ht="16" x14ac:dyDescent="0.2">
      <c r="A3379" s="3">
        <v>44167</v>
      </c>
      <c r="B3379" s="1" t="s">
        <v>3527</v>
      </c>
      <c r="C3379" t="s">
        <v>120</v>
      </c>
      <c r="D3379">
        <v>11</v>
      </c>
      <c r="E3379">
        <v>252</v>
      </c>
      <c r="F3379">
        <v>63</v>
      </c>
      <c r="G3379">
        <v>2772</v>
      </c>
      <c r="H3379" s="4">
        <v>693</v>
      </c>
      <c r="I3379" s="4">
        <v>2079</v>
      </c>
      <c r="J3379" t="s">
        <v>877</v>
      </c>
      <c r="K3379" t="s">
        <v>49</v>
      </c>
      <c r="L3379" s="4">
        <v>13.275355576494196</v>
      </c>
      <c r="M3379" s="1" t="s">
        <v>54</v>
      </c>
      <c r="N3379" s="11">
        <f t="shared" si="52"/>
        <v>10</v>
      </c>
    </row>
    <row r="3380" spans="1:14" ht="16" x14ac:dyDescent="0.2">
      <c r="A3380" s="3">
        <v>44168</v>
      </c>
      <c r="B3380" s="1" t="s">
        <v>1960</v>
      </c>
      <c r="C3380" t="s">
        <v>248</v>
      </c>
      <c r="D3380">
        <v>2</v>
      </c>
      <c r="E3380">
        <v>132</v>
      </c>
      <c r="F3380">
        <v>44</v>
      </c>
      <c r="G3380">
        <v>264</v>
      </c>
      <c r="H3380" s="4">
        <v>88</v>
      </c>
      <c r="I3380" s="4">
        <v>176</v>
      </c>
      <c r="J3380" t="s">
        <v>752</v>
      </c>
      <c r="K3380" t="s">
        <v>49</v>
      </c>
      <c r="L3380" s="4">
        <v>11.862005526237752</v>
      </c>
      <c r="M3380" s="1" t="s">
        <v>38</v>
      </c>
      <c r="N3380" s="11">
        <f t="shared" si="52"/>
        <v>5</v>
      </c>
    </row>
    <row r="3381" spans="1:14" ht="16" x14ac:dyDescent="0.2">
      <c r="A3381" s="3">
        <v>44169</v>
      </c>
      <c r="B3381" s="1" t="s">
        <v>3528</v>
      </c>
      <c r="C3381" t="s">
        <v>304</v>
      </c>
      <c r="D3381">
        <v>7</v>
      </c>
      <c r="E3381">
        <v>116</v>
      </c>
      <c r="F3381">
        <v>29</v>
      </c>
      <c r="G3381">
        <v>812</v>
      </c>
      <c r="H3381" s="4">
        <v>203</v>
      </c>
      <c r="I3381" s="4">
        <v>609</v>
      </c>
      <c r="J3381" t="s">
        <v>555</v>
      </c>
      <c r="K3381" t="s">
        <v>53</v>
      </c>
      <c r="L3381" s="4">
        <v>14.341195386574373</v>
      </c>
      <c r="M3381" s="1" t="s">
        <v>34</v>
      </c>
      <c r="N3381" s="11">
        <f t="shared" si="52"/>
        <v>1</v>
      </c>
    </row>
    <row r="3382" spans="1:14" ht="16" x14ac:dyDescent="0.2">
      <c r="A3382" s="3">
        <v>44170</v>
      </c>
      <c r="B3382" s="1" t="s">
        <v>1786</v>
      </c>
      <c r="C3382" t="s">
        <v>394</v>
      </c>
      <c r="D3382">
        <v>20</v>
      </c>
      <c r="E3382">
        <v>58</v>
      </c>
      <c r="F3382">
        <v>29</v>
      </c>
      <c r="G3382">
        <v>1160</v>
      </c>
      <c r="H3382" s="4">
        <v>580</v>
      </c>
      <c r="I3382" s="4">
        <v>580</v>
      </c>
      <c r="J3382" t="s">
        <v>1671</v>
      </c>
      <c r="K3382" t="s">
        <v>86</v>
      </c>
      <c r="L3382" s="4">
        <v>15.239568994601312</v>
      </c>
      <c r="M3382" s="1" t="s">
        <v>34</v>
      </c>
      <c r="N3382" s="11">
        <f t="shared" si="52"/>
        <v>1</v>
      </c>
    </row>
    <row r="3383" spans="1:14" ht="16" x14ac:dyDescent="0.2">
      <c r="A3383" s="3">
        <v>44171</v>
      </c>
      <c r="B3383" s="1" t="s">
        <v>3529</v>
      </c>
      <c r="C3383" t="s">
        <v>201</v>
      </c>
      <c r="D3383">
        <v>16</v>
      </c>
      <c r="E3383">
        <v>30</v>
      </c>
      <c r="F3383">
        <v>15</v>
      </c>
      <c r="G3383">
        <v>480</v>
      </c>
      <c r="H3383" s="4">
        <v>240</v>
      </c>
      <c r="I3383" s="4">
        <v>240</v>
      </c>
      <c r="J3383" t="s">
        <v>244</v>
      </c>
      <c r="K3383" t="s">
        <v>86</v>
      </c>
      <c r="L3383" s="4">
        <v>15.458859683514467</v>
      </c>
      <c r="M3383" s="1" t="s">
        <v>38</v>
      </c>
      <c r="N3383" s="11">
        <f t="shared" si="52"/>
        <v>5</v>
      </c>
    </row>
    <row r="3384" spans="1:14" ht="16" x14ac:dyDescent="0.2">
      <c r="A3384" s="3">
        <v>44172</v>
      </c>
      <c r="B3384" s="1" t="s">
        <v>3530</v>
      </c>
      <c r="C3384" t="s">
        <v>243</v>
      </c>
      <c r="D3384">
        <v>3</v>
      </c>
      <c r="E3384">
        <v>90</v>
      </c>
      <c r="F3384">
        <v>45</v>
      </c>
      <c r="G3384">
        <v>270</v>
      </c>
      <c r="H3384" s="4">
        <v>135</v>
      </c>
      <c r="I3384" s="4">
        <v>135</v>
      </c>
      <c r="J3384" t="s">
        <v>295</v>
      </c>
      <c r="K3384" t="s">
        <v>42</v>
      </c>
      <c r="L3384" s="4">
        <v>14.906846445071711</v>
      </c>
      <c r="M3384" s="1" t="s">
        <v>38</v>
      </c>
      <c r="N3384" s="11">
        <f t="shared" si="52"/>
        <v>5</v>
      </c>
    </row>
    <row r="3385" spans="1:14" ht="16" x14ac:dyDescent="0.2">
      <c r="A3385" s="3">
        <v>44173</v>
      </c>
      <c r="B3385" s="1" t="s">
        <v>3531</v>
      </c>
      <c r="C3385" t="s">
        <v>473</v>
      </c>
      <c r="D3385">
        <v>20</v>
      </c>
      <c r="E3385">
        <v>72</v>
      </c>
      <c r="F3385">
        <v>36</v>
      </c>
      <c r="G3385">
        <v>1440</v>
      </c>
      <c r="H3385" s="4">
        <v>720</v>
      </c>
      <c r="I3385" s="4">
        <v>720</v>
      </c>
      <c r="J3385" t="s">
        <v>488</v>
      </c>
      <c r="K3385" t="s">
        <v>64</v>
      </c>
      <c r="L3385" s="4">
        <v>9.458617986208397</v>
      </c>
      <c r="M3385" s="1" t="s">
        <v>54</v>
      </c>
      <c r="N3385" s="11">
        <f t="shared" si="52"/>
        <v>10</v>
      </c>
    </row>
    <row r="3386" spans="1:14" ht="16" x14ac:dyDescent="0.2">
      <c r="A3386" s="3">
        <v>44174</v>
      </c>
      <c r="B3386" s="1" t="s">
        <v>3532</v>
      </c>
      <c r="C3386" t="s">
        <v>188</v>
      </c>
      <c r="D3386">
        <v>14</v>
      </c>
      <c r="E3386">
        <v>368</v>
      </c>
      <c r="F3386">
        <v>92</v>
      </c>
      <c r="G3386">
        <v>5152</v>
      </c>
      <c r="H3386" s="4">
        <v>1288</v>
      </c>
      <c r="I3386" s="4">
        <v>3864</v>
      </c>
      <c r="J3386" t="s">
        <v>363</v>
      </c>
      <c r="K3386" t="s">
        <v>64</v>
      </c>
      <c r="L3386" s="4">
        <v>14.690198582365463</v>
      </c>
      <c r="M3386" s="1" t="s">
        <v>38</v>
      </c>
      <c r="N3386" s="11">
        <f t="shared" si="52"/>
        <v>5</v>
      </c>
    </row>
    <row r="3387" spans="1:14" ht="16" x14ac:dyDescent="0.2">
      <c r="A3387" s="3">
        <v>44175</v>
      </c>
      <c r="B3387" s="1" t="s">
        <v>1682</v>
      </c>
      <c r="C3387" t="s">
        <v>142</v>
      </c>
      <c r="D3387">
        <v>11</v>
      </c>
      <c r="E3387">
        <v>210</v>
      </c>
      <c r="F3387">
        <v>70</v>
      </c>
      <c r="G3387">
        <v>2310</v>
      </c>
      <c r="H3387" s="4">
        <v>770</v>
      </c>
      <c r="I3387" s="4">
        <v>1540</v>
      </c>
      <c r="J3387" t="s">
        <v>79</v>
      </c>
      <c r="K3387" t="s">
        <v>64</v>
      </c>
      <c r="L3387" s="4">
        <v>12.163730387337393</v>
      </c>
      <c r="M3387" s="1" t="s">
        <v>38</v>
      </c>
      <c r="N3387" s="11">
        <f t="shared" si="52"/>
        <v>5</v>
      </c>
    </row>
    <row r="3388" spans="1:14" ht="16" x14ac:dyDescent="0.2">
      <c r="A3388" s="3">
        <v>44176</v>
      </c>
      <c r="B3388" s="1" t="s">
        <v>3533</v>
      </c>
      <c r="C3388" t="s">
        <v>227</v>
      </c>
      <c r="D3388">
        <v>19</v>
      </c>
      <c r="E3388">
        <v>144</v>
      </c>
      <c r="F3388">
        <v>48</v>
      </c>
      <c r="G3388">
        <v>2736</v>
      </c>
      <c r="H3388" s="4">
        <v>912</v>
      </c>
      <c r="I3388" s="4">
        <v>1824</v>
      </c>
      <c r="J3388" t="s">
        <v>121</v>
      </c>
      <c r="K3388" t="s">
        <v>64</v>
      </c>
      <c r="L3388" s="4">
        <v>14.16303548174143</v>
      </c>
      <c r="M3388" s="1" t="s">
        <v>38</v>
      </c>
      <c r="N3388" s="11">
        <f t="shared" si="52"/>
        <v>5</v>
      </c>
    </row>
    <row r="3389" spans="1:14" ht="16" x14ac:dyDescent="0.2">
      <c r="A3389" s="3">
        <v>44177</v>
      </c>
      <c r="B3389" s="1" t="s">
        <v>3534</v>
      </c>
      <c r="C3389" t="s">
        <v>583</v>
      </c>
      <c r="D3389">
        <v>3</v>
      </c>
      <c r="E3389">
        <v>57</v>
      </c>
      <c r="F3389">
        <v>19</v>
      </c>
      <c r="G3389">
        <v>171</v>
      </c>
      <c r="H3389" s="4">
        <v>57</v>
      </c>
      <c r="I3389" s="4">
        <v>114</v>
      </c>
      <c r="J3389" t="s">
        <v>82</v>
      </c>
      <c r="K3389" t="s">
        <v>58</v>
      </c>
      <c r="L3389" s="4">
        <v>13.45980057156361</v>
      </c>
      <c r="M3389" s="1" t="s">
        <v>54</v>
      </c>
      <c r="N3389" s="11">
        <f t="shared" si="52"/>
        <v>10</v>
      </c>
    </row>
    <row r="3390" spans="1:14" ht="16" x14ac:dyDescent="0.2">
      <c r="A3390" s="3">
        <v>44178</v>
      </c>
      <c r="B3390" s="1" t="s">
        <v>3535</v>
      </c>
      <c r="C3390" t="s">
        <v>81</v>
      </c>
      <c r="D3390">
        <v>12</v>
      </c>
      <c r="E3390">
        <v>166</v>
      </c>
      <c r="F3390">
        <v>83</v>
      </c>
      <c r="G3390">
        <v>1992</v>
      </c>
      <c r="H3390" s="4">
        <v>996</v>
      </c>
      <c r="I3390" s="4">
        <v>996</v>
      </c>
      <c r="J3390" t="s">
        <v>1432</v>
      </c>
      <c r="K3390" t="s">
        <v>53</v>
      </c>
      <c r="L3390" s="4">
        <v>13.2671922973198</v>
      </c>
      <c r="M3390" s="1" t="s">
        <v>54</v>
      </c>
      <c r="N3390" s="11">
        <f t="shared" si="52"/>
        <v>10</v>
      </c>
    </row>
    <row r="3391" spans="1:14" ht="16" x14ac:dyDescent="0.2">
      <c r="A3391" s="3">
        <v>44179</v>
      </c>
      <c r="B3391" s="1" t="s">
        <v>2590</v>
      </c>
      <c r="C3391" t="s">
        <v>399</v>
      </c>
      <c r="D3391">
        <v>1</v>
      </c>
      <c r="E3391">
        <v>160</v>
      </c>
      <c r="F3391">
        <v>80</v>
      </c>
      <c r="G3391">
        <v>160</v>
      </c>
      <c r="H3391" s="4">
        <v>80</v>
      </c>
      <c r="I3391" s="4">
        <v>80</v>
      </c>
      <c r="J3391" t="s">
        <v>149</v>
      </c>
      <c r="K3391" t="s">
        <v>58</v>
      </c>
      <c r="L3391" s="4">
        <v>8.1085102757869372</v>
      </c>
      <c r="M3391" s="1" t="s">
        <v>54</v>
      </c>
      <c r="N3391" s="11">
        <f t="shared" si="52"/>
        <v>10</v>
      </c>
    </row>
    <row r="3392" spans="1:14" ht="16" x14ac:dyDescent="0.2">
      <c r="A3392" s="3">
        <v>44180</v>
      </c>
      <c r="B3392" s="1" t="s">
        <v>1295</v>
      </c>
      <c r="C3392" t="s">
        <v>84</v>
      </c>
      <c r="D3392">
        <v>1</v>
      </c>
      <c r="E3392">
        <v>126</v>
      </c>
      <c r="F3392">
        <v>42</v>
      </c>
      <c r="G3392">
        <v>126</v>
      </c>
      <c r="H3392" s="4">
        <v>42</v>
      </c>
      <c r="I3392" s="4">
        <v>84</v>
      </c>
      <c r="J3392" t="s">
        <v>804</v>
      </c>
      <c r="K3392" t="s">
        <v>53</v>
      </c>
      <c r="L3392" s="4">
        <v>9.4608554813364627</v>
      </c>
      <c r="M3392" s="1" t="s">
        <v>38</v>
      </c>
      <c r="N3392" s="11">
        <f t="shared" si="52"/>
        <v>5</v>
      </c>
    </row>
    <row r="3393" spans="1:14" ht="16" x14ac:dyDescent="0.2">
      <c r="A3393" s="3">
        <v>44181</v>
      </c>
      <c r="B3393" s="1" t="s">
        <v>3536</v>
      </c>
      <c r="C3393" t="s">
        <v>592</v>
      </c>
      <c r="D3393">
        <v>18</v>
      </c>
      <c r="E3393">
        <v>312</v>
      </c>
      <c r="F3393">
        <v>78</v>
      </c>
      <c r="G3393">
        <v>5616</v>
      </c>
      <c r="H3393" s="4">
        <v>1404</v>
      </c>
      <c r="I3393" s="4">
        <v>4212</v>
      </c>
      <c r="J3393" t="s">
        <v>444</v>
      </c>
      <c r="K3393" t="s">
        <v>42</v>
      </c>
      <c r="L3393" s="4">
        <v>15.861056998489449</v>
      </c>
      <c r="M3393" s="1" t="s">
        <v>54</v>
      </c>
      <c r="N3393" s="11">
        <f t="shared" si="52"/>
        <v>10</v>
      </c>
    </row>
    <row r="3394" spans="1:14" ht="16" x14ac:dyDescent="0.2">
      <c r="A3394" s="3">
        <v>44182</v>
      </c>
      <c r="B3394" s="1" t="s">
        <v>3537</v>
      </c>
      <c r="C3394" t="s">
        <v>399</v>
      </c>
      <c r="D3394">
        <v>6</v>
      </c>
      <c r="E3394">
        <v>160</v>
      </c>
      <c r="F3394">
        <v>80</v>
      </c>
      <c r="G3394">
        <v>960</v>
      </c>
      <c r="H3394" s="4">
        <v>480</v>
      </c>
      <c r="I3394" s="4">
        <v>480</v>
      </c>
      <c r="J3394" t="s">
        <v>155</v>
      </c>
      <c r="K3394" t="s">
        <v>42</v>
      </c>
      <c r="L3394" s="4">
        <v>13.378080355059918</v>
      </c>
      <c r="M3394" s="1" t="s">
        <v>38</v>
      </c>
      <c r="N3394" s="11">
        <f t="shared" si="52"/>
        <v>5</v>
      </c>
    </row>
    <row r="3395" spans="1:14" ht="16" x14ac:dyDescent="0.2">
      <c r="A3395" s="3">
        <v>44183</v>
      </c>
      <c r="B3395" s="1" t="s">
        <v>3538</v>
      </c>
      <c r="C3395" t="s">
        <v>410</v>
      </c>
      <c r="D3395">
        <v>9</v>
      </c>
      <c r="E3395">
        <v>84</v>
      </c>
      <c r="F3395">
        <v>21</v>
      </c>
      <c r="G3395">
        <v>756</v>
      </c>
      <c r="H3395" s="4">
        <v>189</v>
      </c>
      <c r="I3395" s="4">
        <v>567</v>
      </c>
      <c r="J3395" t="s">
        <v>189</v>
      </c>
      <c r="K3395" t="s">
        <v>58</v>
      </c>
      <c r="L3395" s="4">
        <v>12.551203838971933</v>
      </c>
      <c r="M3395" s="1" t="s">
        <v>34</v>
      </c>
      <c r="N3395" s="11">
        <f t="shared" ref="N3395:N3458" si="53">+IF(M3395="Dissatisfied",1,IF(M3395="Satisfied",10,5))</f>
        <v>1</v>
      </c>
    </row>
    <row r="3396" spans="1:14" ht="16" x14ac:dyDescent="0.2">
      <c r="A3396" s="3">
        <v>44184</v>
      </c>
      <c r="B3396" s="1" t="s">
        <v>3539</v>
      </c>
      <c r="C3396" t="s">
        <v>252</v>
      </c>
      <c r="D3396">
        <v>6</v>
      </c>
      <c r="E3396">
        <v>252</v>
      </c>
      <c r="F3396">
        <v>63</v>
      </c>
      <c r="G3396">
        <v>1512</v>
      </c>
      <c r="H3396" s="4">
        <v>378</v>
      </c>
      <c r="I3396" s="4">
        <v>1134</v>
      </c>
      <c r="J3396" t="s">
        <v>244</v>
      </c>
      <c r="K3396" t="s">
        <v>86</v>
      </c>
      <c r="L3396" s="4">
        <v>15.458859683514467</v>
      </c>
      <c r="M3396" s="1" t="s">
        <v>54</v>
      </c>
      <c r="N3396" s="11">
        <f t="shared" si="53"/>
        <v>10</v>
      </c>
    </row>
    <row r="3397" spans="1:14" ht="16" x14ac:dyDescent="0.2">
      <c r="A3397" s="3">
        <v>44185</v>
      </c>
      <c r="B3397" s="1" t="s">
        <v>3540</v>
      </c>
      <c r="C3397" t="s">
        <v>503</v>
      </c>
      <c r="D3397">
        <v>12</v>
      </c>
      <c r="E3397">
        <v>50</v>
      </c>
      <c r="F3397">
        <v>25</v>
      </c>
      <c r="G3397">
        <v>600</v>
      </c>
      <c r="H3397" s="4">
        <v>300</v>
      </c>
      <c r="I3397" s="4">
        <v>300</v>
      </c>
      <c r="J3397" t="s">
        <v>811</v>
      </c>
      <c r="K3397" t="s">
        <v>58</v>
      </c>
      <c r="L3397" s="4">
        <v>14.308257477047373</v>
      </c>
      <c r="M3397" s="1" t="s">
        <v>34</v>
      </c>
      <c r="N3397" s="11">
        <f t="shared" si="53"/>
        <v>1</v>
      </c>
    </row>
    <row r="3398" spans="1:14" ht="16" x14ac:dyDescent="0.2">
      <c r="A3398" s="3">
        <v>44186</v>
      </c>
      <c r="B3398" s="1" t="s">
        <v>3541</v>
      </c>
      <c r="C3398" t="s">
        <v>36</v>
      </c>
      <c r="D3398">
        <v>1</v>
      </c>
      <c r="E3398">
        <v>102</v>
      </c>
      <c r="F3398">
        <v>51</v>
      </c>
      <c r="G3398">
        <v>102</v>
      </c>
      <c r="H3398" s="4">
        <v>51</v>
      </c>
      <c r="I3398" s="4">
        <v>51</v>
      </c>
      <c r="J3398" t="s">
        <v>938</v>
      </c>
      <c r="K3398" t="s">
        <v>33</v>
      </c>
      <c r="L3398" s="4">
        <v>13.397308081757757</v>
      </c>
      <c r="M3398" s="1" t="s">
        <v>54</v>
      </c>
      <c r="N3398" s="11">
        <f t="shared" si="53"/>
        <v>10</v>
      </c>
    </row>
    <row r="3399" spans="1:14" ht="16" x14ac:dyDescent="0.2">
      <c r="A3399" s="3">
        <v>44187</v>
      </c>
      <c r="B3399" s="1" t="s">
        <v>3542</v>
      </c>
      <c r="C3399" t="s">
        <v>88</v>
      </c>
      <c r="D3399">
        <v>17</v>
      </c>
      <c r="E3399">
        <v>210</v>
      </c>
      <c r="F3399">
        <v>70</v>
      </c>
      <c r="G3399">
        <v>3570</v>
      </c>
      <c r="H3399" s="4">
        <v>1190</v>
      </c>
      <c r="I3399" s="4">
        <v>2380</v>
      </c>
      <c r="J3399" t="s">
        <v>270</v>
      </c>
      <c r="K3399" t="s">
        <v>42</v>
      </c>
      <c r="L3399" s="4">
        <v>12.661538237835474</v>
      </c>
      <c r="M3399" s="1" t="s">
        <v>34</v>
      </c>
      <c r="N3399" s="11">
        <f t="shared" si="53"/>
        <v>1</v>
      </c>
    </row>
    <row r="3400" spans="1:14" ht="16" x14ac:dyDescent="0.2">
      <c r="A3400" s="3">
        <v>44188</v>
      </c>
      <c r="B3400" s="1" t="s">
        <v>3543</v>
      </c>
      <c r="C3400" t="s">
        <v>185</v>
      </c>
      <c r="D3400">
        <v>13</v>
      </c>
      <c r="E3400">
        <v>146</v>
      </c>
      <c r="F3400">
        <v>73</v>
      </c>
      <c r="G3400">
        <v>1898</v>
      </c>
      <c r="H3400" s="4">
        <v>949</v>
      </c>
      <c r="I3400" s="4">
        <v>949</v>
      </c>
      <c r="J3400" t="s">
        <v>426</v>
      </c>
      <c r="K3400" t="s">
        <v>53</v>
      </c>
      <c r="L3400" s="4">
        <v>13.923194761258239</v>
      </c>
      <c r="M3400" s="1" t="s">
        <v>38</v>
      </c>
      <c r="N3400" s="11">
        <f t="shared" si="53"/>
        <v>5</v>
      </c>
    </row>
    <row r="3401" spans="1:14" ht="16" x14ac:dyDescent="0.2">
      <c r="A3401" s="3">
        <v>44189</v>
      </c>
      <c r="B3401" s="1" t="s">
        <v>2723</v>
      </c>
      <c r="C3401" t="s">
        <v>386</v>
      </c>
      <c r="D3401">
        <v>19</v>
      </c>
      <c r="E3401">
        <v>110</v>
      </c>
      <c r="F3401">
        <v>55</v>
      </c>
      <c r="G3401">
        <v>2090</v>
      </c>
      <c r="H3401" s="4">
        <v>1045</v>
      </c>
      <c r="I3401" s="4">
        <v>1045</v>
      </c>
      <c r="J3401" t="s">
        <v>361</v>
      </c>
      <c r="K3401" t="s">
        <v>64</v>
      </c>
      <c r="L3401" s="4">
        <v>13.092530646074781</v>
      </c>
      <c r="M3401" s="1" t="s">
        <v>54</v>
      </c>
      <c r="N3401" s="11">
        <f t="shared" si="53"/>
        <v>10</v>
      </c>
    </row>
    <row r="3402" spans="1:14" ht="16" x14ac:dyDescent="0.2">
      <c r="A3402" s="3">
        <v>44190</v>
      </c>
      <c r="B3402" s="1" t="s">
        <v>3544</v>
      </c>
      <c r="C3402" t="s">
        <v>788</v>
      </c>
      <c r="D3402">
        <v>6</v>
      </c>
      <c r="E3402">
        <v>100</v>
      </c>
      <c r="F3402">
        <v>25</v>
      </c>
      <c r="G3402">
        <v>600</v>
      </c>
      <c r="H3402" s="4">
        <v>150</v>
      </c>
      <c r="I3402" s="4">
        <v>450</v>
      </c>
      <c r="J3402" t="s">
        <v>1042</v>
      </c>
      <c r="K3402" t="s">
        <v>58</v>
      </c>
      <c r="L3402" s="4">
        <v>10.588336269016523</v>
      </c>
      <c r="M3402" s="1" t="s">
        <v>34</v>
      </c>
      <c r="N3402" s="11">
        <f t="shared" si="53"/>
        <v>1</v>
      </c>
    </row>
    <row r="3403" spans="1:14" ht="16" x14ac:dyDescent="0.2">
      <c r="A3403" s="3">
        <v>44191</v>
      </c>
      <c r="B3403" s="1" t="s">
        <v>3545</v>
      </c>
      <c r="C3403" t="s">
        <v>31</v>
      </c>
      <c r="D3403">
        <v>13</v>
      </c>
      <c r="E3403">
        <v>280</v>
      </c>
      <c r="F3403">
        <v>70</v>
      </c>
      <c r="G3403">
        <v>3640</v>
      </c>
      <c r="H3403" s="4">
        <v>910</v>
      </c>
      <c r="I3403" s="4">
        <v>2730</v>
      </c>
      <c r="J3403" t="s">
        <v>219</v>
      </c>
      <c r="K3403" t="s">
        <v>49</v>
      </c>
      <c r="L3403" s="4">
        <v>13.697485557052493</v>
      </c>
      <c r="M3403" s="1" t="s">
        <v>38</v>
      </c>
      <c r="N3403" s="11">
        <f t="shared" si="53"/>
        <v>5</v>
      </c>
    </row>
    <row r="3404" spans="1:14" ht="16" x14ac:dyDescent="0.2">
      <c r="A3404" s="3">
        <v>44192</v>
      </c>
      <c r="B3404" s="1" t="s">
        <v>3546</v>
      </c>
      <c r="C3404" t="s">
        <v>56</v>
      </c>
      <c r="D3404">
        <v>1</v>
      </c>
      <c r="E3404">
        <v>38</v>
      </c>
      <c r="F3404">
        <v>19</v>
      </c>
      <c r="G3404">
        <v>38</v>
      </c>
      <c r="H3404" s="4">
        <v>19</v>
      </c>
      <c r="I3404" s="4">
        <v>19</v>
      </c>
      <c r="J3404" t="s">
        <v>786</v>
      </c>
      <c r="K3404" t="s">
        <v>86</v>
      </c>
      <c r="L3404" s="4">
        <v>13.095446915421235</v>
      </c>
      <c r="M3404" s="1" t="s">
        <v>38</v>
      </c>
      <c r="N3404" s="11">
        <f t="shared" si="53"/>
        <v>5</v>
      </c>
    </row>
    <row r="3405" spans="1:14" ht="16" x14ac:dyDescent="0.2">
      <c r="A3405" s="3">
        <v>44193</v>
      </c>
      <c r="B3405" s="1" t="s">
        <v>3547</v>
      </c>
      <c r="C3405" t="s">
        <v>431</v>
      </c>
      <c r="D3405">
        <v>1</v>
      </c>
      <c r="E3405">
        <v>356</v>
      </c>
      <c r="F3405">
        <v>89</v>
      </c>
      <c r="G3405">
        <v>356</v>
      </c>
      <c r="H3405" s="4">
        <v>89</v>
      </c>
      <c r="I3405" s="4">
        <v>267</v>
      </c>
      <c r="J3405" t="s">
        <v>1434</v>
      </c>
      <c r="K3405" t="s">
        <v>86</v>
      </c>
      <c r="L3405" s="4">
        <v>10.826646539963521</v>
      </c>
      <c r="M3405" s="1" t="s">
        <v>54</v>
      </c>
      <c r="N3405" s="11">
        <f t="shared" si="53"/>
        <v>10</v>
      </c>
    </row>
    <row r="3406" spans="1:14" ht="16" x14ac:dyDescent="0.2">
      <c r="A3406" s="3">
        <v>44194</v>
      </c>
      <c r="B3406" s="1" t="s">
        <v>3548</v>
      </c>
      <c r="C3406" t="s">
        <v>201</v>
      </c>
      <c r="D3406">
        <v>16</v>
      </c>
      <c r="E3406">
        <v>30</v>
      </c>
      <c r="F3406">
        <v>15</v>
      </c>
      <c r="G3406">
        <v>480</v>
      </c>
      <c r="H3406" s="4">
        <v>240</v>
      </c>
      <c r="I3406" s="4">
        <v>240</v>
      </c>
      <c r="J3406" t="s">
        <v>1008</v>
      </c>
      <c r="K3406" t="s">
        <v>58</v>
      </c>
      <c r="L3406" s="4">
        <v>9.9471686551317795</v>
      </c>
      <c r="M3406" s="1" t="s">
        <v>54</v>
      </c>
      <c r="N3406" s="11">
        <f t="shared" si="53"/>
        <v>10</v>
      </c>
    </row>
    <row r="3407" spans="1:14" ht="16" x14ac:dyDescent="0.2">
      <c r="A3407" s="3">
        <v>44195</v>
      </c>
      <c r="B3407" s="1" t="s">
        <v>1779</v>
      </c>
      <c r="C3407" t="s">
        <v>69</v>
      </c>
      <c r="D3407">
        <v>4</v>
      </c>
      <c r="E3407">
        <v>184</v>
      </c>
      <c r="F3407">
        <v>92</v>
      </c>
      <c r="G3407">
        <v>736</v>
      </c>
      <c r="H3407" s="4">
        <v>368</v>
      </c>
      <c r="I3407" s="4">
        <v>368</v>
      </c>
      <c r="J3407" t="s">
        <v>1721</v>
      </c>
      <c r="K3407" t="s">
        <v>58</v>
      </c>
      <c r="L3407" s="4">
        <v>13.537350739681813</v>
      </c>
      <c r="M3407" s="1" t="s">
        <v>34</v>
      </c>
      <c r="N3407" s="11">
        <f t="shared" si="53"/>
        <v>1</v>
      </c>
    </row>
    <row r="3408" spans="1:14" ht="16" x14ac:dyDescent="0.2">
      <c r="A3408" s="3">
        <v>44196</v>
      </c>
      <c r="B3408" s="1" t="s">
        <v>3549</v>
      </c>
      <c r="C3408" t="s">
        <v>72</v>
      </c>
      <c r="D3408">
        <v>3</v>
      </c>
      <c r="E3408">
        <v>352</v>
      </c>
      <c r="F3408">
        <v>88</v>
      </c>
      <c r="G3408">
        <v>1056</v>
      </c>
      <c r="H3408" s="4">
        <v>264</v>
      </c>
      <c r="I3408" s="4">
        <v>792</v>
      </c>
      <c r="J3408" t="s">
        <v>495</v>
      </c>
      <c r="K3408" t="s">
        <v>64</v>
      </c>
      <c r="L3408" s="4">
        <v>8.8878868765808274</v>
      </c>
      <c r="M3408" s="1" t="s">
        <v>38</v>
      </c>
      <c r="N3408" s="11">
        <f t="shared" si="53"/>
        <v>5</v>
      </c>
    </row>
    <row r="3409" spans="1:14" ht="16" x14ac:dyDescent="0.2">
      <c r="A3409" s="3">
        <v>44197</v>
      </c>
      <c r="B3409" s="1" t="s">
        <v>1161</v>
      </c>
      <c r="C3409" t="s">
        <v>142</v>
      </c>
      <c r="D3409">
        <v>20</v>
      </c>
      <c r="E3409">
        <v>210</v>
      </c>
      <c r="F3409">
        <v>70</v>
      </c>
      <c r="G3409">
        <v>4200</v>
      </c>
      <c r="H3409" s="4">
        <v>1400</v>
      </c>
      <c r="I3409" s="4">
        <v>2800</v>
      </c>
      <c r="J3409" t="s">
        <v>221</v>
      </c>
      <c r="K3409" t="s">
        <v>49</v>
      </c>
      <c r="L3409" s="4">
        <v>12.396052160428608</v>
      </c>
      <c r="M3409" s="1" t="s">
        <v>54</v>
      </c>
      <c r="N3409" s="11">
        <f t="shared" si="53"/>
        <v>10</v>
      </c>
    </row>
    <row r="3410" spans="1:14" ht="16" x14ac:dyDescent="0.2">
      <c r="A3410" s="3">
        <v>44198</v>
      </c>
      <c r="B3410" s="1" t="s">
        <v>3550</v>
      </c>
      <c r="C3410" t="s">
        <v>201</v>
      </c>
      <c r="D3410">
        <v>17</v>
      </c>
      <c r="E3410">
        <v>30</v>
      </c>
      <c r="F3410">
        <v>15</v>
      </c>
      <c r="G3410">
        <v>510</v>
      </c>
      <c r="H3410" s="4">
        <v>255</v>
      </c>
      <c r="I3410" s="4">
        <v>255</v>
      </c>
      <c r="J3410" t="s">
        <v>123</v>
      </c>
      <c r="K3410" t="s">
        <v>53</v>
      </c>
      <c r="L3410" s="4">
        <v>10.42743035829395</v>
      </c>
      <c r="M3410" s="1" t="s">
        <v>34</v>
      </c>
      <c r="N3410" s="11">
        <f t="shared" si="53"/>
        <v>1</v>
      </c>
    </row>
    <row r="3411" spans="1:14" ht="16" x14ac:dyDescent="0.2">
      <c r="A3411" s="3">
        <v>44199</v>
      </c>
      <c r="B3411" s="1" t="s">
        <v>3551</v>
      </c>
      <c r="C3411" t="s">
        <v>201</v>
      </c>
      <c r="D3411">
        <v>2</v>
      </c>
      <c r="E3411">
        <v>30</v>
      </c>
      <c r="F3411">
        <v>15</v>
      </c>
      <c r="G3411">
        <v>60</v>
      </c>
      <c r="H3411" s="4">
        <v>30</v>
      </c>
      <c r="I3411" s="4">
        <v>30</v>
      </c>
      <c r="J3411" t="s">
        <v>1279</v>
      </c>
      <c r="K3411" t="s">
        <v>33</v>
      </c>
      <c r="L3411" s="4">
        <v>6.221489120484736</v>
      </c>
      <c r="M3411" s="1" t="s">
        <v>34</v>
      </c>
      <c r="N3411" s="11">
        <f t="shared" si="53"/>
        <v>1</v>
      </c>
    </row>
    <row r="3412" spans="1:14" ht="16" x14ac:dyDescent="0.2">
      <c r="A3412" s="3">
        <v>44200</v>
      </c>
      <c r="B3412" s="1" t="s">
        <v>3108</v>
      </c>
      <c r="C3412" t="s">
        <v>69</v>
      </c>
      <c r="D3412">
        <v>17</v>
      </c>
      <c r="E3412">
        <v>184</v>
      </c>
      <c r="F3412">
        <v>92</v>
      </c>
      <c r="G3412">
        <v>3128</v>
      </c>
      <c r="H3412" s="4">
        <v>1564</v>
      </c>
      <c r="I3412" s="4">
        <v>1564</v>
      </c>
      <c r="J3412" t="s">
        <v>41</v>
      </c>
      <c r="K3412" t="s">
        <v>42</v>
      </c>
      <c r="L3412" s="4">
        <v>9.3226775515721787</v>
      </c>
      <c r="M3412" s="1" t="s">
        <v>38</v>
      </c>
      <c r="N3412" s="11">
        <f t="shared" si="53"/>
        <v>5</v>
      </c>
    </row>
    <row r="3413" spans="1:14" ht="16" x14ac:dyDescent="0.2">
      <c r="A3413" s="3">
        <v>44201</v>
      </c>
      <c r="B3413" s="1" t="s">
        <v>3552</v>
      </c>
      <c r="C3413" t="s">
        <v>163</v>
      </c>
      <c r="D3413">
        <v>12</v>
      </c>
      <c r="E3413">
        <v>108</v>
      </c>
      <c r="F3413">
        <v>36</v>
      </c>
      <c r="G3413">
        <v>1296</v>
      </c>
      <c r="H3413" s="4">
        <v>432</v>
      </c>
      <c r="I3413" s="4">
        <v>864</v>
      </c>
      <c r="J3413" t="s">
        <v>1223</v>
      </c>
      <c r="K3413" t="s">
        <v>53</v>
      </c>
      <c r="L3413" s="4">
        <v>10.428287009858728</v>
      </c>
      <c r="M3413" s="1" t="s">
        <v>38</v>
      </c>
      <c r="N3413" s="11">
        <f t="shared" si="53"/>
        <v>5</v>
      </c>
    </row>
    <row r="3414" spans="1:14" ht="16" x14ac:dyDescent="0.2">
      <c r="A3414" s="3">
        <v>44202</v>
      </c>
      <c r="B3414" s="1" t="s">
        <v>3553</v>
      </c>
      <c r="C3414" t="s">
        <v>297</v>
      </c>
      <c r="D3414">
        <v>19</v>
      </c>
      <c r="E3414">
        <v>108</v>
      </c>
      <c r="F3414">
        <v>36</v>
      </c>
      <c r="G3414">
        <v>2052</v>
      </c>
      <c r="H3414" s="4">
        <v>684</v>
      </c>
      <c r="I3414" s="4">
        <v>1368</v>
      </c>
      <c r="J3414" t="s">
        <v>79</v>
      </c>
      <c r="K3414" t="s">
        <v>64</v>
      </c>
      <c r="L3414" s="4">
        <v>12.163730387337393</v>
      </c>
      <c r="M3414" s="1" t="s">
        <v>38</v>
      </c>
      <c r="N3414" s="11">
        <f t="shared" si="53"/>
        <v>5</v>
      </c>
    </row>
    <row r="3415" spans="1:14" ht="16" x14ac:dyDescent="0.2">
      <c r="A3415" s="3">
        <v>44203</v>
      </c>
      <c r="B3415" s="1" t="s">
        <v>3554</v>
      </c>
      <c r="C3415" t="s">
        <v>257</v>
      </c>
      <c r="D3415">
        <v>2</v>
      </c>
      <c r="E3415">
        <v>160</v>
      </c>
      <c r="F3415">
        <v>80</v>
      </c>
      <c r="G3415">
        <v>320</v>
      </c>
      <c r="H3415" s="4">
        <v>160</v>
      </c>
      <c r="I3415" s="4">
        <v>160</v>
      </c>
      <c r="J3415" t="s">
        <v>41</v>
      </c>
      <c r="K3415" t="s">
        <v>42</v>
      </c>
      <c r="L3415" s="4">
        <v>9.3226775515721787</v>
      </c>
      <c r="M3415" s="1" t="s">
        <v>38</v>
      </c>
      <c r="N3415" s="11">
        <f t="shared" si="53"/>
        <v>5</v>
      </c>
    </row>
    <row r="3416" spans="1:14" ht="16" x14ac:dyDescent="0.2">
      <c r="A3416" s="3">
        <v>44204</v>
      </c>
      <c r="B3416" s="1" t="s">
        <v>3555</v>
      </c>
      <c r="C3416" t="s">
        <v>340</v>
      </c>
      <c r="D3416">
        <v>2</v>
      </c>
      <c r="E3416">
        <v>180</v>
      </c>
      <c r="F3416">
        <v>45</v>
      </c>
      <c r="G3416">
        <v>360</v>
      </c>
      <c r="H3416" s="4">
        <v>90</v>
      </c>
      <c r="I3416" s="4">
        <v>270</v>
      </c>
      <c r="J3416" t="s">
        <v>1573</v>
      </c>
      <c r="K3416" t="s">
        <v>64</v>
      </c>
      <c r="L3416" s="4">
        <v>10.78374703625888</v>
      </c>
      <c r="M3416" s="1" t="s">
        <v>38</v>
      </c>
      <c r="N3416" s="11">
        <f t="shared" si="53"/>
        <v>5</v>
      </c>
    </row>
    <row r="3417" spans="1:14" ht="16" x14ac:dyDescent="0.2">
      <c r="A3417" s="3">
        <v>44205</v>
      </c>
      <c r="B3417" s="1" t="s">
        <v>3556</v>
      </c>
      <c r="C3417" t="s">
        <v>283</v>
      </c>
      <c r="D3417">
        <v>11</v>
      </c>
      <c r="E3417">
        <v>144</v>
      </c>
      <c r="F3417">
        <v>36</v>
      </c>
      <c r="G3417">
        <v>1584</v>
      </c>
      <c r="H3417" s="4">
        <v>396</v>
      </c>
      <c r="I3417" s="4">
        <v>1188</v>
      </c>
      <c r="J3417" t="s">
        <v>179</v>
      </c>
      <c r="K3417" t="s">
        <v>53</v>
      </c>
      <c r="L3417" s="4">
        <v>11.36085047138285</v>
      </c>
      <c r="M3417" s="1" t="s">
        <v>34</v>
      </c>
      <c r="N3417" s="11">
        <f t="shared" si="53"/>
        <v>1</v>
      </c>
    </row>
    <row r="3418" spans="1:14" ht="16" x14ac:dyDescent="0.2">
      <c r="A3418" s="3">
        <v>44206</v>
      </c>
      <c r="B3418" s="1" t="s">
        <v>3557</v>
      </c>
      <c r="C3418" t="s">
        <v>473</v>
      </c>
      <c r="D3418">
        <v>8</v>
      </c>
      <c r="E3418">
        <v>72</v>
      </c>
      <c r="F3418">
        <v>36</v>
      </c>
      <c r="G3418">
        <v>576</v>
      </c>
      <c r="H3418" s="4">
        <v>288</v>
      </c>
      <c r="I3418" s="4">
        <v>288</v>
      </c>
      <c r="J3418" t="s">
        <v>629</v>
      </c>
      <c r="K3418" t="s">
        <v>53</v>
      </c>
      <c r="L3418" s="4">
        <v>9.8892508156549788</v>
      </c>
      <c r="M3418" s="1" t="s">
        <v>54</v>
      </c>
      <c r="N3418" s="11">
        <f t="shared" si="53"/>
        <v>10</v>
      </c>
    </row>
    <row r="3419" spans="1:14" ht="16" x14ac:dyDescent="0.2">
      <c r="A3419" s="3">
        <v>44207</v>
      </c>
      <c r="B3419" s="1" t="s">
        <v>3558</v>
      </c>
      <c r="C3419" t="s">
        <v>299</v>
      </c>
      <c r="D3419">
        <v>6</v>
      </c>
      <c r="E3419">
        <v>225</v>
      </c>
      <c r="F3419">
        <v>75</v>
      </c>
      <c r="G3419">
        <v>1350</v>
      </c>
      <c r="H3419" s="4">
        <v>450</v>
      </c>
      <c r="I3419" s="4">
        <v>900</v>
      </c>
      <c r="J3419" t="s">
        <v>392</v>
      </c>
      <c r="K3419" t="s">
        <v>49</v>
      </c>
      <c r="L3419" s="4">
        <v>12.456740895640767</v>
      </c>
      <c r="M3419" s="1" t="s">
        <v>38</v>
      </c>
      <c r="N3419" s="11">
        <f t="shared" si="53"/>
        <v>5</v>
      </c>
    </row>
    <row r="3420" spans="1:14" ht="16" x14ac:dyDescent="0.2">
      <c r="A3420" s="3">
        <v>44208</v>
      </c>
      <c r="B3420" s="1" t="s">
        <v>3559</v>
      </c>
      <c r="C3420" t="s">
        <v>365</v>
      </c>
      <c r="D3420">
        <v>18</v>
      </c>
      <c r="E3420">
        <v>255</v>
      </c>
      <c r="F3420">
        <v>85</v>
      </c>
      <c r="G3420">
        <v>4590</v>
      </c>
      <c r="H3420" s="4">
        <v>1530</v>
      </c>
      <c r="I3420" s="4">
        <v>3060</v>
      </c>
      <c r="J3420" t="s">
        <v>912</v>
      </c>
      <c r="K3420" t="s">
        <v>64</v>
      </c>
      <c r="L3420" s="4">
        <v>11.816651848338852</v>
      </c>
      <c r="M3420" s="1" t="s">
        <v>34</v>
      </c>
      <c r="N3420" s="11">
        <f t="shared" si="53"/>
        <v>1</v>
      </c>
    </row>
    <row r="3421" spans="1:14" ht="16" x14ac:dyDescent="0.2">
      <c r="A3421" s="3">
        <v>44209</v>
      </c>
      <c r="B3421" s="1" t="s">
        <v>3560</v>
      </c>
      <c r="C3421" t="s">
        <v>185</v>
      </c>
      <c r="D3421">
        <v>3</v>
      </c>
      <c r="E3421">
        <v>146</v>
      </c>
      <c r="F3421">
        <v>73</v>
      </c>
      <c r="G3421">
        <v>438</v>
      </c>
      <c r="H3421" s="4">
        <v>219</v>
      </c>
      <c r="I3421" s="4">
        <v>219</v>
      </c>
      <c r="J3421" t="s">
        <v>149</v>
      </c>
      <c r="K3421" t="s">
        <v>58</v>
      </c>
      <c r="L3421" s="4">
        <v>8.1085102757869372</v>
      </c>
      <c r="M3421" s="1" t="s">
        <v>38</v>
      </c>
      <c r="N3421" s="11">
        <f t="shared" si="53"/>
        <v>5</v>
      </c>
    </row>
    <row r="3422" spans="1:14" ht="16" x14ac:dyDescent="0.2">
      <c r="A3422" s="3">
        <v>44210</v>
      </c>
      <c r="B3422" s="1" t="s">
        <v>3561</v>
      </c>
      <c r="C3422" t="s">
        <v>523</v>
      </c>
      <c r="D3422">
        <v>2</v>
      </c>
      <c r="E3422">
        <v>92</v>
      </c>
      <c r="F3422">
        <v>46</v>
      </c>
      <c r="G3422">
        <v>184</v>
      </c>
      <c r="H3422" s="4">
        <v>92</v>
      </c>
      <c r="I3422" s="4">
        <v>92</v>
      </c>
      <c r="J3422" t="s">
        <v>506</v>
      </c>
      <c r="K3422" t="s">
        <v>33</v>
      </c>
      <c r="L3422" s="4">
        <v>13.917704159139552</v>
      </c>
      <c r="M3422" s="1" t="s">
        <v>54</v>
      </c>
      <c r="N3422" s="11">
        <f t="shared" si="53"/>
        <v>10</v>
      </c>
    </row>
    <row r="3423" spans="1:14" ht="16" x14ac:dyDescent="0.2">
      <c r="A3423" s="3">
        <v>44211</v>
      </c>
      <c r="B3423" s="1" t="s">
        <v>3562</v>
      </c>
      <c r="C3423" t="s">
        <v>248</v>
      </c>
      <c r="D3423">
        <v>6</v>
      </c>
      <c r="E3423">
        <v>132</v>
      </c>
      <c r="F3423">
        <v>44</v>
      </c>
      <c r="G3423">
        <v>792</v>
      </c>
      <c r="H3423" s="4">
        <v>264</v>
      </c>
      <c r="I3423" s="4">
        <v>528</v>
      </c>
      <c r="J3423" t="s">
        <v>806</v>
      </c>
      <c r="K3423" t="s">
        <v>86</v>
      </c>
      <c r="L3423" s="4">
        <v>11.927799225928501</v>
      </c>
      <c r="M3423" s="1" t="s">
        <v>38</v>
      </c>
      <c r="N3423" s="11">
        <f t="shared" si="53"/>
        <v>5</v>
      </c>
    </row>
    <row r="3424" spans="1:14" ht="16" x14ac:dyDescent="0.2">
      <c r="A3424" s="3">
        <v>44212</v>
      </c>
      <c r="B3424" s="1" t="s">
        <v>3563</v>
      </c>
      <c r="C3424" t="s">
        <v>185</v>
      </c>
      <c r="D3424">
        <v>15</v>
      </c>
      <c r="E3424">
        <v>146</v>
      </c>
      <c r="F3424">
        <v>73</v>
      </c>
      <c r="G3424">
        <v>2190</v>
      </c>
      <c r="H3424" s="4">
        <v>1095</v>
      </c>
      <c r="I3424" s="4">
        <v>1095</v>
      </c>
      <c r="J3424" t="s">
        <v>854</v>
      </c>
      <c r="K3424" t="s">
        <v>58</v>
      </c>
      <c r="L3424" s="4">
        <v>12.990345718839325</v>
      </c>
      <c r="M3424" s="1" t="s">
        <v>38</v>
      </c>
      <c r="N3424" s="11">
        <f t="shared" si="53"/>
        <v>5</v>
      </c>
    </row>
    <row r="3425" spans="1:14" ht="16" x14ac:dyDescent="0.2">
      <c r="A3425" s="3">
        <v>44213</v>
      </c>
      <c r="B3425" s="1" t="s">
        <v>3564</v>
      </c>
      <c r="C3425" t="s">
        <v>248</v>
      </c>
      <c r="D3425">
        <v>18</v>
      </c>
      <c r="E3425">
        <v>132</v>
      </c>
      <c r="F3425">
        <v>44</v>
      </c>
      <c r="G3425">
        <v>2376</v>
      </c>
      <c r="H3425" s="4">
        <v>792</v>
      </c>
      <c r="I3425" s="4">
        <v>1584</v>
      </c>
      <c r="J3425" t="s">
        <v>444</v>
      </c>
      <c r="K3425" t="s">
        <v>42</v>
      </c>
      <c r="L3425" s="4">
        <v>15.861056998489449</v>
      </c>
      <c r="M3425" s="1" t="s">
        <v>38</v>
      </c>
      <c r="N3425" s="11">
        <f t="shared" si="53"/>
        <v>5</v>
      </c>
    </row>
    <row r="3426" spans="1:14" ht="16" x14ac:dyDescent="0.2">
      <c r="A3426" s="3">
        <v>44214</v>
      </c>
      <c r="B3426" s="1" t="s">
        <v>3565</v>
      </c>
      <c r="C3426" t="s">
        <v>51</v>
      </c>
      <c r="D3426">
        <v>13</v>
      </c>
      <c r="E3426">
        <v>160</v>
      </c>
      <c r="F3426">
        <v>80</v>
      </c>
      <c r="G3426">
        <v>2080</v>
      </c>
      <c r="H3426" s="4">
        <v>1040</v>
      </c>
      <c r="I3426" s="4">
        <v>1040</v>
      </c>
      <c r="J3426" t="s">
        <v>720</v>
      </c>
      <c r="K3426" t="s">
        <v>53</v>
      </c>
      <c r="L3426" s="4">
        <v>13.106678263594747</v>
      </c>
      <c r="M3426" s="1" t="s">
        <v>38</v>
      </c>
      <c r="N3426" s="11">
        <f t="shared" si="53"/>
        <v>5</v>
      </c>
    </row>
    <row r="3427" spans="1:14" ht="16" x14ac:dyDescent="0.2">
      <c r="A3427" s="3">
        <v>44215</v>
      </c>
      <c r="B3427" s="1" t="s">
        <v>3566</v>
      </c>
      <c r="C3427" t="s">
        <v>93</v>
      </c>
      <c r="D3427">
        <v>11</v>
      </c>
      <c r="E3427">
        <v>204</v>
      </c>
      <c r="F3427">
        <v>51</v>
      </c>
      <c r="G3427">
        <v>2244</v>
      </c>
      <c r="H3427" s="4">
        <v>561</v>
      </c>
      <c r="I3427" s="4">
        <v>1683</v>
      </c>
      <c r="J3427" t="s">
        <v>338</v>
      </c>
      <c r="K3427" t="s">
        <v>64</v>
      </c>
      <c r="L3427" s="4">
        <v>10.132922049221957</v>
      </c>
      <c r="M3427" s="1" t="s">
        <v>54</v>
      </c>
      <c r="N3427" s="11">
        <f t="shared" si="53"/>
        <v>10</v>
      </c>
    </row>
    <row r="3428" spans="1:14" ht="16" x14ac:dyDescent="0.2">
      <c r="A3428" s="3">
        <v>44216</v>
      </c>
      <c r="B3428" s="1" t="s">
        <v>3567</v>
      </c>
      <c r="C3428" t="s">
        <v>215</v>
      </c>
      <c r="D3428">
        <v>5</v>
      </c>
      <c r="E3428">
        <v>176</v>
      </c>
      <c r="F3428">
        <v>88</v>
      </c>
      <c r="G3428">
        <v>880</v>
      </c>
      <c r="H3428" s="4">
        <v>440</v>
      </c>
      <c r="I3428" s="4">
        <v>440</v>
      </c>
      <c r="J3428" t="s">
        <v>564</v>
      </c>
      <c r="K3428" t="s">
        <v>53</v>
      </c>
      <c r="L3428" s="4">
        <v>11.563724686003232</v>
      </c>
      <c r="M3428" s="1" t="s">
        <v>38</v>
      </c>
      <c r="N3428" s="11">
        <f t="shared" si="53"/>
        <v>5</v>
      </c>
    </row>
    <row r="3429" spans="1:14" ht="16" x14ac:dyDescent="0.2">
      <c r="A3429" s="3">
        <v>44217</v>
      </c>
      <c r="B3429" s="1" t="s">
        <v>3568</v>
      </c>
      <c r="C3429" t="s">
        <v>81</v>
      </c>
      <c r="D3429">
        <v>15</v>
      </c>
      <c r="E3429">
        <v>166</v>
      </c>
      <c r="F3429">
        <v>83</v>
      </c>
      <c r="G3429">
        <v>2490</v>
      </c>
      <c r="H3429" s="4">
        <v>1245</v>
      </c>
      <c r="I3429" s="4">
        <v>1245</v>
      </c>
      <c r="J3429" t="s">
        <v>580</v>
      </c>
      <c r="K3429" t="s">
        <v>58</v>
      </c>
      <c r="L3429" s="4">
        <v>14.66147716237918</v>
      </c>
      <c r="M3429" s="1" t="s">
        <v>38</v>
      </c>
      <c r="N3429" s="11">
        <f t="shared" si="53"/>
        <v>5</v>
      </c>
    </row>
    <row r="3430" spans="1:14" ht="16" x14ac:dyDescent="0.2">
      <c r="A3430" s="3">
        <v>44218</v>
      </c>
      <c r="B3430" s="1" t="s">
        <v>3569</v>
      </c>
      <c r="C3430" t="s">
        <v>201</v>
      </c>
      <c r="D3430">
        <v>9</v>
      </c>
      <c r="E3430">
        <v>30</v>
      </c>
      <c r="F3430">
        <v>15</v>
      </c>
      <c r="G3430">
        <v>270</v>
      </c>
      <c r="H3430" s="4">
        <v>135</v>
      </c>
      <c r="I3430" s="4">
        <v>135</v>
      </c>
      <c r="J3430" t="s">
        <v>542</v>
      </c>
      <c r="K3430" t="s">
        <v>58</v>
      </c>
      <c r="L3430" s="4">
        <v>13.929237493388955</v>
      </c>
      <c r="M3430" s="1" t="s">
        <v>34</v>
      </c>
      <c r="N3430" s="11">
        <f t="shared" si="53"/>
        <v>1</v>
      </c>
    </row>
    <row r="3431" spans="1:14" ht="16" x14ac:dyDescent="0.2">
      <c r="A3431" s="3">
        <v>44219</v>
      </c>
      <c r="B3431" s="1" t="s">
        <v>3570</v>
      </c>
      <c r="C3431" t="s">
        <v>157</v>
      </c>
      <c r="D3431">
        <v>20</v>
      </c>
      <c r="E3431">
        <v>50</v>
      </c>
      <c r="F3431">
        <v>25</v>
      </c>
      <c r="G3431">
        <v>1000</v>
      </c>
      <c r="H3431" s="4">
        <v>500</v>
      </c>
      <c r="I3431" s="4">
        <v>500</v>
      </c>
      <c r="J3431" t="s">
        <v>230</v>
      </c>
      <c r="K3431" t="s">
        <v>42</v>
      </c>
      <c r="L3431" s="4">
        <v>12.172922939334034</v>
      </c>
      <c r="M3431" s="1" t="s">
        <v>38</v>
      </c>
      <c r="N3431" s="11">
        <f t="shared" si="53"/>
        <v>5</v>
      </c>
    </row>
    <row r="3432" spans="1:14" ht="16" x14ac:dyDescent="0.2">
      <c r="A3432" s="3">
        <v>44220</v>
      </c>
      <c r="B3432" s="1" t="s">
        <v>3571</v>
      </c>
      <c r="C3432" t="s">
        <v>204</v>
      </c>
      <c r="D3432">
        <v>3</v>
      </c>
      <c r="E3432">
        <v>57</v>
      </c>
      <c r="F3432">
        <v>19</v>
      </c>
      <c r="G3432">
        <v>171</v>
      </c>
      <c r="H3432" s="4">
        <v>57</v>
      </c>
      <c r="I3432" s="4">
        <v>114</v>
      </c>
      <c r="J3432" t="s">
        <v>862</v>
      </c>
      <c r="K3432" t="s">
        <v>58</v>
      </c>
      <c r="L3432" s="4">
        <v>13.827196127590291</v>
      </c>
      <c r="M3432" s="1" t="s">
        <v>34</v>
      </c>
      <c r="N3432" s="11">
        <f t="shared" si="53"/>
        <v>1</v>
      </c>
    </row>
    <row r="3433" spans="1:14" ht="16" x14ac:dyDescent="0.2">
      <c r="A3433" s="3">
        <v>44221</v>
      </c>
      <c r="B3433" s="1" t="s">
        <v>3572</v>
      </c>
      <c r="C3433" t="s">
        <v>105</v>
      </c>
      <c r="D3433">
        <v>9</v>
      </c>
      <c r="E3433">
        <v>201</v>
      </c>
      <c r="F3433">
        <v>67</v>
      </c>
      <c r="G3433">
        <v>1809</v>
      </c>
      <c r="H3433" s="4">
        <v>603</v>
      </c>
      <c r="I3433" s="4">
        <v>1206</v>
      </c>
      <c r="J3433" t="s">
        <v>1671</v>
      </c>
      <c r="K3433" t="s">
        <v>86</v>
      </c>
      <c r="L3433" s="4">
        <v>15.239568994601312</v>
      </c>
      <c r="M3433" s="1" t="s">
        <v>34</v>
      </c>
      <c r="N3433" s="11">
        <f t="shared" si="53"/>
        <v>1</v>
      </c>
    </row>
    <row r="3434" spans="1:14" ht="16" x14ac:dyDescent="0.2">
      <c r="A3434" s="3">
        <v>44222</v>
      </c>
      <c r="B3434" s="1" t="s">
        <v>3573</v>
      </c>
      <c r="C3434" t="s">
        <v>425</v>
      </c>
      <c r="D3434">
        <v>3</v>
      </c>
      <c r="E3434">
        <v>352</v>
      </c>
      <c r="F3434">
        <v>88</v>
      </c>
      <c r="G3434">
        <v>1056</v>
      </c>
      <c r="H3434" s="4">
        <v>264</v>
      </c>
      <c r="I3434" s="4">
        <v>792</v>
      </c>
      <c r="J3434" t="s">
        <v>1042</v>
      </c>
      <c r="K3434" t="s">
        <v>58</v>
      </c>
      <c r="L3434" s="4">
        <v>10.588336269016523</v>
      </c>
      <c r="M3434" s="1" t="s">
        <v>38</v>
      </c>
      <c r="N3434" s="11">
        <f t="shared" si="53"/>
        <v>5</v>
      </c>
    </row>
    <row r="3435" spans="1:14" ht="16" x14ac:dyDescent="0.2">
      <c r="A3435" s="3">
        <v>44223</v>
      </c>
      <c r="B3435" s="1" t="s">
        <v>3574</v>
      </c>
      <c r="C3435" t="s">
        <v>163</v>
      </c>
      <c r="D3435">
        <v>17</v>
      </c>
      <c r="E3435">
        <v>108</v>
      </c>
      <c r="F3435">
        <v>36</v>
      </c>
      <c r="G3435">
        <v>1836</v>
      </c>
      <c r="H3435" s="4">
        <v>612</v>
      </c>
      <c r="I3435" s="4">
        <v>1224</v>
      </c>
      <c r="J3435" t="s">
        <v>545</v>
      </c>
      <c r="K3435" t="s">
        <v>53</v>
      </c>
      <c r="L3435" s="4">
        <v>10.112765954734209</v>
      </c>
      <c r="M3435" s="1" t="s">
        <v>38</v>
      </c>
      <c r="N3435" s="11">
        <f t="shared" si="53"/>
        <v>5</v>
      </c>
    </row>
    <row r="3436" spans="1:14" ht="16" x14ac:dyDescent="0.2">
      <c r="A3436" s="3">
        <v>44224</v>
      </c>
      <c r="B3436" s="1" t="s">
        <v>3575</v>
      </c>
      <c r="C3436" t="s">
        <v>788</v>
      </c>
      <c r="D3436">
        <v>3</v>
      </c>
      <c r="E3436">
        <v>100</v>
      </c>
      <c r="F3436">
        <v>25</v>
      </c>
      <c r="G3436">
        <v>300</v>
      </c>
      <c r="H3436" s="4">
        <v>75</v>
      </c>
      <c r="I3436" s="4">
        <v>225</v>
      </c>
      <c r="J3436" t="s">
        <v>854</v>
      </c>
      <c r="K3436" t="s">
        <v>58</v>
      </c>
      <c r="L3436" s="4">
        <v>12.990345718839325</v>
      </c>
      <c r="M3436" s="1" t="s">
        <v>38</v>
      </c>
      <c r="N3436" s="11">
        <f t="shared" si="53"/>
        <v>5</v>
      </c>
    </row>
    <row r="3437" spans="1:14" ht="16" x14ac:dyDescent="0.2">
      <c r="A3437" s="3">
        <v>44225</v>
      </c>
      <c r="B3437" s="1" t="s">
        <v>3576</v>
      </c>
      <c r="C3437" t="s">
        <v>340</v>
      </c>
      <c r="D3437">
        <v>13</v>
      </c>
      <c r="E3437">
        <v>180</v>
      </c>
      <c r="F3437">
        <v>45</v>
      </c>
      <c r="G3437">
        <v>2340</v>
      </c>
      <c r="H3437" s="4">
        <v>585</v>
      </c>
      <c r="I3437" s="4">
        <v>1755</v>
      </c>
      <c r="J3437" t="s">
        <v>230</v>
      </c>
      <c r="K3437" t="s">
        <v>42</v>
      </c>
      <c r="L3437" s="4">
        <v>12.172922939334034</v>
      </c>
      <c r="M3437" s="1" t="s">
        <v>34</v>
      </c>
      <c r="N3437" s="11">
        <f t="shared" si="53"/>
        <v>1</v>
      </c>
    </row>
    <row r="3438" spans="1:14" ht="16" x14ac:dyDescent="0.2">
      <c r="A3438" s="3">
        <v>44226</v>
      </c>
      <c r="B3438" s="1" t="s">
        <v>3577</v>
      </c>
      <c r="C3438" t="s">
        <v>145</v>
      </c>
      <c r="D3438">
        <v>11</v>
      </c>
      <c r="E3438">
        <v>207</v>
      </c>
      <c r="F3438">
        <v>69</v>
      </c>
      <c r="G3438">
        <v>2277</v>
      </c>
      <c r="H3438" s="4">
        <v>759</v>
      </c>
      <c r="I3438" s="4">
        <v>1518</v>
      </c>
      <c r="J3438" t="s">
        <v>548</v>
      </c>
      <c r="K3438" t="s">
        <v>53</v>
      </c>
      <c r="L3438" s="4">
        <v>16.695690968264284</v>
      </c>
      <c r="M3438" s="1" t="s">
        <v>38</v>
      </c>
      <c r="N3438" s="11">
        <f t="shared" si="53"/>
        <v>5</v>
      </c>
    </row>
    <row r="3439" spans="1:14" ht="16" x14ac:dyDescent="0.2">
      <c r="A3439" s="3">
        <v>44227</v>
      </c>
      <c r="B3439" s="1" t="s">
        <v>3578</v>
      </c>
      <c r="C3439" t="s">
        <v>283</v>
      </c>
      <c r="D3439">
        <v>14</v>
      </c>
      <c r="E3439">
        <v>144</v>
      </c>
      <c r="F3439">
        <v>36</v>
      </c>
      <c r="G3439">
        <v>2016</v>
      </c>
      <c r="H3439" s="4">
        <v>504</v>
      </c>
      <c r="I3439" s="4">
        <v>1512</v>
      </c>
      <c r="J3439" t="s">
        <v>246</v>
      </c>
      <c r="K3439" t="s">
        <v>58</v>
      </c>
      <c r="L3439" s="4">
        <v>15.234329552872023</v>
      </c>
      <c r="M3439" s="1" t="s">
        <v>38</v>
      </c>
      <c r="N3439" s="11">
        <f t="shared" si="53"/>
        <v>5</v>
      </c>
    </row>
    <row r="3440" spans="1:14" ht="16" x14ac:dyDescent="0.2">
      <c r="A3440" s="3">
        <v>44228</v>
      </c>
      <c r="B3440" s="1" t="s">
        <v>3579</v>
      </c>
      <c r="C3440" t="s">
        <v>283</v>
      </c>
      <c r="D3440">
        <v>19</v>
      </c>
      <c r="E3440">
        <v>144</v>
      </c>
      <c r="F3440">
        <v>36</v>
      </c>
      <c r="G3440">
        <v>2736</v>
      </c>
      <c r="H3440" s="4">
        <v>684</v>
      </c>
      <c r="I3440" s="4">
        <v>2052</v>
      </c>
      <c r="J3440" t="s">
        <v>704</v>
      </c>
      <c r="K3440" t="s">
        <v>86</v>
      </c>
      <c r="L3440" s="4">
        <v>12.699042739101285</v>
      </c>
      <c r="M3440" s="1" t="s">
        <v>34</v>
      </c>
      <c r="N3440" s="11">
        <f t="shared" si="53"/>
        <v>1</v>
      </c>
    </row>
    <row r="3441" spans="1:14" ht="16" x14ac:dyDescent="0.2">
      <c r="A3441" s="3">
        <v>44229</v>
      </c>
      <c r="B3441" s="1" t="s">
        <v>65</v>
      </c>
      <c r="C3441" t="s">
        <v>288</v>
      </c>
      <c r="D3441">
        <v>9</v>
      </c>
      <c r="E3441">
        <v>48</v>
      </c>
      <c r="F3441">
        <v>24</v>
      </c>
      <c r="G3441">
        <v>432</v>
      </c>
      <c r="H3441" s="4">
        <v>216</v>
      </c>
      <c r="I3441" s="4">
        <v>216</v>
      </c>
      <c r="J3441" t="s">
        <v>752</v>
      </c>
      <c r="K3441" t="s">
        <v>49</v>
      </c>
      <c r="L3441" s="4">
        <v>11.862005526237752</v>
      </c>
      <c r="M3441" s="1" t="s">
        <v>38</v>
      </c>
      <c r="N3441" s="11">
        <f t="shared" si="53"/>
        <v>5</v>
      </c>
    </row>
    <row r="3442" spans="1:14" ht="16" x14ac:dyDescent="0.2">
      <c r="A3442" s="3">
        <v>44230</v>
      </c>
      <c r="B3442" s="1" t="s">
        <v>3580</v>
      </c>
      <c r="C3442" t="s">
        <v>218</v>
      </c>
      <c r="D3442">
        <v>19</v>
      </c>
      <c r="E3442">
        <v>264</v>
      </c>
      <c r="F3442">
        <v>88</v>
      </c>
      <c r="G3442">
        <v>5016</v>
      </c>
      <c r="H3442" s="4">
        <v>1672</v>
      </c>
      <c r="I3442" s="4">
        <v>3344</v>
      </c>
      <c r="J3442" t="s">
        <v>469</v>
      </c>
      <c r="K3442" t="s">
        <v>64</v>
      </c>
      <c r="L3442" s="4">
        <v>7.9963422143733238</v>
      </c>
      <c r="M3442" s="1" t="s">
        <v>38</v>
      </c>
      <c r="N3442" s="11">
        <f t="shared" si="53"/>
        <v>5</v>
      </c>
    </row>
    <row r="3443" spans="1:14" ht="16" x14ac:dyDescent="0.2">
      <c r="A3443" s="3">
        <v>44231</v>
      </c>
      <c r="B3443" s="1" t="s">
        <v>3581</v>
      </c>
      <c r="C3443" t="s">
        <v>62</v>
      </c>
      <c r="D3443">
        <v>17</v>
      </c>
      <c r="E3443">
        <v>80</v>
      </c>
      <c r="F3443">
        <v>20</v>
      </c>
      <c r="G3443">
        <v>1360</v>
      </c>
      <c r="H3443" s="4">
        <v>340</v>
      </c>
      <c r="I3443" s="4">
        <v>1020</v>
      </c>
      <c r="J3443" t="s">
        <v>557</v>
      </c>
      <c r="K3443" t="s">
        <v>64</v>
      </c>
      <c r="L3443" s="4">
        <v>10.037135914792184</v>
      </c>
      <c r="M3443" s="1" t="s">
        <v>38</v>
      </c>
      <c r="N3443" s="11">
        <f t="shared" si="53"/>
        <v>5</v>
      </c>
    </row>
    <row r="3444" spans="1:14" ht="16" x14ac:dyDescent="0.2">
      <c r="A3444" s="3">
        <v>44232</v>
      </c>
      <c r="B3444" s="1" t="s">
        <v>3582</v>
      </c>
      <c r="C3444" t="s">
        <v>538</v>
      </c>
      <c r="D3444">
        <v>15</v>
      </c>
      <c r="E3444">
        <v>261</v>
      </c>
      <c r="F3444">
        <v>87</v>
      </c>
      <c r="G3444">
        <v>3915</v>
      </c>
      <c r="H3444" s="4">
        <v>1305</v>
      </c>
      <c r="I3444" s="4">
        <v>2610</v>
      </c>
      <c r="J3444" t="s">
        <v>140</v>
      </c>
      <c r="K3444" t="s">
        <v>53</v>
      </c>
      <c r="L3444" s="4">
        <v>7.1104128275166252</v>
      </c>
      <c r="M3444" s="1" t="s">
        <v>38</v>
      </c>
      <c r="N3444" s="11">
        <f t="shared" si="53"/>
        <v>5</v>
      </c>
    </row>
    <row r="3445" spans="1:14" ht="16" x14ac:dyDescent="0.2">
      <c r="A3445" s="3">
        <v>44233</v>
      </c>
      <c r="B3445" s="1" t="s">
        <v>3583</v>
      </c>
      <c r="C3445" t="s">
        <v>44</v>
      </c>
      <c r="D3445">
        <v>10</v>
      </c>
      <c r="E3445">
        <v>114</v>
      </c>
      <c r="F3445">
        <v>57</v>
      </c>
      <c r="G3445">
        <v>1140</v>
      </c>
      <c r="H3445" s="4">
        <v>570</v>
      </c>
      <c r="I3445" s="4">
        <v>570</v>
      </c>
      <c r="J3445" t="s">
        <v>161</v>
      </c>
      <c r="K3445" t="s">
        <v>33</v>
      </c>
      <c r="L3445" s="4">
        <v>14.370283356317486</v>
      </c>
      <c r="M3445" s="1" t="s">
        <v>54</v>
      </c>
      <c r="N3445" s="11">
        <f t="shared" si="53"/>
        <v>10</v>
      </c>
    </row>
    <row r="3446" spans="1:14" ht="16" x14ac:dyDescent="0.2">
      <c r="A3446" s="3">
        <v>44234</v>
      </c>
      <c r="B3446" s="1" t="s">
        <v>3584</v>
      </c>
      <c r="C3446" t="s">
        <v>204</v>
      </c>
      <c r="D3446">
        <v>5</v>
      </c>
      <c r="E3446">
        <v>57</v>
      </c>
      <c r="F3446">
        <v>19</v>
      </c>
      <c r="G3446">
        <v>285</v>
      </c>
      <c r="H3446" s="4">
        <v>95</v>
      </c>
      <c r="I3446" s="4">
        <v>190</v>
      </c>
      <c r="J3446" t="s">
        <v>70</v>
      </c>
      <c r="K3446" t="s">
        <v>49</v>
      </c>
      <c r="L3446" s="4">
        <v>12.957303170959879</v>
      </c>
      <c r="M3446" s="1" t="s">
        <v>38</v>
      </c>
      <c r="N3446" s="11">
        <f t="shared" si="53"/>
        <v>5</v>
      </c>
    </row>
    <row r="3447" spans="1:14" ht="16" x14ac:dyDescent="0.2">
      <c r="A3447" s="3">
        <v>44235</v>
      </c>
      <c r="B3447" s="1" t="s">
        <v>3585</v>
      </c>
      <c r="C3447" t="s">
        <v>286</v>
      </c>
      <c r="D3447">
        <v>6</v>
      </c>
      <c r="E3447">
        <v>34</v>
      </c>
      <c r="F3447">
        <v>17</v>
      </c>
      <c r="G3447">
        <v>204</v>
      </c>
      <c r="H3447" s="4">
        <v>102</v>
      </c>
      <c r="I3447" s="4">
        <v>102</v>
      </c>
      <c r="J3447" t="s">
        <v>106</v>
      </c>
      <c r="K3447" t="s">
        <v>42</v>
      </c>
      <c r="L3447" s="4">
        <v>13.717776078041958</v>
      </c>
      <c r="M3447" s="1" t="s">
        <v>38</v>
      </c>
      <c r="N3447" s="11">
        <f t="shared" si="53"/>
        <v>5</v>
      </c>
    </row>
    <row r="3448" spans="1:14" ht="16" x14ac:dyDescent="0.2">
      <c r="A3448" s="3">
        <v>44236</v>
      </c>
      <c r="B3448" s="1" t="s">
        <v>1482</v>
      </c>
      <c r="C3448" t="s">
        <v>266</v>
      </c>
      <c r="D3448">
        <v>7</v>
      </c>
      <c r="E3448">
        <v>50</v>
      </c>
      <c r="F3448">
        <v>25</v>
      </c>
      <c r="G3448">
        <v>350</v>
      </c>
      <c r="H3448" s="4">
        <v>175</v>
      </c>
      <c r="I3448" s="4">
        <v>175</v>
      </c>
      <c r="J3448" t="s">
        <v>96</v>
      </c>
      <c r="K3448" t="s">
        <v>64</v>
      </c>
      <c r="L3448" s="4">
        <v>12.072414596936037</v>
      </c>
      <c r="M3448" s="1" t="s">
        <v>34</v>
      </c>
      <c r="N3448" s="11">
        <f t="shared" si="53"/>
        <v>1</v>
      </c>
    </row>
    <row r="3449" spans="1:14" ht="16" x14ac:dyDescent="0.2">
      <c r="A3449" s="3">
        <v>44237</v>
      </c>
      <c r="B3449" s="1" t="s">
        <v>3586</v>
      </c>
      <c r="C3449" t="s">
        <v>56</v>
      </c>
      <c r="D3449">
        <v>16</v>
      </c>
      <c r="E3449">
        <v>38</v>
      </c>
      <c r="F3449">
        <v>19</v>
      </c>
      <c r="G3449">
        <v>608</v>
      </c>
      <c r="H3449" s="4">
        <v>304</v>
      </c>
      <c r="I3449" s="4">
        <v>304</v>
      </c>
      <c r="J3449" t="s">
        <v>555</v>
      </c>
      <c r="K3449" t="s">
        <v>53</v>
      </c>
      <c r="L3449" s="4">
        <v>14.341195386574373</v>
      </c>
      <c r="M3449" s="1" t="s">
        <v>38</v>
      </c>
      <c r="N3449" s="11">
        <f t="shared" si="53"/>
        <v>5</v>
      </c>
    </row>
    <row r="3450" spans="1:14" ht="16" x14ac:dyDescent="0.2">
      <c r="A3450" s="3">
        <v>44238</v>
      </c>
      <c r="B3450" s="1" t="s">
        <v>3587</v>
      </c>
      <c r="C3450" t="s">
        <v>240</v>
      </c>
      <c r="D3450">
        <v>17</v>
      </c>
      <c r="E3450">
        <v>108</v>
      </c>
      <c r="F3450">
        <v>54</v>
      </c>
      <c r="G3450">
        <v>1836</v>
      </c>
      <c r="H3450" s="4">
        <v>918</v>
      </c>
      <c r="I3450" s="4">
        <v>918</v>
      </c>
      <c r="J3450" t="s">
        <v>825</v>
      </c>
      <c r="K3450" t="s">
        <v>42</v>
      </c>
      <c r="L3450" s="4">
        <v>14.060995290679429</v>
      </c>
      <c r="M3450" s="1" t="s">
        <v>38</v>
      </c>
      <c r="N3450" s="11">
        <f t="shared" si="53"/>
        <v>5</v>
      </c>
    </row>
    <row r="3451" spans="1:14" ht="16" x14ac:dyDescent="0.2">
      <c r="A3451" s="3">
        <v>44239</v>
      </c>
      <c r="B3451" s="1" t="s">
        <v>3588</v>
      </c>
      <c r="C3451" t="s">
        <v>365</v>
      </c>
      <c r="D3451">
        <v>5</v>
      </c>
      <c r="E3451">
        <v>255</v>
      </c>
      <c r="F3451">
        <v>85</v>
      </c>
      <c r="G3451">
        <v>1275</v>
      </c>
      <c r="H3451" s="4">
        <v>425</v>
      </c>
      <c r="I3451" s="4">
        <v>850</v>
      </c>
      <c r="J3451" t="s">
        <v>32</v>
      </c>
      <c r="K3451" t="s">
        <v>33</v>
      </c>
      <c r="L3451" s="4">
        <v>10.278063859084313</v>
      </c>
      <c r="M3451" s="1" t="s">
        <v>38</v>
      </c>
      <c r="N3451" s="11">
        <f t="shared" si="53"/>
        <v>5</v>
      </c>
    </row>
    <row r="3452" spans="1:14" ht="16" x14ac:dyDescent="0.2">
      <c r="A3452" s="3">
        <v>44240</v>
      </c>
      <c r="B3452" s="1" t="s">
        <v>3589</v>
      </c>
      <c r="C3452" t="s">
        <v>312</v>
      </c>
      <c r="D3452">
        <v>6</v>
      </c>
      <c r="E3452">
        <v>240</v>
      </c>
      <c r="F3452">
        <v>80</v>
      </c>
      <c r="G3452">
        <v>1440</v>
      </c>
      <c r="H3452" s="4">
        <v>480</v>
      </c>
      <c r="I3452" s="4">
        <v>960</v>
      </c>
      <c r="J3452" t="s">
        <v>776</v>
      </c>
      <c r="K3452" t="s">
        <v>86</v>
      </c>
      <c r="L3452" s="4">
        <v>13.611804647345796</v>
      </c>
      <c r="M3452" s="1" t="s">
        <v>38</v>
      </c>
      <c r="N3452" s="11">
        <f t="shared" si="53"/>
        <v>5</v>
      </c>
    </row>
    <row r="3453" spans="1:14" ht="16" x14ac:dyDescent="0.2">
      <c r="A3453" s="3">
        <v>44241</v>
      </c>
      <c r="B3453" s="1" t="s">
        <v>3590</v>
      </c>
      <c r="C3453" t="s">
        <v>136</v>
      </c>
      <c r="D3453">
        <v>20</v>
      </c>
      <c r="E3453">
        <v>154</v>
      </c>
      <c r="F3453">
        <v>77</v>
      </c>
      <c r="G3453">
        <v>3080</v>
      </c>
      <c r="H3453" s="4">
        <v>1540</v>
      </c>
      <c r="I3453" s="4">
        <v>1540</v>
      </c>
      <c r="J3453" t="s">
        <v>653</v>
      </c>
      <c r="K3453" t="s">
        <v>86</v>
      </c>
      <c r="L3453" s="4">
        <v>12.869841591513939</v>
      </c>
      <c r="M3453" s="1" t="s">
        <v>38</v>
      </c>
      <c r="N3453" s="11">
        <f t="shared" si="53"/>
        <v>5</v>
      </c>
    </row>
    <row r="3454" spans="1:14" ht="16" x14ac:dyDescent="0.2">
      <c r="A3454" s="3">
        <v>44242</v>
      </c>
      <c r="B3454" s="1" t="s">
        <v>3591</v>
      </c>
      <c r="C3454" t="s">
        <v>175</v>
      </c>
      <c r="D3454">
        <v>14</v>
      </c>
      <c r="E3454">
        <v>38</v>
      </c>
      <c r="F3454">
        <v>19</v>
      </c>
      <c r="G3454">
        <v>532</v>
      </c>
      <c r="H3454" s="4">
        <v>266</v>
      </c>
      <c r="I3454" s="4">
        <v>266</v>
      </c>
      <c r="J3454" t="s">
        <v>106</v>
      </c>
      <c r="K3454" t="s">
        <v>42</v>
      </c>
      <c r="L3454" s="4">
        <v>13.717776078041958</v>
      </c>
      <c r="M3454" s="1" t="s">
        <v>54</v>
      </c>
      <c r="N3454" s="11">
        <f t="shared" si="53"/>
        <v>10</v>
      </c>
    </row>
    <row r="3455" spans="1:14" ht="16" x14ac:dyDescent="0.2">
      <c r="A3455" s="3">
        <v>44243</v>
      </c>
      <c r="B3455" s="1" t="s">
        <v>3592</v>
      </c>
      <c r="C3455" t="s">
        <v>209</v>
      </c>
      <c r="D3455">
        <v>15</v>
      </c>
      <c r="E3455">
        <v>150</v>
      </c>
      <c r="F3455">
        <v>75</v>
      </c>
      <c r="G3455">
        <v>2250</v>
      </c>
      <c r="H3455" s="4">
        <v>1125</v>
      </c>
      <c r="I3455" s="4">
        <v>1125</v>
      </c>
      <c r="J3455" t="s">
        <v>116</v>
      </c>
      <c r="K3455" t="s">
        <v>64</v>
      </c>
      <c r="L3455" s="4">
        <v>14.697745043716761</v>
      </c>
      <c r="M3455" s="1" t="s">
        <v>54</v>
      </c>
      <c r="N3455" s="11">
        <f t="shared" si="53"/>
        <v>10</v>
      </c>
    </row>
    <row r="3456" spans="1:14" ht="16" x14ac:dyDescent="0.2">
      <c r="A3456" s="3">
        <v>44244</v>
      </c>
      <c r="B3456" s="1" t="s">
        <v>3593</v>
      </c>
      <c r="C3456" t="s">
        <v>386</v>
      </c>
      <c r="D3456">
        <v>12</v>
      </c>
      <c r="E3456">
        <v>110</v>
      </c>
      <c r="F3456">
        <v>55</v>
      </c>
      <c r="G3456">
        <v>1320</v>
      </c>
      <c r="H3456" s="4">
        <v>660</v>
      </c>
      <c r="I3456" s="4">
        <v>660</v>
      </c>
      <c r="J3456" t="s">
        <v>716</v>
      </c>
      <c r="K3456" t="s">
        <v>33</v>
      </c>
      <c r="L3456" s="4">
        <v>10.411813357023924</v>
      </c>
      <c r="M3456" s="1" t="s">
        <v>38</v>
      </c>
      <c r="N3456" s="11">
        <f t="shared" si="53"/>
        <v>5</v>
      </c>
    </row>
    <row r="3457" spans="1:14" ht="16" x14ac:dyDescent="0.2">
      <c r="A3457" s="3">
        <v>44245</v>
      </c>
      <c r="B3457" s="1" t="s">
        <v>3594</v>
      </c>
      <c r="C3457" t="s">
        <v>276</v>
      </c>
      <c r="D3457">
        <v>12</v>
      </c>
      <c r="E3457">
        <v>57</v>
      </c>
      <c r="F3457">
        <v>19</v>
      </c>
      <c r="G3457">
        <v>684</v>
      </c>
      <c r="H3457" s="4">
        <v>228</v>
      </c>
      <c r="I3457" s="4">
        <v>456</v>
      </c>
      <c r="J3457" t="s">
        <v>450</v>
      </c>
      <c r="K3457" t="s">
        <v>49</v>
      </c>
      <c r="L3457" s="4">
        <v>13.332534707865639</v>
      </c>
      <c r="M3457" s="1" t="s">
        <v>38</v>
      </c>
      <c r="N3457" s="11">
        <f t="shared" si="53"/>
        <v>5</v>
      </c>
    </row>
    <row r="3458" spans="1:14" ht="16" x14ac:dyDescent="0.2">
      <c r="A3458" s="3">
        <v>44246</v>
      </c>
      <c r="B3458" s="1" t="s">
        <v>3595</v>
      </c>
      <c r="C3458" t="s">
        <v>44</v>
      </c>
      <c r="D3458">
        <v>9</v>
      </c>
      <c r="E3458">
        <v>114</v>
      </c>
      <c r="F3458">
        <v>57</v>
      </c>
      <c r="G3458">
        <v>1026</v>
      </c>
      <c r="H3458" s="4">
        <v>513</v>
      </c>
      <c r="I3458" s="4">
        <v>513</v>
      </c>
      <c r="J3458" t="s">
        <v>1042</v>
      </c>
      <c r="K3458" t="s">
        <v>58</v>
      </c>
      <c r="L3458" s="4">
        <v>10.588336269016523</v>
      </c>
      <c r="M3458" s="1" t="s">
        <v>54</v>
      </c>
      <c r="N3458" s="11">
        <f t="shared" si="53"/>
        <v>10</v>
      </c>
    </row>
    <row r="3459" spans="1:14" ht="16" x14ac:dyDescent="0.2">
      <c r="A3459" s="3">
        <v>44247</v>
      </c>
      <c r="B3459" s="1" t="s">
        <v>3596</v>
      </c>
      <c r="C3459" t="s">
        <v>391</v>
      </c>
      <c r="D3459">
        <v>5</v>
      </c>
      <c r="E3459">
        <v>72</v>
      </c>
      <c r="F3459">
        <v>36</v>
      </c>
      <c r="G3459">
        <v>360</v>
      </c>
      <c r="H3459" s="4">
        <v>180</v>
      </c>
      <c r="I3459" s="4">
        <v>180</v>
      </c>
      <c r="J3459" t="s">
        <v>1253</v>
      </c>
      <c r="K3459" t="s">
        <v>49</v>
      </c>
      <c r="L3459" s="4">
        <v>10.518436853046438</v>
      </c>
      <c r="M3459" s="1" t="s">
        <v>38</v>
      </c>
      <c r="N3459" s="11">
        <f t="shared" ref="N3459:N3522" si="54">+IF(M3459="Dissatisfied",1,IF(M3459="Satisfied",10,5))</f>
        <v>5</v>
      </c>
    </row>
    <row r="3460" spans="1:14" ht="16" x14ac:dyDescent="0.2">
      <c r="A3460" s="3">
        <v>44248</v>
      </c>
      <c r="B3460" s="1" t="s">
        <v>1512</v>
      </c>
      <c r="C3460" t="s">
        <v>110</v>
      </c>
      <c r="D3460">
        <v>8</v>
      </c>
      <c r="E3460">
        <v>144</v>
      </c>
      <c r="F3460">
        <v>36</v>
      </c>
      <c r="G3460">
        <v>1152</v>
      </c>
      <c r="H3460" s="4">
        <v>288</v>
      </c>
      <c r="I3460" s="4">
        <v>864</v>
      </c>
      <c r="J3460" t="s">
        <v>158</v>
      </c>
      <c r="K3460" t="s">
        <v>58</v>
      </c>
      <c r="L3460" s="4">
        <v>11.841063669683448</v>
      </c>
      <c r="M3460" s="1" t="s">
        <v>54</v>
      </c>
      <c r="N3460" s="11">
        <f t="shared" si="54"/>
        <v>10</v>
      </c>
    </row>
    <row r="3461" spans="1:14" ht="16" x14ac:dyDescent="0.2">
      <c r="A3461" s="3">
        <v>44249</v>
      </c>
      <c r="B3461" s="1" t="s">
        <v>3597</v>
      </c>
      <c r="C3461" t="s">
        <v>243</v>
      </c>
      <c r="D3461">
        <v>14</v>
      </c>
      <c r="E3461">
        <v>90</v>
      </c>
      <c r="F3461">
        <v>45</v>
      </c>
      <c r="G3461">
        <v>1260</v>
      </c>
      <c r="H3461" s="4">
        <v>630</v>
      </c>
      <c r="I3461" s="4">
        <v>630</v>
      </c>
      <c r="J3461" t="s">
        <v>111</v>
      </c>
      <c r="K3461" t="s">
        <v>53</v>
      </c>
      <c r="L3461" s="4">
        <v>13.407340878370247</v>
      </c>
      <c r="M3461" s="1" t="s">
        <v>38</v>
      </c>
      <c r="N3461" s="11">
        <f t="shared" si="54"/>
        <v>5</v>
      </c>
    </row>
    <row r="3462" spans="1:14" ht="16" x14ac:dyDescent="0.2">
      <c r="A3462" s="3">
        <v>44250</v>
      </c>
      <c r="B3462" s="1" t="s">
        <v>3598</v>
      </c>
      <c r="C3462" t="s">
        <v>337</v>
      </c>
      <c r="D3462">
        <v>9</v>
      </c>
      <c r="E3462">
        <v>135</v>
      </c>
      <c r="F3462">
        <v>45</v>
      </c>
      <c r="G3462">
        <v>1215</v>
      </c>
      <c r="H3462" s="4">
        <v>405</v>
      </c>
      <c r="I3462" s="4">
        <v>810</v>
      </c>
      <c r="J3462" t="s">
        <v>844</v>
      </c>
      <c r="K3462" t="s">
        <v>33</v>
      </c>
      <c r="L3462" s="4">
        <v>11.816654396440285</v>
      </c>
      <c r="M3462" s="1" t="s">
        <v>38</v>
      </c>
      <c r="N3462" s="11">
        <f t="shared" si="54"/>
        <v>5</v>
      </c>
    </row>
    <row r="3463" spans="1:14" ht="16" x14ac:dyDescent="0.2">
      <c r="A3463" s="3">
        <v>44251</v>
      </c>
      <c r="B3463" s="1" t="s">
        <v>3599</v>
      </c>
      <c r="C3463" t="s">
        <v>163</v>
      </c>
      <c r="D3463">
        <v>18</v>
      </c>
      <c r="E3463">
        <v>108</v>
      </c>
      <c r="F3463">
        <v>36</v>
      </c>
      <c r="G3463">
        <v>1944</v>
      </c>
      <c r="H3463" s="4">
        <v>648</v>
      </c>
      <c r="I3463" s="4">
        <v>1296</v>
      </c>
      <c r="J3463" t="s">
        <v>241</v>
      </c>
      <c r="K3463" t="s">
        <v>33</v>
      </c>
      <c r="L3463" s="4">
        <v>11.274864741138284</v>
      </c>
      <c r="M3463" s="1" t="s">
        <v>38</v>
      </c>
      <c r="N3463" s="11">
        <f t="shared" si="54"/>
        <v>5</v>
      </c>
    </row>
    <row r="3464" spans="1:14" ht="16" x14ac:dyDescent="0.2">
      <c r="A3464" s="3">
        <v>44252</v>
      </c>
      <c r="B3464" s="1" t="s">
        <v>3600</v>
      </c>
      <c r="C3464" t="s">
        <v>297</v>
      </c>
      <c r="D3464">
        <v>6</v>
      </c>
      <c r="E3464">
        <v>108</v>
      </c>
      <c r="F3464">
        <v>36</v>
      </c>
      <c r="G3464">
        <v>648</v>
      </c>
      <c r="H3464" s="4">
        <v>216</v>
      </c>
      <c r="I3464" s="4">
        <v>432</v>
      </c>
      <c r="J3464" t="s">
        <v>426</v>
      </c>
      <c r="K3464" t="s">
        <v>53</v>
      </c>
      <c r="L3464" s="4">
        <v>13.923194761258239</v>
      </c>
      <c r="M3464" s="1" t="s">
        <v>38</v>
      </c>
      <c r="N3464" s="11">
        <f t="shared" si="54"/>
        <v>5</v>
      </c>
    </row>
    <row r="3465" spans="1:14" ht="16" x14ac:dyDescent="0.2">
      <c r="A3465" s="3">
        <v>44253</v>
      </c>
      <c r="B3465" s="1" t="s">
        <v>3601</v>
      </c>
      <c r="C3465" t="s">
        <v>72</v>
      </c>
      <c r="D3465">
        <v>5</v>
      </c>
      <c r="E3465">
        <v>352</v>
      </c>
      <c r="F3465">
        <v>88</v>
      </c>
      <c r="G3465">
        <v>1760</v>
      </c>
      <c r="H3465" s="4">
        <v>440</v>
      </c>
      <c r="I3465" s="4">
        <v>1320</v>
      </c>
      <c r="J3465" t="s">
        <v>172</v>
      </c>
      <c r="K3465" t="s">
        <v>33</v>
      </c>
      <c r="L3465" s="4">
        <v>9.9311000381363836</v>
      </c>
      <c r="M3465" s="1" t="s">
        <v>54</v>
      </c>
      <c r="N3465" s="11">
        <f t="shared" si="54"/>
        <v>10</v>
      </c>
    </row>
    <row r="3466" spans="1:14" ht="16" x14ac:dyDescent="0.2">
      <c r="A3466" s="3">
        <v>44254</v>
      </c>
      <c r="B3466" s="1" t="s">
        <v>3602</v>
      </c>
      <c r="C3466" t="s">
        <v>544</v>
      </c>
      <c r="D3466">
        <v>5</v>
      </c>
      <c r="E3466">
        <v>267</v>
      </c>
      <c r="F3466">
        <v>89</v>
      </c>
      <c r="G3466">
        <v>1335</v>
      </c>
      <c r="H3466" s="4">
        <v>445</v>
      </c>
      <c r="I3466" s="4">
        <v>890</v>
      </c>
      <c r="J3466" t="s">
        <v>701</v>
      </c>
      <c r="K3466" t="s">
        <v>42</v>
      </c>
      <c r="L3466" s="4">
        <v>10.434860153112215</v>
      </c>
      <c r="M3466" s="1" t="s">
        <v>38</v>
      </c>
      <c r="N3466" s="11">
        <f t="shared" si="54"/>
        <v>5</v>
      </c>
    </row>
    <row r="3467" spans="1:14" ht="16" x14ac:dyDescent="0.2">
      <c r="A3467" s="3">
        <v>44255</v>
      </c>
      <c r="B3467" s="1" t="s">
        <v>782</v>
      </c>
      <c r="C3467" t="s">
        <v>40</v>
      </c>
      <c r="D3467">
        <v>5</v>
      </c>
      <c r="E3467">
        <v>46</v>
      </c>
      <c r="F3467">
        <v>23</v>
      </c>
      <c r="G3467">
        <v>230</v>
      </c>
      <c r="H3467" s="4">
        <v>115</v>
      </c>
      <c r="I3467" s="4">
        <v>115</v>
      </c>
      <c r="J3467" t="s">
        <v>295</v>
      </c>
      <c r="K3467" t="s">
        <v>42</v>
      </c>
      <c r="L3467" s="4">
        <v>14.906846445071711</v>
      </c>
      <c r="M3467" s="1" t="s">
        <v>34</v>
      </c>
      <c r="N3467" s="11">
        <f t="shared" si="54"/>
        <v>1</v>
      </c>
    </row>
    <row r="3468" spans="1:14" ht="16" x14ac:dyDescent="0.2">
      <c r="A3468" s="3">
        <v>44256</v>
      </c>
      <c r="B3468" s="1" t="s">
        <v>3603</v>
      </c>
      <c r="C3468" t="s">
        <v>297</v>
      </c>
      <c r="D3468">
        <v>3</v>
      </c>
      <c r="E3468">
        <v>108</v>
      </c>
      <c r="F3468">
        <v>36</v>
      </c>
      <c r="G3468">
        <v>324</v>
      </c>
      <c r="H3468" s="4">
        <v>108</v>
      </c>
      <c r="I3468" s="4">
        <v>216</v>
      </c>
      <c r="J3468" t="s">
        <v>96</v>
      </c>
      <c r="K3468" t="s">
        <v>64</v>
      </c>
      <c r="L3468" s="4">
        <v>12.072414596936037</v>
      </c>
      <c r="M3468" s="1" t="s">
        <v>34</v>
      </c>
      <c r="N3468" s="11">
        <f t="shared" si="54"/>
        <v>1</v>
      </c>
    </row>
    <row r="3469" spans="1:14" ht="16" x14ac:dyDescent="0.2">
      <c r="A3469" s="3">
        <v>44257</v>
      </c>
      <c r="B3469" s="1" t="s">
        <v>3604</v>
      </c>
      <c r="C3469" t="s">
        <v>243</v>
      </c>
      <c r="D3469">
        <v>10</v>
      </c>
      <c r="E3469">
        <v>90</v>
      </c>
      <c r="F3469">
        <v>45</v>
      </c>
      <c r="G3469">
        <v>900</v>
      </c>
      <c r="H3469" s="4">
        <v>450</v>
      </c>
      <c r="I3469" s="4">
        <v>450</v>
      </c>
      <c r="J3469" t="s">
        <v>295</v>
      </c>
      <c r="K3469" t="s">
        <v>42</v>
      </c>
      <c r="L3469" s="4">
        <v>14.906846445071711</v>
      </c>
      <c r="M3469" s="1" t="s">
        <v>38</v>
      </c>
      <c r="N3469" s="11">
        <f t="shared" si="54"/>
        <v>5</v>
      </c>
    </row>
    <row r="3470" spans="1:14" ht="16" x14ac:dyDescent="0.2">
      <c r="A3470" s="3">
        <v>44258</v>
      </c>
      <c r="B3470" s="1" t="s">
        <v>3605</v>
      </c>
      <c r="C3470" t="s">
        <v>44</v>
      </c>
      <c r="D3470">
        <v>4</v>
      </c>
      <c r="E3470">
        <v>114</v>
      </c>
      <c r="F3470">
        <v>57</v>
      </c>
      <c r="G3470">
        <v>456</v>
      </c>
      <c r="H3470" s="4">
        <v>228</v>
      </c>
      <c r="I3470" s="4">
        <v>228</v>
      </c>
      <c r="J3470" t="s">
        <v>318</v>
      </c>
      <c r="K3470" t="s">
        <v>33</v>
      </c>
      <c r="L3470" s="4">
        <v>9.0350666811770921</v>
      </c>
      <c r="M3470" s="1" t="s">
        <v>38</v>
      </c>
      <c r="N3470" s="11">
        <f t="shared" si="54"/>
        <v>5</v>
      </c>
    </row>
    <row r="3471" spans="1:14" ht="16" x14ac:dyDescent="0.2">
      <c r="A3471" s="3">
        <v>44259</v>
      </c>
      <c r="B3471" s="1" t="s">
        <v>3606</v>
      </c>
      <c r="C3471" t="s">
        <v>196</v>
      </c>
      <c r="D3471">
        <v>9</v>
      </c>
      <c r="E3471">
        <v>192</v>
      </c>
      <c r="F3471">
        <v>96</v>
      </c>
      <c r="G3471">
        <v>1728</v>
      </c>
      <c r="H3471" s="4">
        <v>864</v>
      </c>
      <c r="I3471" s="4">
        <v>864</v>
      </c>
      <c r="J3471" t="s">
        <v>1085</v>
      </c>
      <c r="K3471" t="s">
        <v>49</v>
      </c>
      <c r="L3471" s="4">
        <v>10.818241047231139</v>
      </c>
      <c r="M3471" s="1" t="s">
        <v>38</v>
      </c>
      <c r="N3471" s="11">
        <f t="shared" si="54"/>
        <v>5</v>
      </c>
    </row>
    <row r="3472" spans="1:14" ht="16" x14ac:dyDescent="0.2">
      <c r="A3472" s="3">
        <v>44260</v>
      </c>
      <c r="B3472" s="1" t="s">
        <v>2555</v>
      </c>
      <c r="C3472" t="s">
        <v>240</v>
      </c>
      <c r="D3472">
        <v>16</v>
      </c>
      <c r="E3472">
        <v>108</v>
      </c>
      <c r="F3472">
        <v>54</v>
      </c>
      <c r="G3472">
        <v>1728</v>
      </c>
      <c r="H3472" s="4">
        <v>864</v>
      </c>
      <c r="I3472" s="4">
        <v>864</v>
      </c>
      <c r="J3472" t="s">
        <v>535</v>
      </c>
      <c r="K3472" t="s">
        <v>33</v>
      </c>
      <c r="L3472" s="4">
        <v>14.554851510602212</v>
      </c>
      <c r="M3472" s="1" t="s">
        <v>54</v>
      </c>
      <c r="N3472" s="11">
        <f t="shared" si="54"/>
        <v>10</v>
      </c>
    </row>
    <row r="3473" spans="1:14" ht="16" x14ac:dyDescent="0.2">
      <c r="A3473" s="3">
        <v>44261</v>
      </c>
      <c r="B3473" s="1" t="s">
        <v>3607</v>
      </c>
      <c r="C3473" t="s">
        <v>105</v>
      </c>
      <c r="D3473">
        <v>18</v>
      </c>
      <c r="E3473">
        <v>201</v>
      </c>
      <c r="F3473">
        <v>67</v>
      </c>
      <c r="G3473">
        <v>3618</v>
      </c>
      <c r="H3473" s="4">
        <v>1206</v>
      </c>
      <c r="I3473" s="4">
        <v>2412</v>
      </c>
      <c r="J3473" t="s">
        <v>335</v>
      </c>
      <c r="K3473" t="s">
        <v>53</v>
      </c>
      <c r="L3473" s="4">
        <v>12.148236977735172</v>
      </c>
      <c r="M3473" s="1" t="s">
        <v>38</v>
      </c>
      <c r="N3473" s="11">
        <f t="shared" si="54"/>
        <v>5</v>
      </c>
    </row>
    <row r="3474" spans="1:14" ht="16" x14ac:dyDescent="0.2">
      <c r="A3474" s="3">
        <v>44262</v>
      </c>
      <c r="B3474" s="1" t="s">
        <v>3608</v>
      </c>
      <c r="C3474" t="s">
        <v>148</v>
      </c>
      <c r="D3474">
        <v>17</v>
      </c>
      <c r="E3474">
        <v>144</v>
      </c>
      <c r="F3474">
        <v>36</v>
      </c>
      <c r="G3474">
        <v>2448</v>
      </c>
      <c r="H3474" s="4">
        <v>612</v>
      </c>
      <c r="I3474" s="4">
        <v>1836</v>
      </c>
      <c r="J3474" t="s">
        <v>729</v>
      </c>
      <c r="K3474" t="s">
        <v>64</v>
      </c>
      <c r="L3474" s="4">
        <v>11.443503623244197</v>
      </c>
      <c r="M3474" s="1" t="s">
        <v>34</v>
      </c>
      <c r="N3474" s="11">
        <f t="shared" si="54"/>
        <v>1</v>
      </c>
    </row>
    <row r="3475" spans="1:14" ht="16" x14ac:dyDescent="0.2">
      <c r="A3475" s="3">
        <v>44263</v>
      </c>
      <c r="B3475" s="1" t="s">
        <v>3609</v>
      </c>
      <c r="C3475" t="s">
        <v>51</v>
      </c>
      <c r="D3475">
        <v>19</v>
      </c>
      <c r="E3475">
        <v>160</v>
      </c>
      <c r="F3475">
        <v>80</v>
      </c>
      <c r="G3475">
        <v>3040</v>
      </c>
      <c r="H3475" s="4">
        <v>1520</v>
      </c>
      <c r="I3475" s="4">
        <v>1520</v>
      </c>
      <c r="J3475" t="s">
        <v>495</v>
      </c>
      <c r="K3475" t="s">
        <v>64</v>
      </c>
      <c r="L3475" s="4">
        <v>8.8878868765808274</v>
      </c>
      <c r="M3475" s="1" t="s">
        <v>38</v>
      </c>
      <c r="N3475" s="11">
        <f t="shared" si="54"/>
        <v>5</v>
      </c>
    </row>
    <row r="3476" spans="1:14" ht="16" x14ac:dyDescent="0.2">
      <c r="A3476" s="3">
        <v>44264</v>
      </c>
      <c r="B3476" s="1" t="s">
        <v>3610</v>
      </c>
      <c r="C3476" t="s">
        <v>286</v>
      </c>
      <c r="D3476">
        <v>19</v>
      </c>
      <c r="E3476">
        <v>34</v>
      </c>
      <c r="F3476">
        <v>17</v>
      </c>
      <c r="G3476">
        <v>646</v>
      </c>
      <c r="H3476" s="4">
        <v>323</v>
      </c>
      <c r="I3476" s="4">
        <v>323</v>
      </c>
      <c r="J3476" t="s">
        <v>230</v>
      </c>
      <c r="K3476" t="s">
        <v>42</v>
      </c>
      <c r="L3476" s="4">
        <v>12.172922939334034</v>
      </c>
      <c r="M3476" s="1" t="s">
        <v>38</v>
      </c>
      <c r="N3476" s="11">
        <f t="shared" si="54"/>
        <v>5</v>
      </c>
    </row>
    <row r="3477" spans="1:14" ht="16" x14ac:dyDescent="0.2">
      <c r="A3477" s="3">
        <v>44265</v>
      </c>
      <c r="B3477" s="1" t="s">
        <v>3611</v>
      </c>
      <c r="C3477" t="s">
        <v>72</v>
      </c>
      <c r="D3477">
        <v>6</v>
      </c>
      <c r="E3477">
        <v>352</v>
      </c>
      <c r="F3477">
        <v>88</v>
      </c>
      <c r="G3477">
        <v>2112</v>
      </c>
      <c r="H3477" s="4">
        <v>528</v>
      </c>
      <c r="I3477" s="4">
        <v>1584</v>
      </c>
      <c r="J3477" t="s">
        <v>397</v>
      </c>
      <c r="K3477" t="s">
        <v>49</v>
      </c>
      <c r="L3477" s="4">
        <v>9.4239783062860578</v>
      </c>
      <c r="M3477" s="1" t="s">
        <v>38</v>
      </c>
      <c r="N3477" s="11">
        <f t="shared" si="54"/>
        <v>5</v>
      </c>
    </row>
    <row r="3478" spans="1:14" ht="16" x14ac:dyDescent="0.2">
      <c r="A3478" s="3">
        <v>44266</v>
      </c>
      <c r="B3478" s="1" t="s">
        <v>1807</v>
      </c>
      <c r="C3478" t="s">
        <v>69</v>
      </c>
      <c r="D3478">
        <v>13</v>
      </c>
      <c r="E3478">
        <v>184</v>
      </c>
      <c r="F3478">
        <v>92</v>
      </c>
      <c r="G3478">
        <v>2392</v>
      </c>
      <c r="H3478" s="4">
        <v>1196</v>
      </c>
      <c r="I3478" s="4">
        <v>1196</v>
      </c>
      <c r="J3478" t="s">
        <v>213</v>
      </c>
      <c r="K3478" t="s">
        <v>58</v>
      </c>
      <c r="L3478" s="4">
        <v>10.980884286450312</v>
      </c>
      <c r="M3478" s="1" t="s">
        <v>34</v>
      </c>
      <c r="N3478" s="11">
        <f t="shared" si="54"/>
        <v>1</v>
      </c>
    </row>
    <row r="3479" spans="1:14" ht="16" x14ac:dyDescent="0.2">
      <c r="A3479" s="3">
        <v>44267</v>
      </c>
      <c r="B3479" s="1" t="s">
        <v>3612</v>
      </c>
      <c r="C3479" t="s">
        <v>301</v>
      </c>
      <c r="D3479">
        <v>7</v>
      </c>
      <c r="E3479">
        <v>188</v>
      </c>
      <c r="F3479">
        <v>94</v>
      </c>
      <c r="G3479">
        <v>1316</v>
      </c>
      <c r="H3479" s="4">
        <v>658</v>
      </c>
      <c r="I3479" s="4">
        <v>658</v>
      </c>
      <c r="J3479" t="s">
        <v>691</v>
      </c>
      <c r="K3479" t="s">
        <v>33</v>
      </c>
      <c r="L3479" s="4">
        <v>10.248947386022252</v>
      </c>
      <c r="M3479" s="1" t="s">
        <v>38</v>
      </c>
      <c r="N3479" s="11">
        <f t="shared" si="54"/>
        <v>5</v>
      </c>
    </row>
    <row r="3480" spans="1:14" ht="16" x14ac:dyDescent="0.2">
      <c r="A3480" s="3">
        <v>44268</v>
      </c>
      <c r="B3480" s="1" t="s">
        <v>3613</v>
      </c>
      <c r="C3480" t="s">
        <v>160</v>
      </c>
      <c r="D3480">
        <v>16</v>
      </c>
      <c r="E3480">
        <v>132</v>
      </c>
      <c r="F3480">
        <v>33</v>
      </c>
      <c r="G3480">
        <v>2112</v>
      </c>
      <c r="H3480" s="4">
        <v>528</v>
      </c>
      <c r="I3480" s="4">
        <v>1584</v>
      </c>
      <c r="J3480" t="s">
        <v>357</v>
      </c>
      <c r="K3480" t="s">
        <v>86</v>
      </c>
      <c r="L3480" s="4">
        <v>11.986565560885863</v>
      </c>
      <c r="M3480" s="1" t="s">
        <v>38</v>
      </c>
      <c r="N3480" s="11">
        <f t="shared" si="54"/>
        <v>5</v>
      </c>
    </row>
    <row r="3481" spans="1:14" ht="16" x14ac:dyDescent="0.2">
      <c r="A3481" s="3">
        <v>44269</v>
      </c>
      <c r="B3481" s="1" t="s">
        <v>3614</v>
      </c>
      <c r="C3481" t="s">
        <v>204</v>
      </c>
      <c r="D3481">
        <v>16</v>
      </c>
      <c r="E3481">
        <v>57</v>
      </c>
      <c r="F3481">
        <v>19</v>
      </c>
      <c r="G3481">
        <v>912</v>
      </c>
      <c r="H3481" s="4">
        <v>304</v>
      </c>
      <c r="I3481" s="4">
        <v>608</v>
      </c>
      <c r="J3481" t="s">
        <v>416</v>
      </c>
      <c r="K3481" t="s">
        <v>58</v>
      </c>
      <c r="L3481" s="4">
        <v>12.399050786131125</v>
      </c>
      <c r="M3481" s="1" t="s">
        <v>38</v>
      </c>
      <c r="N3481" s="11">
        <f t="shared" si="54"/>
        <v>5</v>
      </c>
    </row>
    <row r="3482" spans="1:14" ht="16" x14ac:dyDescent="0.2">
      <c r="A3482" s="3">
        <v>44270</v>
      </c>
      <c r="B3482" s="1" t="s">
        <v>3615</v>
      </c>
      <c r="C3482" t="s">
        <v>431</v>
      </c>
      <c r="D3482">
        <v>18</v>
      </c>
      <c r="E3482">
        <v>356</v>
      </c>
      <c r="F3482">
        <v>89</v>
      </c>
      <c r="G3482">
        <v>6408</v>
      </c>
      <c r="H3482" s="4">
        <v>1602</v>
      </c>
      <c r="I3482" s="4">
        <v>4806</v>
      </c>
      <c r="J3482" t="s">
        <v>126</v>
      </c>
      <c r="K3482" t="s">
        <v>64</v>
      </c>
      <c r="L3482" s="4">
        <v>11.006397834696006</v>
      </c>
      <c r="M3482" s="1" t="s">
        <v>34</v>
      </c>
      <c r="N3482" s="11">
        <f t="shared" si="54"/>
        <v>1</v>
      </c>
    </row>
    <row r="3483" spans="1:14" ht="16" x14ac:dyDescent="0.2">
      <c r="A3483" s="3">
        <v>44271</v>
      </c>
      <c r="B3483" s="1" t="s">
        <v>3616</v>
      </c>
      <c r="C3483" t="s">
        <v>561</v>
      </c>
      <c r="D3483">
        <v>4</v>
      </c>
      <c r="E3483">
        <v>384</v>
      </c>
      <c r="F3483">
        <v>96</v>
      </c>
      <c r="G3483">
        <v>1536</v>
      </c>
      <c r="H3483" s="4">
        <v>384</v>
      </c>
      <c r="I3483" s="4">
        <v>1152</v>
      </c>
      <c r="J3483" t="s">
        <v>806</v>
      </c>
      <c r="K3483" t="s">
        <v>86</v>
      </c>
      <c r="L3483" s="4">
        <v>11.927799225928501</v>
      </c>
      <c r="M3483" s="1" t="s">
        <v>38</v>
      </c>
      <c r="N3483" s="11">
        <f t="shared" si="54"/>
        <v>5</v>
      </c>
    </row>
    <row r="3484" spans="1:14" ht="16" x14ac:dyDescent="0.2">
      <c r="A3484" s="3">
        <v>44272</v>
      </c>
      <c r="B3484" s="1" t="s">
        <v>3617</v>
      </c>
      <c r="C3484" t="s">
        <v>148</v>
      </c>
      <c r="D3484">
        <v>1</v>
      </c>
      <c r="E3484">
        <v>144</v>
      </c>
      <c r="F3484">
        <v>36</v>
      </c>
      <c r="G3484">
        <v>144</v>
      </c>
      <c r="H3484" s="4">
        <v>36</v>
      </c>
      <c r="I3484" s="4">
        <v>108</v>
      </c>
      <c r="J3484" t="s">
        <v>645</v>
      </c>
      <c r="K3484" t="s">
        <v>86</v>
      </c>
      <c r="L3484" s="4">
        <v>9.879282537628514</v>
      </c>
      <c r="M3484" s="1" t="s">
        <v>38</v>
      </c>
      <c r="N3484" s="11">
        <f t="shared" si="54"/>
        <v>5</v>
      </c>
    </row>
    <row r="3485" spans="1:14" ht="16" x14ac:dyDescent="0.2">
      <c r="A3485" s="3">
        <v>44273</v>
      </c>
      <c r="B3485" s="1" t="s">
        <v>3618</v>
      </c>
      <c r="C3485" t="s">
        <v>283</v>
      </c>
      <c r="D3485">
        <v>17</v>
      </c>
      <c r="E3485">
        <v>144</v>
      </c>
      <c r="F3485">
        <v>36</v>
      </c>
      <c r="G3485">
        <v>2448</v>
      </c>
      <c r="H3485" s="4">
        <v>612</v>
      </c>
      <c r="I3485" s="4">
        <v>1836</v>
      </c>
      <c r="J3485" t="s">
        <v>96</v>
      </c>
      <c r="K3485" t="s">
        <v>64</v>
      </c>
      <c r="L3485" s="4">
        <v>12.072414596936037</v>
      </c>
      <c r="M3485" s="1" t="s">
        <v>54</v>
      </c>
      <c r="N3485" s="11">
        <f t="shared" si="54"/>
        <v>10</v>
      </c>
    </row>
    <row r="3486" spans="1:14" ht="16" x14ac:dyDescent="0.2">
      <c r="A3486" s="3">
        <v>44274</v>
      </c>
      <c r="B3486" s="1" t="s">
        <v>3619</v>
      </c>
      <c r="C3486" t="s">
        <v>252</v>
      </c>
      <c r="D3486">
        <v>13</v>
      </c>
      <c r="E3486">
        <v>252</v>
      </c>
      <c r="F3486">
        <v>63</v>
      </c>
      <c r="G3486">
        <v>3276</v>
      </c>
      <c r="H3486" s="4">
        <v>819</v>
      </c>
      <c r="I3486" s="4">
        <v>2457</v>
      </c>
      <c r="J3486" t="s">
        <v>85</v>
      </c>
      <c r="K3486" t="s">
        <v>86</v>
      </c>
      <c r="L3486" s="4">
        <v>11.631646244583138</v>
      </c>
      <c r="M3486" s="1" t="s">
        <v>38</v>
      </c>
      <c r="N3486" s="11">
        <f t="shared" si="54"/>
        <v>5</v>
      </c>
    </row>
    <row r="3487" spans="1:14" ht="16" x14ac:dyDescent="0.2">
      <c r="A3487" s="3">
        <v>44275</v>
      </c>
      <c r="B3487" s="1" t="s">
        <v>3620</v>
      </c>
      <c r="C3487" t="s">
        <v>105</v>
      </c>
      <c r="D3487">
        <v>3</v>
      </c>
      <c r="E3487">
        <v>201</v>
      </c>
      <c r="F3487">
        <v>67</v>
      </c>
      <c r="G3487">
        <v>603</v>
      </c>
      <c r="H3487" s="4">
        <v>201</v>
      </c>
      <c r="I3487" s="4">
        <v>402</v>
      </c>
      <c r="J3487" t="s">
        <v>167</v>
      </c>
      <c r="K3487" t="s">
        <v>86</v>
      </c>
      <c r="L3487" s="4">
        <v>10.216282609482219</v>
      </c>
      <c r="M3487" s="1" t="s">
        <v>34</v>
      </c>
      <c r="N3487" s="11">
        <f t="shared" si="54"/>
        <v>1</v>
      </c>
    </row>
    <row r="3488" spans="1:14" ht="16" x14ac:dyDescent="0.2">
      <c r="A3488" s="3">
        <v>44276</v>
      </c>
      <c r="B3488" s="1" t="s">
        <v>3621</v>
      </c>
      <c r="C3488" t="s">
        <v>154</v>
      </c>
      <c r="D3488">
        <v>2</v>
      </c>
      <c r="E3488">
        <v>308</v>
      </c>
      <c r="F3488">
        <v>77</v>
      </c>
      <c r="G3488">
        <v>616</v>
      </c>
      <c r="H3488" s="4">
        <v>154</v>
      </c>
      <c r="I3488" s="4">
        <v>462</v>
      </c>
      <c r="J3488" t="s">
        <v>268</v>
      </c>
      <c r="K3488" t="s">
        <v>49</v>
      </c>
      <c r="L3488" s="4">
        <v>11.756374828790458</v>
      </c>
      <c r="M3488" s="1" t="s">
        <v>38</v>
      </c>
      <c r="N3488" s="11">
        <f t="shared" si="54"/>
        <v>5</v>
      </c>
    </row>
    <row r="3489" spans="1:14" ht="16" x14ac:dyDescent="0.2">
      <c r="A3489" s="3">
        <v>44277</v>
      </c>
      <c r="B3489" s="1" t="s">
        <v>3622</v>
      </c>
      <c r="C3489" t="s">
        <v>72</v>
      </c>
      <c r="D3489">
        <v>2</v>
      </c>
      <c r="E3489">
        <v>352</v>
      </c>
      <c r="F3489">
        <v>88</v>
      </c>
      <c r="G3489">
        <v>704</v>
      </c>
      <c r="H3489" s="4">
        <v>176</v>
      </c>
      <c r="I3489" s="4">
        <v>528</v>
      </c>
      <c r="J3489" t="s">
        <v>912</v>
      </c>
      <c r="K3489" t="s">
        <v>64</v>
      </c>
      <c r="L3489" s="4">
        <v>11.816651848338852</v>
      </c>
      <c r="M3489" s="1" t="s">
        <v>54</v>
      </c>
      <c r="N3489" s="11">
        <f t="shared" si="54"/>
        <v>10</v>
      </c>
    </row>
    <row r="3490" spans="1:14" ht="16" x14ac:dyDescent="0.2">
      <c r="A3490" s="3">
        <v>44278</v>
      </c>
      <c r="B3490" s="1" t="s">
        <v>3623</v>
      </c>
      <c r="C3490" t="s">
        <v>148</v>
      </c>
      <c r="D3490">
        <v>18</v>
      </c>
      <c r="E3490">
        <v>144</v>
      </c>
      <c r="F3490">
        <v>36</v>
      </c>
      <c r="G3490">
        <v>2592</v>
      </c>
      <c r="H3490" s="4">
        <v>648</v>
      </c>
      <c r="I3490" s="4">
        <v>1944</v>
      </c>
      <c r="J3490" t="s">
        <v>236</v>
      </c>
      <c r="K3490" t="s">
        <v>53</v>
      </c>
      <c r="L3490" s="4">
        <v>9.3014286057233697</v>
      </c>
      <c r="M3490" s="1" t="s">
        <v>38</v>
      </c>
      <c r="N3490" s="11">
        <f t="shared" si="54"/>
        <v>5</v>
      </c>
    </row>
    <row r="3491" spans="1:14" ht="16" x14ac:dyDescent="0.2">
      <c r="A3491" s="3">
        <v>44279</v>
      </c>
      <c r="B3491" s="1" t="s">
        <v>3624</v>
      </c>
      <c r="C3491" t="s">
        <v>243</v>
      </c>
      <c r="D3491">
        <v>12</v>
      </c>
      <c r="E3491">
        <v>90</v>
      </c>
      <c r="F3491">
        <v>45</v>
      </c>
      <c r="G3491">
        <v>1080</v>
      </c>
      <c r="H3491" s="4">
        <v>540</v>
      </c>
      <c r="I3491" s="4">
        <v>540</v>
      </c>
      <c r="J3491" t="s">
        <v>262</v>
      </c>
      <c r="K3491" t="s">
        <v>86</v>
      </c>
      <c r="L3491" s="4">
        <v>12.796588406005421</v>
      </c>
      <c r="M3491" s="1" t="s">
        <v>38</v>
      </c>
      <c r="N3491" s="11">
        <f t="shared" si="54"/>
        <v>5</v>
      </c>
    </row>
    <row r="3492" spans="1:14" ht="16" x14ac:dyDescent="0.2">
      <c r="A3492" s="3">
        <v>44280</v>
      </c>
      <c r="B3492" s="1" t="s">
        <v>3625</v>
      </c>
      <c r="C3492" t="s">
        <v>370</v>
      </c>
      <c r="D3492">
        <v>14</v>
      </c>
      <c r="E3492">
        <v>144</v>
      </c>
      <c r="F3492">
        <v>36</v>
      </c>
      <c r="G3492">
        <v>2016</v>
      </c>
      <c r="H3492" s="4">
        <v>504</v>
      </c>
      <c r="I3492" s="4">
        <v>1512</v>
      </c>
      <c r="J3492" t="s">
        <v>733</v>
      </c>
      <c r="K3492" t="s">
        <v>53</v>
      </c>
      <c r="L3492" s="4">
        <v>16.148992525516267</v>
      </c>
      <c r="M3492" s="1" t="s">
        <v>38</v>
      </c>
      <c r="N3492" s="11">
        <f t="shared" si="54"/>
        <v>5</v>
      </c>
    </row>
    <row r="3493" spans="1:14" ht="16" x14ac:dyDescent="0.2">
      <c r="A3493" s="3">
        <v>44281</v>
      </c>
      <c r="B3493" s="1" t="s">
        <v>2234</v>
      </c>
      <c r="C3493" t="s">
        <v>75</v>
      </c>
      <c r="D3493">
        <v>9</v>
      </c>
      <c r="E3493">
        <v>76</v>
      </c>
      <c r="F3493">
        <v>19</v>
      </c>
      <c r="G3493">
        <v>684</v>
      </c>
      <c r="H3493" s="4">
        <v>171</v>
      </c>
      <c r="I3493" s="4">
        <v>513</v>
      </c>
      <c r="J3493" t="s">
        <v>181</v>
      </c>
      <c r="K3493" t="s">
        <v>53</v>
      </c>
      <c r="L3493" s="4">
        <v>11.727497850343074</v>
      </c>
      <c r="M3493" s="1" t="s">
        <v>54</v>
      </c>
      <c r="N3493" s="11">
        <f t="shared" si="54"/>
        <v>10</v>
      </c>
    </row>
    <row r="3494" spans="1:14" ht="16" x14ac:dyDescent="0.2">
      <c r="A3494" s="3">
        <v>44282</v>
      </c>
      <c r="B3494" s="1" t="s">
        <v>3626</v>
      </c>
      <c r="C3494" t="s">
        <v>101</v>
      </c>
      <c r="D3494">
        <v>17</v>
      </c>
      <c r="E3494">
        <v>50</v>
      </c>
      <c r="F3494">
        <v>25</v>
      </c>
      <c r="G3494">
        <v>850</v>
      </c>
      <c r="H3494" s="4">
        <v>425</v>
      </c>
      <c r="I3494" s="4">
        <v>425</v>
      </c>
      <c r="J3494" t="s">
        <v>76</v>
      </c>
      <c r="K3494" t="s">
        <v>58</v>
      </c>
      <c r="L3494" s="4">
        <v>9.8384363471888783</v>
      </c>
      <c r="M3494" s="1" t="s">
        <v>34</v>
      </c>
      <c r="N3494" s="11">
        <f t="shared" si="54"/>
        <v>1</v>
      </c>
    </row>
    <row r="3495" spans="1:14" ht="16" x14ac:dyDescent="0.2">
      <c r="A3495" s="3">
        <v>44283</v>
      </c>
      <c r="B3495" s="1" t="s">
        <v>2451</v>
      </c>
      <c r="C3495" t="s">
        <v>337</v>
      </c>
      <c r="D3495">
        <v>11</v>
      </c>
      <c r="E3495">
        <v>135</v>
      </c>
      <c r="F3495">
        <v>45</v>
      </c>
      <c r="G3495">
        <v>1485</v>
      </c>
      <c r="H3495" s="4">
        <v>495</v>
      </c>
      <c r="I3495" s="4">
        <v>990</v>
      </c>
      <c r="J3495" t="s">
        <v>1343</v>
      </c>
      <c r="K3495" t="s">
        <v>49</v>
      </c>
      <c r="L3495" s="4">
        <v>9.1264071155960682</v>
      </c>
      <c r="M3495" s="1" t="s">
        <v>34</v>
      </c>
      <c r="N3495" s="11">
        <f t="shared" si="54"/>
        <v>1</v>
      </c>
    </row>
    <row r="3496" spans="1:14" ht="16" x14ac:dyDescent="0.2">
      <c r="A3496" s="3">
        <v>44284</v>
      </c>
      <c r="B3496" s="1" t="s">
        <v>3627</v>
      </c>
      <c r="C3496" t="s">
        <v>178</v>
      </c>
      <c r="D3496">
        <v>4</v>
      </c>
      <c r="E3496">
        <v>189</v>
      </c>
      <c r="F3496">
        <v>63</v>
      </c>
      <c r="G3496">
        <v>756</v>
      </c>
      <c r="H3496" s="4">
        <v>252</v>
      </c>
      <c r="I3496" s="4">
        <v>504</v>
      </c>
      <c r="J3496" t="s">
        <v>378</v>
      </c>
      <c r="K3496" t="s">
        <v>53</v>
      </c>
      <c r="L3496" s="4">
        <v>14.423322704129969</v>
      </c>
      <c r="M3496" s="1" t="s">
        <v>38</v>
      </c>
      <c r="N3496" s="11">
        <f t="shared" si="54"/>
        <v>5</v>
      </c>
    </row>
    <row r="3497" spans="1:14" ht="16" x14ac:dyDescent="0.2">
      <c r="A3497" s="3">
        <v>44285</v>
      </c>
      <c r="B3497" s="1" t="s">
        <v>807</v>
      </c>
      <c r="C3497" t="s">
        <v>151</v>
      </c>
      <c r="D3497">
        <v>3</v>
      </c>
      <c r="E3497">
        <v>153</v>
      </c>
      <c r="F3497">
        <v>51</v>
      </c>
      <c r="G3497">
        <v>459</v>
      </c>
      <c r="H3497" s="4">
        <v>153</v>
      </c>
      <c r="I3497" s="4">
        <v>306</v>
      </c>
      <c r="J3497" t="s">
        <v>817</v>
      </c>
      <c r="K3497" t="s">
        <v>64</v>
      </c>
      <c r="L3497" s="4">
        <v>11.417996201106442</v>
      </c>
      <c r="M3497" s="1" t="s">
        <v>38</v>
      </c>
      <c r="N3497" s="11">
        <f t="shared" si="54"/>
        <v>5</v>
      </c>
    </row>
    <row r="3498" spans="1:14" ht="16" x14ac:dyDescent="0.2">
      <c r="A3498" s="3">
        <v>44286</v>
      </c>
      <c r="B3498" s="1" t="s">
        <v>3628</v>
      </c>
      <c r="C3498" t="s">
        <v>301</v>
      </c>
      <c r="D3498">
        <v>1</v>
      </c>
      <c r="E3498">
        <v>188</v>
      </c>
      <c r="F3498">
        <v>94</v>
      </c>
      <c r="G3498">
        <v>188</v>
      </c>
      <c r="H3498" s="4">
        <v>94</v>
      </c>
      <c r="I3498" s="4">
        <v>94</v>
      </c>
      <c r="J3498" t="s">
        <v>569</v>
      </c>
      <c r="K3498" t="s">
        <v>33</v>
      </c>
      <c r="L3498" s="4">
        <v>12.921682080641304</v>
      </c>
      <c r="M3498" s="1" t="s">
        <v>54</v>
      </c>
      <c r="N3498" s="11">
        <f t="shared" si="54"/>
        <v>10</v>
      </c>
    </row>
    <row r="3499" spans="1:14" ht="16" x14ac:dyDescent="0.2">
      <c r="A3499" s="3">
        <v>44287</v>
      </c>
      <c r="B3499" s="1" t="s">
        <v>3629</v>
      </c>
      <c r="C3499" t="s">
        <v>261</v>
      </c>
      <c r="D3499">
        <v>14</v>
      </c>
      <c r="E3499">
        <v>92</v>
      </c>
      <c r="F3499">
        <v>46</v>
      </c>
      <c r="G3499">
        <v>1288</v>
      </c>
      <c r="H3499" s="4">
        <v>644</v>
      </c>
      <c r="I3499" s="4">
        <v>644</v>
      </c>
      <c r="J3499" t="s">
        <v>448</v>
      </c>
      <c r="K3499" t="s">
        <v>58</v>
      </c>
      <c r="L3499" s="4">
        <v>15.770846827234339</v>
      </c>
      <c r="M3499" s="1" t="s">
        <v>54</v>
      </c>
      <c r="N3499" s="11">
        <f t="shared" si="54"/>
        <v>10</v>
      </c>
    </row>
    <row r="3500" spans="1:14" ht="16" x14ac:dyDescent="0.2">
      <c r="A3500" s="3">
        <v>44288</v>
      </c>
      <c r="B3500" s="1" t="s">
        <v>3630</v>
      </c>
      <c r="C3500" t="s">
        <v>252</v>
      </c>
      <c r="D3500">
        <v>10</v>
      </c>
      <c r="E3500">
        <v>252</v>
      </c>
      <c r="F3500">
        <v>63</v>
      </c>
      <c r="G3500">
        <v>2520</v>
      </c>
      <c r="H3500" s="4">
        <v>630</v>
      </c>
      <c r="I3500" s="4">
        <v>1890</v>
      </c>
      <c r="J3500" t="s">
        <v>313</v>
      </c>
      <c r="K3500" t="s">
        <v>49</v>
      </c>
      <c r="L3500" s="4">
        <v>11.99399163482429</v>
      </c>
      <c r="M3500" s="1" t="s">
        <v>38</v>
      </c>
      <c r="N3500" s="11">
        <f t="shared" si="54"/>
        <v>5</v>
      </c>
    </row>
    <row r="3501" spans="1:14" ht="16" x14ac:dyDescent="0.2">
      <c r="A3501" s="3">
        <v>44289</v>
      </c>
      <c r="B3501" s="1" t="s">
        <v>2259</v>
      </c>
      <c r="C3501" t="s">
        <v>286</v>
      </c>
      <c r="D3501">
        <v>2</v>
      </c>
      <c r="E3501">
        <v>34</v>
      </c>
      <c r="F3501">
        <v>17</v>
      </c>
      <c r="G3501">
        <v>68</v>
      </c>
      <c r="H3501" s="4">
        <v>34</v>
      </c>
      <c r="I3501" s="4">
        <v>34</v>
      </c>
      <c r="J3501" t="s">
        <v>236</v>
      </c>
      <c r="K3501" t="s">
        <v>53</v>
      </c>
      <c r="L3501" s="4">
        <v>9.3014286057233697</v>
      </c>
      <c r="M3501" s="1" t="s">
        <v>38</v>
      </c>
      <c r="N3501" s="11">
        <f t="shared" si="54"/>
        <v>5</v>
      </c>
    </row>
    <row r="3502" spans="1:14" ht="16" x14ac:dyDescent="0.2">
      <c r="A3502" s="3">
        <v>44290</v>
      </c>
      <c r="B3502" s="1" t="s">
        <v>3631</v>
      </c>
      <c r="C3502" t="s">
        <v>51</v>
      </c>
      <c r="D3502">
        <v>13</v>
      </c>
      <c r="E3502">
        <v>160</v>
      </c>
      <c r="F3502">
        <v>80</v>
      </c>
      <c r="G3502">
        <v>2080</v>
      </c>
      <c r="H3502" s="4">
        <v>1040</v>
      </c>
      <c r="I3502" s="4">
        <v>1040</v>
      </c>
      <c r="J3502" t="s">
        <v>426</v>
      </c>
      <c r="K3502" t="s">
        <v>53</v>
      </c>
      <c r="L3502" s="4">
        <v>13.923194761258239</v>
      </c>
      <c r="M3502" s="1" t="s">
        <v>38</v>
      </c>
      <c r="N3502" s="11">
        <f t="shared" si="54"/>
        <v>5</v>
      </c>
    </row>
    <row r="3503" spans="1:14" ht="16" x14ac:dyDescent="0.2">
      <c r="A3503" s="3">
        <v>44291</v>
      </c>
      <c r="B3503" s="1" t="s">
        <v>3632</v>
      </c>
      <c r="C3503" t="s">
        <v>266</v>
      </c>
      <c r="D3503">
        <v>4</v>
      </c>
      <c r="E3503">
        <v>50</v>
      </c>
      <c r="F3503">
        <v>25</v>
      </c>
      <c r="G3503">
        <v>200</v>
      </c>
      <c r="H3503" s="4">
        <v>100</v>
      </c>
      <c r="I3503" s="4">
        <v>100</v>
      </c>
      <c r="J3503" t="s">
        <v>1085</v>
      </c>
      <c r="K3503" t="s">
        <v>49</v>
      </c>
      <c r="L3503" s="4">
        <v>10.818241047231139</v>
      </c>
      <c r="M3503" s="1" t="s">
        <v>54</v>
      </c>
      <c r="N3503" s="11">
        <f t="shared" si="54"/>
        <v>10</v>
      </c>
    </row>
    <row r="3504" spans="1:14" ht="16" x14ac:dyDescent="0.2">
      <c r="A3504" s="3">
        <v>44292</v>
      </c>
      <c r="B3504" s="1" t="s">
        <v>3633</v>
      </c>
      <c r="C3504" t="s">
        <v>120</v>
      </c>
      <c r="D3504">
        <v>15</v>
      </c>
      <c r="E3504">
        <v>252</v>
      </c>
      <c r="F3504">
        <v>63</v>
      </c>
      <c r="G3504">
        <v>3780</v>
      </c>
      <c r="H3504" s="4">
        <v>945</v>
      </c>
      <c r="I3504" s="4">
        <v>2835</v>
      </c>
      <c r="J3504" t="s">
        <v>795</v>
      </c>
      <c r="K3504" t="s">
        <v>49</v>
      </c>
      <c r="L3504" s="4">
        <v>11.661237375491201</v>
      </c>
      <c r="M3504" s="1" t="s">
        <v>38</v>
      </c>
      <c r="N3504" s="11">
        <f t="shared" si="54"/>
        <v>5</v>
      </c>
    </row>
    <row r="3505" spans="1:14" ht="16" x14ac:dyDescent="0.2">
      <c r="A3505" s="3">
        <v>44293</v>
      </c>
      <c r="B3505" s="1" t="s">
        <v>3634</v>
      </c>
      <c r="C3505" t="s">
        <v>62</v>
      </c>
      <c r="D3505">
        <v>19</v>
      </c>
      <c r="E3505">
        <v>80</v>
      </c>
      <c r="F3505">
        <v>20</v>
      </c>
      <c r="G3505">
        <v>1520</v>
      </c>
      <c r="H3505" s="4">
        <v>380</v>
      </c>
      <c r="I3505" s="4">
        <v>1140</v>
      </c>
      <c r="J3505" t="s">
        <v>521</v>
      </c>
      <c r="K3505" t="s">
        <v>58</v>
      </c>
      <c r="L3505" s="4">
        <v>8.8514729234790472</v>
      </c>
      <c r="M3505" s="1" t="s">
        <v>38</v>
      </c>
      <c r="N3505" s="11">
        <f t="shared" si="54"/>
        <v>5</v>
      </c>
    </row>
    <row r="3506" spans="1:14" ht="16" x14ac:dyDescent="0.2">
      <c r="A3506" s="3">
        <v>44294</v>
      </c>
      <c r="B3506" s="1" t="s">
        <v>3635</v>
      </c>
      <c r="C3506" t="s">
        <v>356</v>
      </c>
      <c r="D3506">
        <v>19</v>
      </c>
      <c r="E3506">
        <v>356</v>
      </c>
      <c r="F3506">
        <v>89</v>
      </c>
      <c r="G3506">
        <v>6764</v>
      </c>
      <c r="H3506" s="4">
        <v>1691</v>
      </c>
      <c r="I3506" s="4">
        <v>5073</v>
      </c>
      <c r="J3506" t="s">
        <v>279</v>
      </c>
      <c r="K3506" t="s">
        <v>64</v>
      </c>
      <c r="L3506" s="4">
        <v>11.504886852416154</v>
      </c>
      <c r="M3506" s="1" t="s">
        <v>34</v>
      </c>
      <c r="N3506" s="11">
        <f t="shared" si="54"/>
        <v>1</v>
      </c>
    </row>
    <row r="3507" spans="1:14" ht="16" x14ac:dyDescent="0.2">
      <c r="A3507" s="3">
        <v>44295</v>
      </c>
      <c r="B3507" s="1" t="s">
        <v>3636</v>
      </c>
      <c r="C3507" t="s">
        <v>115</v>
      </c>
      <c r="D3507">
        <v>10</v>
      </c>
      <c r="E3507">
        <v>81</v>
      </c>
      <c r="F3507">
        <v>27</v>
      </c>
      <c r="G3507">
        <v>810</v>
      </c>
      <c r="H3507" s="4">
        <v>270</v>
      </c>
      <c r="I3507" s="4">
        <v>540</v>
      </c>
      <c r="J3507" t="s">
        <v>179</v>
      </c>
      <c r="K3507" t="s">
        <v>53</v>
      </c>
      <c r="L3507" s="4">
        <v>11.36085047138285</v>
      </c>
      <c r="M3507" s="1" t="s">
        <v>38</v>
      </c>
      <c r="N3507" s="11">
        <f t="shared" si="54"/>
        <v>5</v>
      </c>
    </row>
    <row r="3508" spans="1:14" ht="16" x14ac:dyDescent="0.2">
      <c r="A3508" s="3">
        <v>44296</v>
      </c>
      <c r="B3508" s="1" t="s">
        <v>3637</v>
      </c>
      <c r="C3508" t="s">
        <v>133</v>
      </c>
      <c r="D3508">
        <v>14</v>
      </c>
      <c r="E3508">
        <v>189</v>
      </c>
      <c r="F3508">
        <v>63</v>
      </c>
      <c r="G3508">
        <v>2646</v>
      </c>
      <c r="H3508" s="4">
        <v>882</v>
      </c>
      <c r="I3508" s="4">
        <v>1764</v>
      </c>
      <c r="J3508" t="s">
        <v>678</v>
      </c>
      <c r="K3508" t="s">
        <v>86</v>
      </c>
      <c r="L3508" s="4">
        <v>12.460490918487697</v>
      </c>
      <c r="M3508" s="1" t="s">
        <v>38</v>
      </c>
      <c r="N3508" s="11">
        <f t="shared" si="54"/>
        <v>5</v>
      </c>
    </row>
    <row r="3509" spans="1:14" ht="16" x14ac:dyDescent="0.2">
      <c r="A3509" s="3">
        <v>44297</v>
      </c>
      <c r="B3509" s="1" t="s">
        <v>3638</v>
      </c>
      <c r="C3509" t="s">
        <v>139</v>
      </c>
      <c r="D3509">
        <v>6</v>
      </c>
      <c r="E3509">
        <v>320</v>
      </c>
      <c r="F3509">
        <v>80</v>
      </c>
      <c r="G3509">
        <v>1920</v>
      </c>
      <c r="H3509" s="4">
        <v>480</v>
      </c>
      <c r="I3509" s="4">
        <v>1440</v>
      </c>
      <c r="J3509" t="s">
        <v>236</v>
      </c>
      <c r="K3509" t="s">
        <v>53</v>
      </c>
      <c r="L3509" s="4">
        <v>9.3014286057233697</v>
      </c>
      <c r="M3509" s="1" t="s">
        <v>38</v>
      </c>
      <c r="N3509" s="11">
        <f t="shared" si="54"/>
        <v>5</v>
      </c>
    </row>
    <row r="3510" spans="1:14" ht="16" x14ac:dyDescent="0.2">
      <c r="A3510" s="3">
        <v>44298</v>
      </c>
      <c r="B3510" s="1" t="s">
        <v>3639</v>
      </c>
      <c r="C3510" t="s">
        <v>259</v>
      </c>
      <c r="D3510">
        <v>1</v>
      </c>
      <c r="E3510">
        <v>270</v>
      </c>
      <c r="F3510">
        <v>90</v>
      </c>
      <c r="G3510">
        <v>270</v>
      </c>
      <c r="H3510" s="4">
        <v>90</v>
      </c>
      <c r="I3510" s="4">
        <v>180</v>
      </c>
      <c r="J3510" t="s">
        <v>102</v>
      </c>
      <c r="K3510" t="s">
        <v>49</v>
      </c>
      <c r="L3510" s="4">
        <v>15.12637675023732</v>
      </c>
      <c r="M3510" s="1" t="s">
        <v>38</v>
      </c>
      <c r="N3510" s="11">
        <f t="shared" si="54"/>
        <v>5</v>
      </c>
    </row>
    <row r="3511" spans="1:14" ht="16" x14ac:dyDescent="0.2">
      <c r="A3511" s="3">
        <v>44299</v>
      </c>
      <c r="B3511" s="1" t="s">
        <v>3640</v>
      </c>
      <c r="C3511" t="s">
        <v>487</v>
      </c>
      <c r="D3511">
        <v>19</v>
      </c>
      <c r="E3511">
        <v>264</v>
      </c>
      <c r="F3511">
        <v>88</v>
      </c>
      <c r="G3511">
        <v>5016</v>
      </c>
      <c r="H3511" s="4">
        <v>1672</v>
      </c>
      <c r="I3511" s="4">
        <v>3344</v>
      </c>
      <c r="J3511" t="s">
        <v>875</v>
      </c>
      <c r="K3511" t="s">
        <v>58</v>
      </c>
      <c r="L3511" s="4">
        <v>11.485823039755857</v>
      </c>
      <c r="M3511" s="1" t="s">
        <v>54</v>
      </c>
      <c r="N3511" s="11">
        <f t="shared" si="54"/>
        <v>10</v>
      </c>
    </row>
    <row r="3512" spans="1:14" ht="16" x14ac:dyDescent="0.2">
      <c r="A3512" s="3">
        <v>44300</v>
      </c>
      <c r="B3512" s="1" t="s">
        <v>3641</v>
      </c>
      <c r="C3512" t="s">
        <v>160</v>
      </c>
      <c r="D3512">
        <v>3</v>
      </c>
      <c r="E3512">
        <v>132</v>
      </c>
      <c r="F3512">
        <v>33</v>
      </c>
      <c r="G3512">
        <v>396</v>
      </c>
      <c r="H3512" s="4">
        <v>99</v>
      </c>
      <c r="I3512" s="4">
        <v>297</v>
      </c>
      <c r="J3512" t="s">
        <v>448</v>
      </c>
      <c r="K3512" t="s">
        <v>58</v>
      </c>
      <c r="L3512" s="4">
        <v>15.770846827234339</v>
      </c>
      <c r="M3512" s="1" t="s">
        <v>38</v>
      </c>
      <c r="N3512" s="11">
        <f t="shared" si="54"/>
        <v>5</v>
      </c>
    </row>
    <row r="3513" spans="1:14" ht="16" x14ac:dyDescent="0.2">
      <c r="A3513" s="3">
        <v>44301</v>
      </c>
      <c r="B3513" s="1" t="s">
        <v>3642</v>
      </c>
      <c r="C3513" t="s">
        <v>163</v>
      </c>
      <c r="D3513">
        <v>10</v>
      </c>
      <c r="E3513">
        <v>108</v>
      </c>
      <c r="F3513">
        <v>36</v>
      </c>
      <c r="G3513">
        <v>1080</v>
      </c>
      <c r="H3513" s="4">
        <v>360</v>
      </c>
      <c r="I3513" s="4">
        <v>720</v>
      </c>
      <c r="J3513" t="s">
        <v>1195</v>
      </c>
      <c r="K3513" t="s">
        <v>33</v>
      </c>
      <c r="L3513" s="4">
        <v>11.971065679104063</v>
      </c>
      <c r="M3513" s="1" t="s">
        <v>38</v>
      </c>
      <c r="N3513" s="11">
        <f t="shared" si="54"/>
        <v>5</v>
      </c>
    </row>
    <row r="3514" spans="1:14" ht="16" x14ac:dyDescent="0.2">
      <c r="A3514" s="3">
        <v>44302</v>
      </c>
      <c r="B3514" s="1" t="s">
        <v>3643</v>
      </c>
      <c r="C3514" t="s">
        <v>248</v>
      </c>
      <c r="D3514">
        <v>4</v>
      </c>
      <c r="E3514">
        <v>132</v>
      </c>
      <c r="F3514">
        <v>44</v>
      </c>
      <c r="G3514">
        <v>528</v>
      </c>
      <c r="H3514" s="4">
        <v>176</v>
      </c>
      <c r="I3514" s="4">
        <v>352</v>
      </c>
      <c r="J3514" t="s">
        <v>701</v>
      </c>
      <c r="K3514" t="s">
        <v>42</v>
      </c>
      <c r="L3514" s="4">
        <v>10.434860153112215</v>
      </c>
      <c r="M3514" s="1" t="s">
        <v>38</v>
      </c>
      <c r="N3514" s="11">
        <f t="shared" si="54"/>
        <v>5</v>
      </c>
    </row>
    <row r="3515" spans="1:14" ht="16" x14ac:dyDescent="0.2">
      <c r="A3515" s="3">
        <v>44303</v>
      </c>
      <c r="B3515" s="1" t="s">
        <v>3644</v>
      </c>
      <c r="C3515" t="s">
        <v>75</v>
      </c>
      <c r="D3515">
        <v>16</v>
      </c>
      <c r="E3515">
        <v>76</v>
      </c>
      <c r="F3515">
        <v>19</v>
      </c>
      <c r="G3515">
        <v>1216</v>
      </c>
      <c r="H3515" s="4">
        <v>304</v>
      </c>
      <c r="I3515" s="4">
        <v>912</v>
      </c>
      <c r="J3515" t="s">
        <v>531</v>
      </c>
      <c r="K3515" t="s">
        <v>58</v>
      </c>
      <c r="L3515" s="4">
        <v>14.064516999204997</v>
      </c>
      <c r="M3515" s="1" t="s">
        <v>34</v>
      </c>
      <c r="N3515" s="11">
        <f t="shared" si="54"/>
        <v>1</v>
      </c>
    </row>
    <row r="3516" spans="1:14" ht="16" x14ac:dyDescent="0.2">
      <c r="A3516" s="3">
        <v>44304</v>
      </c>
      <c r="B3516" s="1" t="s">
        <v>3645</v>
      </c>
      <c r="C3516" t="s">
        <v>365</v>
      </c>
      <c r="D3516">
        <v>4</v>
      </c>
      <c r="E3516">
        <v>255</v>
      </c>
      <c r="F3516">
        <v>85</v>
      </c>
      <c r="G3516">
        <v>1020</v>
      </c>
      <c r="H3516" s="4">
        <v>340</v>
      </c>
      <c r="I3516" s="4">
        <v>680</v>
      </c>
      <c r="J3516" t="s">
        <v>1434</v>
      </c>
      <c r="K3516" t="s">
        <v>86</v>
      </c>
      <c r="L3516" s="4">
        <v>10.826646539963521</v>
      </c>
      <c r="M3516" s="1" t="s">
        <v>34</v>
      </c>
      <c r="N3516" s="11">
        <f t="shared" si="54"/>
        <v>1</v>
      </c>
    </row>
    <row r="3517" spans="1:14" ht="16" x14ac:dyDescent="0.2">
      <c r="A3517" s="3">
        <v>44305</v>
      </c>
      <c r="B3517" s="1" t="s">
        <v>3646</v>
      </c>
      <c r="C3517" t="s">
        <v>84</v>
      </c>
      <c r="D3517">
        <v>19</v>
      </c>
      <c r="E3517">
        <v>126</v>
      </c>
      <c r="F3517">
        <v>42</v>
      </c>
      <c r="G3517">
        <v>2394</v>
      </c>
      <c r="H3517" s="4">
        <v>798</v>
      </c>
      <c r="I3517" s="4">
        <v>1596</v>
      </c>
      <c r="J3517" t="s">
        <v>361</v>
      </c>
      <c r="K3517" t="s">
        <v>64</v>
      </c>
      <c r="L3517" s="4">
        <v>13.092530646074781</v>
      </c>
      <c r="M3517" s="1" t="s">
        <v>34</v>
      </c>
      <c r="N3517" s="11">
        <f t="shared" si="54"/>
        <v>1</v>
      </c>
    </row>
    <row r="3518" spans="1:14" ht="16" x14ac:dyDescent="0.2">
      <c r="A3518" s="3">
        <v>44306</v>
      </c>
      <c r="B3518" s="1" t="s">
        <v>3647</v>
      </c>
      <c r="C3518" t="s">
        <v>240</v>
      </c>
      <c r="D3518">
        <v>16</v>
      </c>
      <c r="E3518">
        <v>108</v>
      </c>
      <c r="F3518">
        <v>54</v>
      </c>
      <c r="G3518">
        <v>1728</v>
      </c>
      <c r="H3518" s="4">
        <v>864</v>
      </c>
      <c r="I3518" s="4">
        <v>864</v>
      </c>
      <c r="J3518" t="s">
        <v>640</v>
      </c>
      <c r="K3518" t="s">
        <v>53</v>
      </c>
      <c r="L3518" s="4">
        <v>8.7741864171993527</v>
      </c>
      <c r="M3518" s="1" t="s">
        <v>38</v>
      </c>
      <c r="N3518" s="11">
        <f t="shared" si="54"/>
        <v>5</v>
      </c>
    </row>
    <row r="3519" spans="1:14" ht="16" x14ac:dyDescent="0.2">
      <c r="A3519" s="3">
        <v>44307</v>
      </c>
      <c r="B3519" s="1" t="s">
        <v>3648</v>
      </c>
      <c r="C3519" t="s">
        <v>561</v>
      </c>
      <c r="D3519">
        <v>7</v>
      </c>
      <c r="E3519">
        <v>384</v>
      </c>
      <c r="F3519">
        <v>96</v>
      </c>
      <c r="G3519">
        <v>2688</v>
      </c>
      <c r="H3519" s="4">
        <v>672</v>
      </c>
      <c r="I3519" s="4">
        <v>2016</v>
      </c>
      <c r="J3519" t="s">
        <v>513</v>
      </c>
      <c r="K3519" t="s">
        <v>58</v>
      </c>
      <c r="L3519" s="4">
        <v>15.207985888346794</v>
      </c>
      <c r="M3519" s="1" t="s">
        <v>38</v>
      </c>
      <c r="N3519" s="11">
        <f t="shared" si="54"/>
        <v>5</v>
      </c>
    </row>
    <row r="3520" spans="1:14" ht="16" x14ac:dyDescent="0.2">
      <c r="A3520" s="3">
        <v>44308</v>
      </c>
      <c r="B3520" s="1" t="s">
        <v>3649</v>
      </c>
      <c r="C3520" t="s">
        <v>154</v>
      </c>
      <c r="D3520">
        <v>9</v>
      </c>
      <c r="E3520">
        <v>308</v>
      </c>
      <c r="F3520">
        <v>77</v>
      </c>
      <c r="G3520">
        <v>2772</v>
      </c>
      <c r="H3520" s="4">
        <v>693</v>
      </c>
      <c r="I3520" s="4">
        <v>2079</v>
      </c>
      <c r="J3520" t="s">
        <v>767</v>
      </c>
      <c r="K3520" t="s">
        <v>42</v>
      </c>
      <c r="L3520" s="4">
        <v>11.289144410898391</v>
      </c>
      <c r="M3520" s="1" t="s">
        <v>38</v>
      </c>
      <c r="N3520" s="11">
        <f t="shared" si="54"/>
        <v>5</v>
      </c>
    </row>
    <row r="3521" spans="1:14" ht="16" x14ac:dyDescent="0.2">
      <c r="A3521" s="3">
        <v>44309</v>
      </c>
      <c r="B3521" s="1" t="s">
        <v>3650</v>
      </c>
      <c r="C3521" t="s">
        <v>420</v>
      </c>
      <c r="D3521">
        <v>14</v>
      </c>
      <c r="E3521">
        <v>162</v>
      </c>
      <c r="F3521">
        <v>54</v>
      </c>
      <c r="G3521">
        <v>2268</v>
      </c>
      <c r="H3521" s="4">
        <v>756</v>
      </c>
      <c r="I3521" s="4">
        <v>1512</v>
      </c>
      <c r="J3521" t="s">
        <v>825</v>
      </c>
      <c r="K3521" t="s">
        <v>42</v>
      </c>
      <c r="L3521" s="4">
        <v>14.060995290679429</v>
      </c>
      <c r="M3521" s="1" t="s">
        <v>38</v>
      </c>
      <c r="N3521" s="11">
        <f t="shared" si="54"/>
        <v>5</v>
      </c>
    </row>
    <row r="3522" spans="1:14" ht="16" x14ac:dyDescent="0.2">
      <c r="A3522" s="3">
        <v>44310</v>
      </c>
      <c r="B3522" s="1" t="s">
        <v>3651</v>
      </c>
      <c r="C3522" t="s">
        <v>163</v>
      </c>
      <c r="D3522">
        <v>14</v>
      </c>
      <c r="E3522">
        <v>108</v>
      </c>
      <c r="F3522">
        <v>36</v>
      </c>
      <c r="G3522">
        <v>1512</v>
      </c>
      <c r="H3522" s="4">
        <v>504</v>
      </c>
      <c r="I3522" s="4">
        <v>1008</v>
      </c>
      <c r="J3522" t="s">
        <v>1432</v>
      </c>
      <c r="K3522" t="s">
        <v>53</v>
      </c>
      <c r="L3522" s="4">
        <v>13.2671922973198</v>
      </c>
      <c r="M3522" s="1" t="s">
        <v>38</v>
      </c>
      <c r="N3522" s="11">
        <f t="shared" si="54"/>
        <v>5</v>
      </c>
    </row>
    <row r="3523" spans="1:14" ht="16" x14ac:dyDescent="0.2">
      <c r="A3523" s="3">
        <v>44311</v>
      </c>
      <c r="B3523" s="1" t="s">
        <v>3652</v>
      </c>
      <c r="C3523" t="s">
        <v>188</v>
      </c>
      <c r="D3523">
        <v>4</v>
      </c>
      <c r="E3523">
        <v>368</v>
      </c>
      <c r="F3523">
        <v>92</v>
      </c>
      <c r="G3523">
        <v>1472</v>
      </c>
      <c r="H3523" s="4">
        <v>368</v>
      </c>
      <c r="I3523" s="4">
        <v>1104</v>
      </c>
      <c r="J3523" t="s">
        <v>313</v>
      </c>
      <c r="K3523" t="s">
        <v>49</v>
      </c>
      <c r="L3523" s="4">
        <v>11.99399163482429</v>
      </c>
      <c r="M3523" s="1" t="s">
        <v>34</v>
      </c>
      <c r="N3523" s="11">
        <f t="shared" ref="N3523:N3586" si="55">+IF(M3523="Dissatisfied",1,IF(M3523="Satisfied",10,5))</f>
        <v>1</v>
      </c>
    </row>
    <row r="3524" spans="1:14" ht="16" x14ac:dyDescent="0.2">
      <c r="A3524" s="3">
        <v>44312</v>
      </c>
      <c r="B3524" s="1" t="s">
        <v>3653</v>
      </c>
      <c r="C3524" t="s">
        <v>139</v>
      </c>
      <c r="D3524">
        <v>15</v>
      </c>
      <c r="E3524">
        <v>320</v>
      </c>
      <c r="F3524">
        <v>80</v>
      </c>
      <c r="G3524">
        <v>4800</v>
      </c>
      <c r="H3524" s="4">
        <v>1200</v>
      </c>
      <c r="I3524" s="4">
        <v>3600</v>
      </c>
      <c r="J3524" t="s">
        <v>307</v>
      </c>
      <c r="K3524" t="s">
        <v>53</v>
      </c>
      <c r="L3524" s="4">
        <v>7.0114620475168028</v>
      </c>
      <c r="M3524" s="1" t="s">
        <v>38</v>
      </c>
      <c r="N3524" s="11">
        <f t="shared" si="55"/>
        <v>5</v>
      </c>
    </row>
    <row r="3525" spans="1:14" ht="16" x14ac:dyDescent="0.2">
      <c r="A3525" s="3">
        <v>44313</v>
      </c>
      <c r="B3525" s="1" t="s">
        <v>3654</v>
      </c>
      <c r="C3525" t="s">
        <v>276</v>
      </c>
      <c r="D3525">
        <v>1</v>
      </c>
      <c r="E3525">
        <v>57</v>
      </c>
      <c r="F3525">
        <v>19</v>
      </c>
      <c r="G3525">
        <v>57</v>
      </c>
      <c r="H3525" s="4">
        <v>19</v>
      </c>
      <c r="I3525" s="4">
        <v>38</v>
      </c>
      <c r="J3525" t="s">
        <v>189</v>
      </c>
      <c r="K3525" t="s">
        <v>58</v>
      </c>
      <c r="L3525" s="4">
        <v>12.551203838971933</v>
      </c>
      <c r="M3525" s="1" t="s">
        <v>38</v>
      </c>
      <c r="N3525" s="11">
        <f t="shared" si="55"/>
        <v>5</v>
      </c>
    </row>
    <row r="3526" spans="1:14" ht="16" x14ac:dyDescent="0.2">
      <c r="A3526" s="3">
        <v>44314</v>
      </c>
      <c r="B3526" s="1" t="s">
        <v>3655</v>
      </c>
      <c r="C3526" t="s">
        <v>420</v>
      </c>
      <c r="D3526">
        <v>13</v>
      </c>
      <c r="E3526">
        <v>162</v>
      </c>
      <c r="F3526">
        <v>54</v>
      </c>
      <c r="G3526">
        <v>2106</v>
      </c>
      <c r="H3526" s="4">
        <v>702</v>
      </c>
      <c r="I3526" s="4">
        <v>1404</v>
      </c>
      <c r="J3526" t="s">
        <v>492</v>
      </c>
      <c r="K3526" t="s">
        <v>33</v>
      </c>
      <c r="L3526" s="4">
        <v>11.799431383856128</v>
      </c>
      <c r="M3526" s="1" t="s">
        <v>54</v>
      </c>
      <c r="N3526" s="11">
        <f t="shared" si="55"/>
        <v>10</v>
      </c>
    </row>
    <row r="3527" spans="1:14" ht="16" x14ac:dyDescent="0.2">
      <c r="A3527" s="3">
        <v>44315</v>
      </c>
      <c r="B3527" s="1" t="s">
        <v>3656</v>
      </c>
      <c r="C3527" t="s">
        <v>788</v>
      </c>
      <c r="D3527">
        <v>17</v>
      </c>
      <c r="E3527">
        <v>100</v>
      </c>
      <c r="F3527">
        <v>25</v>
      </c>
      <c r="G3527">
        <v>1700</v>
      </c>
      <c r="H3527" s="4">
        <v>425</v>
      </c>
      <c r="I3527" s="4">
        <v>1275</v>
      </c>
      <c r="J3527" t="s">
        <v>354</v>
      </c>
      <c r="K3527" t="s">
        <v>42</v>
      </c>
      <c r="L3527" s="4">
        <v>13.518413464873573</v>
      </c>
      <c r="M3527" s="1" t="s">
        <v>38</v>
      </c>
      <c r="N3527" s="11">
        <f t="shared" si="55"/>
        <v>5</v>
      </c>
    </row>
    <row r="3528" spans="1:14" ht="16" x14ac:dyDescent="0.2">
      <c r="A3528" s="3">
        <v>44316</v>
      </c>
      <c r="B3528" s="1" t="s">
        <v>3657</v>
      </c>
      <c r="C3528" t="s">
        <v>547</v>
      </c>
      <c r="D3528">
        <v>5</v>
      </c>
      <c r="E3528">
        <v>300</v>
      </c>
      <c r="F3528">
        <v>75</v>
      </c>
      <c r="G3528">
        <v>1500</v>
      </c>
      <c r="H3528" s="4">
        <v>375</v>
      </c>
      <c r="I3528" s="4">
        <v>1125</v>
      </c>
      <c r="J3528" t="s">
        <v>574</v>
      </c>
      <c r="K3528" t="s">
        <v>58</v>
      </c>
      <c r="L3528" s="4">
        <v>13.150536103258979</v>
      </c>
      <c r="M3528" s="1" t="s">
        <v>54</v>
      </c>
      <c r="N3528" s="11">
        <f t="shared" si="55"/>
        <v>10</v>
      </c>
    </row>
    <row r="3529" spans="1:14" ht="16" x14ac:dyDescent="0.2">
      <c r="A3529" s="3">
        <v>44317</v>
      </c>
      <c r="B3529" s="1" t="s">
        <v>3658</v>
      </c>
      <c r="C3529" t="s">
        <v>523</v>
      </c>
      <c r="D3529">
        <v>17</v>
      </c>
      <c r="E3529">
        <v>92</v>
      </c>
      <c r="F3529">
        <v>46</v>
      </c>
      <c r="G3529">
        <v>1564</v>
      </c>
      <c r="H3529" s="4">
        <v>782</v>
      </c>
      <c r="I3529" s="4">
        <v>782</v>
      </c>
      <c r="J3529" t="s">
        <v>60</v>
      </c>
      <c r="K3529" t="s">
        <v>53</v>
      </c>
      <c r="L3529" s="4">
        <v>11.048444680405545</v>
      </c>
      <c r="M3529" s="1" t="s">
        <v>34</v>
      </c>
      <c r="N3529" s="11">
        <f t="shared" si="55"/>
        <v>1</v>
      </c>
    </row>
    <row r="3530" spans="1:14" ht="16" x14ac:dyDescent="0.2">
      <c r="A3530" s="3">
        <v>44318</v>
      </c>
      <c r="B3530" s="1" t="s">
        <v>3659</v>
      </c>
      <c r="C3530" t="s">
        <v>171</v>
      </c>
      <c r="D3530">
        <v>13</v>
      </c>
      <c r="E3530">
        <v>225</v>
      </c>
      <c r="F3530">
        <v>75</v>
      </c>
      <c r="G3530">
        <v>2925</v>
      </c>
      <c r="H3530" s="4">
        <v>975</v>
      </c>
      <c r="I3530" s="4">
        <v>1950</v>
      </c>
      <c r="J3530" t="s">
        <v>384</v>
      </c>
      <c r="K3530" t="s">
        <v>33</v>
      </c>
      <c r="L3530" s="4">
        <v>11.687634894637348</v>
      </c>
      <c r="M3530" s="1" t="s">
        <v>54</v>
      </c>
      <c r="N3530" s="11">
        <f t="shared" si="55"/>
        <v>10</v>
      </c>
    </row>
    <row r="3531" spans="1:14" ht="16" x14ac:dyDescent="0.2">
      <c r="A3531" s="3">
        <v>44319</v>
      </c>
      <c r="B3531" s="1" t="s">
        <v>3660</v>
      </c>
      <c r="C3531" t="s">
        <v>133</v>
      </c>
      <c r="D3531">
        <v>3</v>
      </c>
      <c r="E3531">
        <v>189</v>
      </c>
      <c r="F3531">
        <v>63</v>
      </c>
      <c r="G3531">
        <v>567</v>
      </c>
      <c r="H3531" s="4">
        <v>189</v>
      </c>
      <c r="I3531" s="4">
        <v>378</v>
      </c>
      <c r="J3531" t="s">
        <v>1343</v>
      </c>
      <c r="K3531" t="s">
        <v>49</v>
      </c>
      <c r="L3531" s="4">
        <v>9.1264071155960682</v>
      </c>
      <c r="M3531" s="1" t="s">
        <v>54</v>
      </c>
      <c r="N3531" s="11">
        <f t="shared" si="55"/>
        <v>10</v>
      </c>
    </row>
    <row r="3532" spans="1:14" ht="16" x14ac:dyDescent="0.2">
      <c r="A3532" s="3">
        <v>44320</v>
      </c>
      <c r="B3532" s="1" t="s">
        <v>3661</v>
      </c>
      <c r="C3532" t="s">
        <v>201</v>
      </c>
      <c r="D3532">
        <v>3</v>
      </c>
      <c r="E3532">
        <v>30</v>
      </c>
      <c r="F3532">
        <v>15</v>
      </c>
      <c r="G3532">
        <v>90</v>
      </c>
      <c r="H3532" s="4">
        <v>45</v>
      </c>
      <c r="I3532" s="4">
        <v>45</v>
      </c>
      <c r="J3532" t="s">
        <v>313</v>
      </c>
      <c r="K3532" t="s">
        <v>49</v>
      </c>
      <c r="L3532" s="4">
        <v>11.99399163482429</v>
      </c>
      <c r="M3532" s="1" t="s">
        <v>38</v>
      </c>
      <c r="N3532" s="11">
        <f t="shared" si="55"/>
        <v>5</v>
      </c>
    </row>
    <row r="3533" spans="1:14" ht="16" x14ac:dyDescent="0.2">
      <c r="A3533" s="3">
        <v>44321</v>
      </c>
      <c r="B3533" s="1" t="s">
        <v>3662</v>
      </c>
      <c r="C3533" t="s">
        <v>163</v>
      </c>
      <c r="D3533">
        <v>9</v>
      </c>
      <c r="E3533">
        <v>108</v>
      </c>
      <c r="F3533">
        <v>36</v>
      </c>
      <c r="G3533">
        <v>972</v>
      </c>
      <c r="H3533" s="4">
        <v>324</v>
      </c>
      <c r="I3533" s="4">
        <v>648</v>
      </c>
      <c r="J3533" t="s">
        <v>504</v>
      </c>
      <c r="K3533" t="s">
        <v>53</v>
      </c>
      <c r="L3533" s="4">
        <v>12.801144805697081</v>
      </c>
      <c r="M3533" s="1" t="s">
        <v>38</v>
      </c>
      <c r="N3533" s="11">
        <f t="shared" si="55"/>
        <v>5</v>
      </c>
    </row>
    <row r="3534" spans="1:14" ht="16" x14ac:dyDescent="0.2">
      <c r="A3534" s="3">
        <v>44322</v>
      </c>
      <c r="B3534" s="1" t="s">
        <v>3663</v>
      </c>
      <c r="C3534" t="s">
        <v>257</v>
      </c>
      <c r="D3534">
        <v>12</v>
      </c>
      <c r="E3534">
        <v>160</v>
      </c>
      <c r="F3534">
        <v>80</v>
      </c>
      <c r="G3534">
        <v>1920</v>
      </c>
      <c r="H3534" s="4">
        <v>960</v>
      </c>
      <c r="I3534" s="4">
        <v>960</v>
      </c>
      <c r="J3534" t="s">
        <v>228</v>
      </c>
      <c r="K3534" t="s">
        <v>53</v>
      </c>
      <c r="L3534" s="4">
        <v>14.377134310720955</v>
      </c>
      <c r="M3534" s="1" t="s">
        <v>38</v>
      </c>
      <c r="N3534" s="11">
        <f t="shared" si="55"/>
        <v>5</v>
      </c>
    </row>
    <row r="3535" spans="1:14" ht="16" x14ac:dyDescent="0.2">
      <c r="A3535" s="3">
        <v>44323</v>
      </c>
      <c r="B3535" s="1" t="s">
        <v>2491</v>
      </c>
      <c r="C3535" t="s">
        <v>163</v>
      </c>
      <c r="D3535">
        <v>14</v>
      </c>
      <c r="E3535">
        <v>108</v>
      </c>
      <c r="F3535">
        <v>36</v>
      </c>
      <c r="G3535">
        <v>1512</v>
      </c>
      <c r="H3535" s="4">
        <v>504</v>
      </c>
      <c r="I3535" s="4">
        <v>1008</v>
      </c>
      <c r="J3535" t="s">
        <v>1279</v>
      </c>
      <c r="K3535" t="s">
        <v>33</v>
      </c>
      <c r="L3535" s="4">
        <v>6.221489120484736</v>
      </c>
      <c r="M3535" s="1" t="s">
        <v>34</v>
      </c>
      <c r="N3535" s="11">
        <f t="shared" si="55"/>
        <v>1</v>
      </c>
    </row>
    <row r="3536" spans="1:14" ht="16" x14ac:dyDescent="0.2">
      <c r="A3536" s="3">
        <v>44324</v>
      </c>
      <c r="B3536" s="1" t="s">
        <v>3664</v>
      </c>
      <c r="C3536" t="s">
        <v>72</v>
      </c>
      <c r="D3536">
        <v>13</v>
      </c>
      <c r="E3536">
        <v>352</v>
      </c>
      <c r="F3536">
        <v>88</v>
      </c>
      <c r="G3536">
        <v>4576</v>
      </c>
      <c r="H3536" s="4">
        <v>1144</v>
      </c>
      <c r="I3536" s="4">
        <v>3432</v>
      </c>
      <c r="J3536" t="s">
        <v>1138</v>
      </c>
      <c r="K3536" t="s">
        <v>64</v>
      </c>
      <c r="L3536" s="4">
        <v>13.601235361661526</v>
      </c>
      <c r="M3536" s="1" t="s">
        <v>54</v>
      </c>
      <c r="N3536" s="11">
        <f t="shared" si="55"/>
        <v>10</v>
      </c>
    </row>
    <row r="3537" spans="1:14" ht="16" x14ac:dyDescent="0.2">
      <c r="A3537" s="3">
        <v>44325</v>
      </c>
      <c r="B3537" s="1" t="s">
        <v>3665</v>
      </c>
      <c r="C3537" t="s">
        <v>125</v>
      </c>
      <c r="D3537">
        <v>2</v>
      </c>
      <c r="E3537">
        <v>176</v>
      </c>
      <c r="F3537">
        <v>88</v>
      </c>
      <c r="G3537">
        <v>352</v>
      </c>
      <c r="H3537" s="4">
        <v>176</v>
      </c>
      <c r="I3537" s="4">
        <v>176</v>
      </c>
      <c r="J3537" t="s">
        <v>67</v>
      </c>
      <c r="K3537" t="s">
        <v>64</v>
      </c>
      <c r="L3537" s="4">
        <v>15.602184182549776</v>
      </c>
      <c r="M3537" s="1" t="s">
        <v>38</v>
      </c>
      <c r="N3537" s="11">
        <f t="shared" si="55"/>
        <v>5</v>
      </c>
    </row>
    <row r="3538" spans="1:14" ht="16" x14ac:dyDescent="0.2">
      <c r="A3538" s="3">
        <v>44326</v>
      </c>
      <c r="B3538" s="1" t="s">
        <v>520</v>
      </c>
      <c r="C3538" t="s">
        <v>113</v>
      </c>
      <c r="D3538">
        <v>16</v>
      </c>
      <c r="E3538">
        <v>66</v>
      </c>
      <c r="F3538">
        <v>33</v>
      </c>
      <c r="G3538">
        <v>1056</v>
      </c>
      <c r="H3538" s="4">
        <v>528</v>
      </c>
      <c r="I3538" s="4">
        <v>528</v>
      </c>
      <c r="J3538" t="s">
        <v>506</v>
      </c>
      <c r="K3538" t="s">
        <v>33</v>
      </c>
      <c r="L3538" s="4">
        <v>13.917704159139552</v>
      </c>
      <c r="M3538" s="1" t="s">
        <v>54</v>
      </c>
      <c r="N3538" s="11">
        <f t="shared" si="55"/>
        <v>10</v>
      </c>
    </row>
    <row r="3539" spans="1:14" ht="16" x14ac:dyDescent="0.2">
      <c r="A3539" s="3">
        <v>44327</v>
      </c>
      <c r="B3539" s="1" t="s">
        <v>3666</v>
      </c>
      <c r="C3539" t="s">
        <v>547</v>
      </c>
      <c r="D3539">
        <v>1</v>
      </c>
      <c r="E3539">
        <v>300</v>
      </c>
      <c r="F3539">
        <v>75</v>
      </c>
      <c r="G3539">
        <v>300</v>
      </c>
      <c r="H3539" s="4">
        <v>75</v>
      </c>
      <c r="I3539" s="4">
        <v>225</v>
      </c>
      <c r="J3539" t="s">
        <v>387</v>
      </c>
      <c r="K3539" t="s">
        <v>86</v>
      </c>
      <c r="L3539" s="4">
        <v>15.60430546146185</v>
      </c>
      <c r="M3539" s="1" t="s">
        <v>38</v>
      </c>
      <c r="N3539" s="11">
        <f t="shared" si="55"/>
        <v>5</v>
      </c>
    </row>
    <row r="3540" spans="1:14" ht="16" x14ac:dyDescent="0.2">
      <c r="A3540" s="3">
        <v>44328</v>
      </c>
      <c r="B3540" s="1" t="s">
        <v>3667</v>
      </c>
      <c r="C3540" t="s">
        <v>212</v>
      </c>
      <c r="D3540">
        <v>18</v>
      </c>
      <c r="E3540">
        <v>300</v>
      </c>
      <c r="F3540">
        <v>75</v>
      </c>
      <c r="G3540">
        <v>5400</v>
      </c>
      <c r="H3540" s="4">
        <v>1350</v>
      </c>
      <c r="I3540" s="4">
        <v>4050</v>
      </c>
      <c r="J3540" t="s">
        <v>469</v>
      </c>
      <c r="K3540" t="s">
        <v>64</v>
      </c>
      <c r="L3540" s="4">
        <v>7.9963422143733238</v>
      </c>
      <c r="M3540" s="1" t="s">
        <v>34</v>
      </c>
      <c r="N3540" s="11">
        <f t="shared" si="55"/>
        <v>1</v>
      </c>
    </row>
    <row r="3541" spans="1:14" ht="16" x14ac:dyDescent="0.2">
      <c r="A3541" s="3">
        <v>44329</v>
      </c>
      <c r="B3541" s="1" t="s">
        <v>3668</v>
      </c>
      <c r="C3541" t="s">
        <v>425</v>
      </c>
      <c r="D3541">
        <v>14</v>
      </c>
      <c r="E3541">
        <v>352</v>
      </c>
      <c r="F3541">
        <v>88</v>
      </c>
      <c r="G3541">
        <v>4928</v>
      </c>
      <c r="H3541" s="4">
        <v>1232</v>
      </c>
      <c r="I3541" s="4">
        <v>3696</v>
      </c>
      <c r="J3541" t="s">
        <v>392</v>
      </c>
      <c r="K3541" t="s">
        <v>49</v>
      </c>
      <c r="L3541" s="4">
        <v>12.456740895640767</v>
      </c>
      <c r="M3541" s="1" t="s">
        <v>38</v>
      </c>
      <c r="N3541" s="11">
        <f t="shared" si="55"/>
        <v>5</v>
      </c>
    </row>
    <row r="3542" spans="1:14" ht="16" x14ac:dyDescent="0.2">
      <c r="A3542" s="3">
        <v>44330</v>
      </c>
      <c r="B3542" s="1" t="s">
        <v>3669</v>
      </c>
      <c r="C3542" t="s">
        <v>139</v>
      </c>
      <c r="D3542">
        <v>15</v>
      </c>
      <c r="E3542">
        <v>320</v>
      </c>
      <c r="F3542">
        <v>80</v>
      </c>
      <c r="G3542">
        <v>4800</v>
      </c>
      <c r="H3542" s="4">
        <v>1200</v>
      </c>
      <c r="I3542" s="4">
        <v>3600</v>
      </c>
      <c r="J3542" t="s">
        <v>131</v>
      </c>
      <c r="K3542" t="s">
        <v>33</v>
      </c>
      <c r="L3542" s="4">
        <v>12.844063202784817</v>
      </c>
      <c r="M3542" s="1" t="s">
        <v>38</v>
      </c>
      <c r="N3542" s="11">
        <f t="shared" si="55"/>
        <v>5</v>
      </c>
    </row>
    <row r="3543" spans="1:14" ht="16" x14ac:dyDescent="0.2">
      <c r="A3543" s="3">
        <v>44331</v>
      </c>
      <c r="B3543" s="1" t="s">
        <v>3670</v>
      </c>
      <c r="C3543" t="s">
        <v>130</v>
      </c>
      <c r="D3543">
        <v>2</v>
      </c>
      <c r="E3543">
        <v>144</v>
      </c>
      <c r="F3543">
        <v>48</v>
      </c>
      <c r="G3543">
        <v>288</v>
      </c>
      <c r="H3543" s="4">
        <v>96</v>
      </c>
      <c r="I3543" s="4">
        <v>192</v>
      </c>
      <c r="J3543" t="s">
        <v>183</v>
      </c>
      <c r="K3543" t="s">
        <v>58</v>
      </c>
      <c r="L3543" s="4">
        <v>11.939773463335372</v>
      </c>
      <c r="M3543" s="1" t="s">
        <v>38</v>
      </c>
      <c r="N3543" s="11">
        <f t="shared" si="55"/>
        <v>5</v>
      </c>
    </row>
    <row r="3544" spans="1:14" ht="16" x14ac:dyDescent="0.2">
      <c r="A3544" s="3">
        <v>44332</v>
      </c>
      <c r="B3544" s="1" t="s">
        <v>481</v>
      </c>
      <c r="C3544" t="s">
        <v>340</v>
      </c>
      <c r="D3544">
        <v>1</v>
      </c>
      <c r="E3544">
        <v>180</v>
      </c>
      <c r="F3544">
        <v>45</v>
      </c>
      <c r="G3544">
        <v>180</v>
      </c>
      <c r="H3544" s="4">
        <v>45</v>
      </c>
      <c r="I3544" s="4">
        <v>135</v>
      </c>
      <c r="J3544" t="s">
        <v>348</v>
      </c>
      <c r="K3544" t="s">
        <v>42</v>
      </c>
      <c r="L3544" s="4">
        <v>11.769293993029555</v>
      </c>
      <c r="M3544" s="1" t="s">
        <v>38</v>
      </c>
      <c r="N3544" s="11">
        <f t="shared" si="55"/>
        <v>5</v>
      </c>
    </row>
    <row r="3545" spans="1:14" ht="16" x14ac:dyDescent="0.2">
      <c r="A3545" s="3">
        <v>44333</v>
      </c>
      <c r="B3545" s="1" t="s">
        <v>3671</v>
      </c>
      <c r="C3545" t="s">
        <v>84</v>
      </c>
      <c r="D3545">
        <v>3</v>
      </c>
      <c r="E3545">
        <v>126</v>
      </c>
      <c r="F3545">
        <v>42</v>
      </c>
      <c r="G3545">
        <v>378</v>
      </c>
      <c r="H3545" s="4">
        <v>126</v>
      </c>
      <c r="I3545" s="4">
        <v>252</v>
      </c>
      <c r="J3545" t="s">
        <v>681</v>
      </c>
      <c r="K3545" t="s">
        <v>86</v>
      </c>
      <c r="L3545" s="4">
        <v>8.1628930629234038</v>
      </c>
      <c r="M3545" s="1" t="s">
        <v>38</v>
      </c>
      <c r="N3545" s="11">
        <f t="shared" si="55"/>
        <v>5</v>
      </c>
    </row>
    <row r="3546" spans="1:14" ht="16" x14ac:dyDescent="0.2">
      <c r="A3546" s="3">
        <v>44334</v>
      </c>
      <c r="B3546" s="1" t="s">
        <v>3672</v>
      </c>
      <c r="C3546" t="s">
        <v>75</v>
      </c>
      <c r="D3546">
        <v>1</v>
      </c>
      <c r="E3546">
        <v>76</v>
      </c>
      <c r="F3546">
        <v>19</v>
      </c>
      <c r="G3546">
        <v>76</v>
      </c>
      <c r="H3546" s="4">
        <v>19</v>
      </c>
      <c r="I3546" s="4">
        <v>57</v>
      </c>
      <c r="J3546" t="s">
        <v>236</v>
      </c>
      <c r="K3546" t="s">
        <v>53</v>
      </c>
      <c r="L3546" s="4">
        <v>9.3014286057233697</v>
      </c>
      <c r="M3546" s="1" t="s">
        <v>38</v>
      </c>
      <c r="N3546" s="11">
        <f t="shared" si="55"/>
        <v>5</v>
      </c>
    </row>
    <row r="3547" spans="1:14" ht="16" x14ac:dyDescent="0.2">
      <c r="A3547" s="3">
        <v>44335</v>
      </c>
      <c r="B3547" s="1" t="s">
        <v>3673</v>
      </c>
      <c r="C3547" t="s">
        <v>145</v>
      </c>
      <c r="D3547">
        <v>7</v>
      </c>
      <c r="E3547">
        <v>207</v>
      </c>
      <c r="F3547">
        <v>69</v>
      </c>
      <c r="G3547">
        <v>1449</v>
      </c>
      <c r="H3547" s="4">
        <v>483</v>
      </c>
      <c r="I3547" s="4">
        <v>966</v>
      </c>
      <c r="J3547" t="s">
        <v>752</v>
      </c>
      <c r="K3547" t="s">
        <v>49</v>
      </c>
      <c r="L3547" s="4">
        <v>11.862005526237752</v>
      </c>
      <c r="M3547" s="1" t="s">
        <v>54</v>
      </c>
      <c r="N3547" s="11">
        <f t="shared" si="55"/>
        <v>10</v>
      </c>
    </row>
    <row r="3548" spans="1:14" ht="16" x14ac:dyDescent="0.2">
      <c r="A3548" s="3">
        <v>44336</v>
      </c>
      <c r="B3548" s="1" t="s">
        <v>3674</v>
      </c>
      <c r="C3548" t="s">
        <v>196</v>
      </c>
      <c r="D3548">
        <v>16</v>
      </c>
      <c r="E3548">
        <v>192</v>
      </c>
      <c r="F3548">
        <v>96</v>
      </c>
      <c r="G3548">
        <v>3072</v>
      </c>
      <c r="H3548" s="4">
        <v>1536</v>
      </c>
      <c r="I3548" s="4">
        <v>1536</v>
      </c>
      <c r="J3548" t="s">
        <v>205</v>
      </c>
      <c r="K3548" t="s">
        <v>33</v>
      </c>
      <c r="L3548" s="4">
        <v>12.007834550770397</v>
      </c>
      <c r="M3548" s="1" t="s">
        <v>38</v>
      </c>
      <c r="N3548" s="11">
        <f t="shared" si="55"/>
        <v>5</v>
      </c>
    </row>
    <row r="3549" spans="1:14" ht="16" x14ac:dyDescent="0.2">
      <c r="A3549" s="3">
        <v>44337</v>
      </c>
      <c r="B3549" s="1" t="s">
        <v>3675</v>
      </c>
      <c r="C3549" t="s">
        <v>583</v>
      </c>
      <c r="D3549">
        <v>11</v>
      </c>
      <c r="E3549">
        <v>57</v>
      </c>
      <c r="F3549">
        <v>19</v>
      </c>
      <c r="G3549">
        <v>627</v>
      </c>
      <c r="H3549" s="4">
        <v>209</v>
      </c>
      <c r="I3549" s="4">
        <v>418</v>
      </c>
      <c r="J3549" t="s">
        <v>57</v>
      </c>
      <c r="K3549" t="s">
        <v>58</v>
      </c>
      <c r="L3549" s="4">
        <v>11.749993886708426</v>
      </c>
      <c r="M3549" s="1" t="s">
        <v>38</v>
      </c>
      <c r="N3549" s="11">
        <f t="shared" si="55"/>
        <v>5</v>
      </c>
    </row>
    <row r="3550" spans="1:14" ht="16" x14ac:dyDescent="0.2">
      <c r="A3550" s="3">
        <v>44338</v>
      </c>
      <c r="B3550" s="1" t="s">
        <v>3676</v>
      </c>
      <c r="C3550" t="s">
        <v>84</v>
      </c>
      <c r="D3550">
        <v>12</v>
      </c>
      <c r="E3550">
        <v>126</v>
      </c>
      <c r="F3550">
        <v>42</v>
      </c>
      <c r="G3550">
        <v>1512</v>
      </c>
      <c r="H3550" s="4">
        <v>504</v>
      </c>
      <c r="I3550" s="4">
        <v>1008</v>
      </c>
      <c r="J3550" t="s">
        <v>633</v>
      </c>
      <c r="K3550" t="s">
        <v>86</v>
      </c>
      <c r="L3550" s="4">
        <v>12.954911944548844</v>
      </c>
      <c r="M3550" s="1" t="s">
        <v>54</v>
      </c>
      <c r="N3550" s="11">
        <f t="shared" si="55"/>
        <v>10</v>
      </c>
    </row>
    <row r="3551" spans="1:14" ht="16" x14ac:dyDescent="0.2">
      <c r="A3551" s="3">
        <v>44339</v>
      </c>
      <c r="B3551" s="1" t="s">
        <v>3677</v>
      </c>
      <c r="C3551" t="s">
        <v>157</v>
      </c>
      <c r="D3551">
        <v>11</v>
      </c>
      <c r="E3551">
        <v>50</v>
      </c>
      <c r="F3551">
        <v>25</v>
      </c>
      <c r="G3551">
        <v>550</v>
      </c>
      <c r="H3551" s="4">
        <v>275</v>
      </c>
      <c r="I3551" s="4">
        <v>275</v>
      </c>
      <c r="J3551" t="s">
        <v>143</v>
      </c>
      <c r="K3551" t="s">
        <v>64</v>
      </c>
      <c r="L3551" s="4">
        <v>11.406233913305266</v>
      </c>
      <c r="M3551" s="1" t="s">
        <v>38</v>
      </c>
      <c r="N3551" s="11">
        <f t="shared" si="55"/>
        <v>5</v>
      </c>
    </row>
    <row r="3552" spans="1:14" ht="16" x14ac:dyDescent="0.2">
      <c r="A3552" s="3">
        <v>44340</v>
      </c>
      <c r="B3552" s="1" t="s">
        <v>3678</v>
      </c>
      <c r="C3552" t="s">
        <v>105</v>
      </c>
      <c r="D3552">
        <v>11</v>
      </c>
      <c r="E3552">
        <v>201</v>
      </c>
      <c r="F3552">
        <v>67</v>
      </c>
      <c r="G3552">
        <v>2211</v>
      </c>
      <c r="H3552" s="4">
        <v>737</v>
      </c>
      <c r="I3552" s="4">
        <v>1474</v>
      </c>
      <c r="J3552" t="s">
        <v>96</v>
      </c>
      <c r="K3552" t="s">
        <v>64</v>
      </c>
      <c r="L3552" s="4">
        <v>12.072414596936037</v>
      </c>
      <c r="M3552" s="1" t="s">
        <v>38</v>
      </c>
      <c r="N3552" s="11">
        <f t="shared" si="55"/>
        <v>5</v>
      </c>
    </row>
    <row r="3553" spans="1:14" ht="16" x14ac:dyDescent="0.2">
      <c r="A3553" s="3">
        <v>44341</v>
      </c>
      <c r="B3553" s="1" t="s">
        <v>3679</v>
      </c>
      <c r="C3553" t="s">
        <v>36</v>
      </c>
      <c r="D3553">
        <v>7</v>
      </c>
      <c r="E3553">
        <v>102</v>
      </c>
      <c r="F3553">
        <v>51</v>
      </c>
      <c r="G3553">
        <v>714</v>
      </c>
      <c r="H3553" s="4">
        <v>357</v>
      </c>
      <c r="I3553" s="4">
        <v>357</v>
      </c>
      <c r="J3553" t="s">
        <v>295</v>
      </c>
      <c r="K3553" t="s">
        <v>42</v>
      </c>
      <c r="L3553" s="4">
        <v>14.906846445071711</v>
      </c>
      <c r="M3553" s="1" t="s">
        <v>38</v>
      </c>
      <c r="N3553" s="11">
        <f t="shared" si="55"/>
        <v>5</v>
      </c>
    </row>
    <row r="3554" spans="1:14" ht="16" x14ac:dyDescent="0.2">
      <c r="A3554" s="3">
        <v>44342</v>
      </c>
      <c r="B3554" s="1" t="s">
        <v>3680</v>
      </c>
      <c r="C3554" t="s">
        <v>142</v>
      </c>
      <c r="D3554">
        <v>11</v>
      </c>
      <c r="E3554">
        <v>210</v>
      </c>
      <c r="F3554">
        <v>70</v>
      </c>
      <c r="G3554">
        <v>2310</v>
      </c>
      <c r="H3554" s="4">
        <v>770</v>
      </c>
      <c r="I3554" s="4">
        <v>1540</v>
      </c>
      <c r="J3554" t="s">
        <v>882</v>
      </c>
      <c r="K3554" t="s">
        <v>64</v>
      </c>
      <c r="L3554" s="4">
        <v>12.701325659159139</v>
      </c>
      <c r="M3554" s="1" t="s">
        <v>38</v>
      </c>
      <c r="N3554" s="11">
        <f t="shared" si="55"/>
        <v>5</v>
      </c>
    </row>
    <row r="3555" spans="1:14" ht="16" x14ac:dyDescent="0.2">
      <c r="A3555" s="3">
        <v>44343</v>
      </c>
      <c r="B3555" s="1" t="s">
        <v>3681</v>
      </c>
      <c r="C3555" t="s">
        <v>145</v>
      </c>
      <c r="D3555">
        <v>4</v>
      </c>
      <c r="E3555">
        <v>207</v>
      </c>
      <c r="F3555">
        <v>69</v>
      </c>
      <c r="G3555">
        <v>828</v>
      </c>
      <c r="H3555" s="4">
        <v>276</v>
      </c>
      <c r="I3555" s="4">
        <v>552</v>
      </c>
      <c r="J3555" t="s">
        <v>811</v>
      </c>
      <c r="K3555" t="s">
        <v>58</v>
      </c>
      <c r="L3555" s="4">
        <v>14.308257477047373</v>
      </c>
      <c r="M3555" s="1" t="s">
        <v>38</v>
      </c>
      <c r="N3555" s="11">
        <f t="shared" si="55"/>
        <v>5</v>
      </c>
    </row>
    <row r="3556" spans="1:14" ht="16" x14ac:dyDescent="0.2">
      <c r="A3556" s="3">
        <v>44344</v>
      </c>
      <c r="B3556" s="1" t="s">
        <v>2140</v>
      </c>
      <c r="C3556" t="s">
        <v>218</v>
      </c>
      <c r="D3556">
        <v>9</v>
      </c>
      <c r="E3556">
        <v>264</v>
      </c>
      <c r="F3556">
        <v>88</v>
      </c>
      <c r="G3556">
        <v>2376</v>
      </c>
      <c r="H3556" s="4">
        <v>792</v>
      </c>
      <c r="I3556" s="4">
        <v>1584</v>
      </c>
      <c r="J3556" t="s">
        <v>382</v>
      </c>
      <c r="K3556" t="s">
        <v>49</v>
      </c>
      <c r="L3556" s="4">
        <v>12.299779975023837</v>
      </c>
      <c r="M3556" s="1" t="s">
        <v>54</v>
      </c>
      <c r="N3556" s="11">
        <f t="shared" si="55"/>
        <v>10</v>
      </c>
    </row>
    <row r="3557" spans="1:14" ht="16" x14ac:dyDescent="0.2">
      <c r="A3557" s="3">
        <v>44345</v>
      </c>
      <c r="B3557" s="1" t="s">
        <v>3682</v>
      </c>
      <c r="C3557" t="s">
        <v>218</v>
      </c>
      <c r="D3557">
        <v>14</v>
      </c>
      <c r="E3557">
        <v>264</v>
      </c>
      <c r="F3557">
        <v>88</v>
      </c>
      <c r="G3557">
        <v>3696</v>
      </c>
      <c r="H3557" s="4">
        <v>1232</v>
      </c>
      <c r="I3557" s="4">
        <v>2464</v>
      </c>
      <c r="J3557" t="s">
        <v>70</v>
      </c>
      <c r="K3557" t="s">
        <v>49</v>
      </c>
      <c r="L3557" s="4">
        <v>12.957303170959879</v>
      </c>
      <c r="M3557" s="1" t="s">
        <v>38</v>
      </c>
      <c r="N3557" s="11">
        <f t="shared" si="55"/>
        <v>5</v>
      </c>
    </row>
    <row r="3558" spans="1:14" ht="16" x14ac:dyDescent="0.2">
      <c r="A3558" s="3">
        <v>44346</v>
      </c>
      <c r="B3558" s="1" t="s">
        <v>3683</v>
      </c>
      <c r="C3558" t="s">
        <v>175</v>
      </c>
      <c r="D3558">
        <v>4</v>
      </c>
      <c r="E3558">
        <v>38</v>
      </c>
      <c r="F3558">
        <v>19</v>
      </c>
      <c r="G3558">
        <v>152</v>
      </c>
      <c r="H3558" s="4">
        <v>76</v>
      </c>
      <c r="I3558" s="4">
        <v>76</v>
      </c>
      <c r="J3558" t="s">
        <v>444</v>
      </c>
      <c r="K3558" t="s">
        <v>42</v>
      </c>
      <c r="L3558" s="4">
        <v>15.861056998489449</v>
      </c>
      <c r="M3558" s="1" t="s">
        <v>38</v>
      </c>
      <c r="N3558" s="11">
        <f t="shared" si="55"/>
        <v>5</v>
      </c>
    </row>
    <row r="3559" spans="1:14" ht="16" x14ac:dyDescent="0.2">
      <c r="A3559" s="3">
        <v>44347</v>
      </c>
      <c r="B3559" s="1" t="s">
        <v>3684</v>
      </c>
      <c r="C3559" t="s">
        <v>93</v>
      </c>
      <c r="D3559">
        <v>16</v>
      </c>
      <c r="E3559">
        <v>204</v>
      </c>
      <c r="F3559">
        <v>51</v>
      </c>
      <c r="G3559">
        <v>3264</v>
      </c>
      <c r="H3559" s="4">
        <v>816</v>
      </c>
      <c r="I3559" s="4">
        <v>2448</v>
      </c>
      <c r="J3559" t="s">
        <v>564</v>
      </c>
      <c r="K3559" t="s">
        <v>53</v>
      </c>
      <c r="L3559" s="4">
        <v>11.563724686003232</v>
      </c>
      <c r="M3559" s="1" t="s">
        <v>38</v>
      </c>
      <c r="N3559" s="11">
        <f t="shared" si="55"/>
        <v>5</v>
      </c>
    </row>
    <row r="3560" spans="1:14" ht="16" x14ac:dyDescent="0.2">
      <c r="A3560" s="3">
        <v>44348</v>
      </c>
      <c r="B3560" s="1" t="s">
        <v>3685</v>
      </c>
      <c r="C3560" t="s">
        <v>286</v>
      </c>
      <c r="D3560">
        <v>20</v>
      </c>
      <c r="E3560">
        <v>34</v>
      </c>
      <c r="F3560">
        <v>17</v>
      </c>
      <c r="G3560">
        <v>680</v>
      </c>
      <c r="H3560" s="4">
        <v>340</v>
      </c>
      <c r="I3560" s="4">
        <v>340</v>
      </c>
      <c r="J3560" t="s">
        <v>574</v>
      </c>
      <c r="K3560" t="s">
        <v>58</v>
      </c>
      <c r="L3560" s="4">
        <v>13.150536103258979</v>
      </c>
      <c r="M3560" s="1" t="s">
        <v>38</v>
      </c>
      <c r="N3560" s="11">
        <f t="shared" si="55"/>
        <v>5</v>
      </c>
    </row>
    <row r="3561" spans="1:14" ht="16" x14ac:dyDescent="0.2">
      <c r="A3561" s="3">
        <v>44349</v>
      </c>
      <c r="B3561" s="1" t="s">
        <v>3686</v>
      </c>
      <c r="C3561" t="s">
        <v>410</v>
      </c>
      <c r="D3561">
        <v>14</v>
      </c>
      <c r="E3561">
        <v>84</v>
      </c>
      <c r="F3561">
        <v>21</v>
      </c>
      <c r="G3561">
        <v>1176</v>
      </c>
      <c r="H3561" s="4">
        <v>294</v>
      </c>
      <c r="I3561" s="4">
        <v>882</v>
      </c>
      <c r="J3561" t="s">
        <v>567</v>
      </c>
      <c r="K3561" t="s">
        <v>49</v>
      </c>
      <c r="L3561" s="4">
        <v>12.147202500273634</v>
      </c>
      <c r="M3561" s="1" t="s">
        <v>38</v>
      </c>
      <c r="N3561" s="11">
        <f t="shared" si="55"/>
        <v>5</v>
      </c>
    </row>
    <row r="3562" spans="1:14" ht="16" x14ac:dyDescent="0.2">
      <c r="A3562" s="3">
        <v>44350</v>
      </c>
      <c r="B3562" s="1" t="s">
        <v>3687</v>
      </c>
      <c r="C3562" t="s">
        <v>259</v>
      </c>
      <c r="D3562">
        <v>17</v>
      </c>
      <c r="E3562">
        <v>270</v>
      </c>
      <c r="F3562">
        <v>90</v>
      </c>
      <c r="G3562">
        <v>4590</v>
      </c>
      <c r="H3562" s="4">
        <v>1530</v>
      </c>
      <c r="I3562" s="4">
        <v>3060</v>
      </c>
      <c r="J3562" t="s">
        <v>423</v>
      </c>
      <c r="K3562" t="s">
        <v>86</v>
      </c>
      <c r="L3562" s="4">
        <v>10.813269600021069</v>
      </c>
      <c r="M3562" s="1" t="s">
        <v>38</v>
      </c>
      <c r="N3562" s="11">
        <f t="shared" si="55"/>
        <v>5</v>
      </c>
    </row>
    <row r="3563" spans="1:14" ht="16" x14ac:dyDescent="0.2">
      <c r="A3563" s="3">
        <v>44351</v>
      </c>
      <c r="B3563" s="1" t="s">
        <v>946</v>
      </c>
      <c r="C3563" t="s">
        <v>84</v>
      </c>
      <c r="D3563">
        <v>1</v>
      </c>
      <c r="E3563">
        <v>126</v>
      </c>
      <c r="F3563">
        <v>42</v>
      </c>
      <c r="G3563">
        <v>126</v>
      </c>
      <c r="H3563" s="4">
        <v>42</v>
      </c>
      <c r="I3563" s="4">
        <v>84</v>
      </c>
      <c r="J3563" t="s">
        <v>143</v>
      </c>
      <c r="K3563" t="s">
        <v>64</v>
      </c>
      <c r="L3563" s="4">
        <v>11.406233913305266</v>
      </c>
      <c r="M3563" s="1" t="s">
        <v>34</v>
      </c>
      <c r="N3563" s="11">
        <f t="shared" si="55"/>
        <v>1</v>
      </c>
    </row>
    <row r="3564" spans="1:14" ht="16" x14ac:dyDescent="0.2">
      <c r="A3564" s="3">
        <v>44352</v>
      </c>
      <c r="B3564" s="1" t="s">
        <v>2994</v>
      </c>
      <c r="C3564" t="s">
        <v>779</v>
      </c>
      <c r="D3564">
        <v>5</v>
      </c>
      <c r="E3564">
        <v>120</v>
      </c>
      <c r="F3564">
        <v>30</v>
      </c>
      <c r="G3564">
        <v>600</v>
      </c>
      <c r="H3564" s="4">
        <v>150</v>
      </c>
      <c r="I3564" s="4">
        <v>450</v>
      </c>
      <c r="J3564" t="s">
        <v>307</v>
      </c>
      <c r="K3564" t="s">
        <v>53</v>
      </c>
      <c r="L3564" s="4">
        <v>7.0114620475168028</v>
      </c>
      <c r="M3564" s="1" t="s">
        <v>34</v>
      </c>
      <c r="N3564" s="11">
        <f t="shared" si="55"/>
        <v>1</v>
      </c>
    </row>
    <row r="3565" spans="1:14" ht="16" x14ac:dyDescent="0.2">
      <c r="A3565" s="3">
        <v>44353</v>
      </c>
      <c r="B3565" s="1" t="s">
        <v>3688</v>
      </c>
      <c r="C3565" t="s">
        <v>297</v>
      </c>
      <c r="D3565">
        <v>19</v>
      </c>
      <c r="E3565">
        <v>108</v>
      </c>
      <c r="F3565">
        <v>36</v>
      </c>
      <c r="G3565">
        <v>2052</v>
      </c>
      <c r="H3565" s="4">
        <v>684</v>
      </c>
      <c r="I3565" s="4">
        <v>1368</v>
      </c>
      <c r="J3565" t="s">
        <v>587</v>
      </c>
      <c r="K3565" t="s">
        <v>49</v>
      </c>
      <c r="L3565" s="4">
        <v>14.760829371220243</v>
      </c>
      <c r="M3565" s="1" t="s">
        <v>38</v>
      </c>
      <c r="N3565" s="11">
        <f t="shared" si="55"/>
        <v>5</v>
      </c>
    </row>
    <row r="3566" spans="1:14" ht="16" x14ac:dyDescent="0.2">
      <c r="A3566" s="3">
        <v>44354</v>
      </c>
      <c r="B3566" s="1" t="s">
        <v>3689</v>
      </c>
      <c r="C3566" t="s">
        <v>394</v>
      </c>
      <c r="D3566">
        <v>1</v>
      </c>
      <c r="E3566">
        <v>58</v>
      </c>
      <c r="F3566">
        <v>29</v>
      </c>
      <c r="G3566">
        <v>58</v>
      </c>
      <c r="H3566" s="4">
        <v>29</v>
      </c>
      <c r="I3566" s="4">
        <v>29</v>
      </c>
      <c r="J3566" t="s">
        <v>1671</v>
      </c>
      <c r="K3566" t="s">
        <v>86</v>
      </c>
      <c r="L3566" s="4">
        <v>15.239568994601312</v>
      </c>
      <c r="M3566" s="1" t="s">
        <v>54</v>
      </c>
      <c r="N3566" s="11">
        <f t="shared" si="55"/>
        <v>10</v>
      </c>
    </row>
    <row r="3567" spans="1:14" ht="16" x14ac:dyDescent="0.2">
      <c r="A3567" s="3">
        <v>44355</v>
      </c>
      <c r="B3567" s="1" t="s">
        <v>3690</v>
      </c>
      <c r="C3567" t="s">
        <v>431</v>
      </c>
      <c r="D3567">
        <v>12</v>
      </c>
      <c r="E3567">
        <v>356</v>
      </c>
      <c r="F3567">
        <v>89</v>
      </c>
      <c r="G3567">
        <v>4272</v>
      </c>
      <c r="H3567" s="4">
        <v>1068</v>
      </c>
      <c r="I3567" s="4">
        <v>3204</v>
      </c>
      <c r="J3567" t="s">
        <v>716</v>
      </c>
      <c r="K3567" t="s">
        <v>33</v>
      </c>
      <c r="L3567" s="4">
        <v>10.411813357023924</v>
      </c>
      <c r="M3567" s="1" t="s">
        <v>54</v>
      </c>
      <c r="N3567" s="11">
        <f t="shared" si="55"/>
        <v>10</v>
      </c>
    </row>
    <row r="3568" spans="1:14" ht="16" x14ac:dyDescent="0.2">
      <c r="A3568" s="3">
        <v>44356</v>
      </c>
      <c r="B3568" s="1" t="s">
        <v>3691</v>
      </c>
      <c r="C3568" t="s">
        <v>523</v>
      </c>
      <c r="D3568">
        <v>17</v>
      </c>
      <c r="E3568">
        <v>92</v>
      </c>
      <c r="F3568">
        <v>46</v>
      </c>
      <c r="G3568">
        <v>1564</v>
      </c>
      <c r="H3568" s="4">
        <v>782</v>
      </c>
      <c r="I3568" s="4">
        <v>782</v>
      </c>
      <c r="J3568" t="s">
        <v>310</v>
      </c>
      <c r="K3568" t="s">
        <v>58</v>
      </c>
      <c r="L3568" s="4">
        <v>11.03324198943719</v>
      </c>
      <c r="M3568" s="1" t="s">
        <v>34</v>
      </c>
      <c r="N3568" s="11">
        <f t="shared" si="55"/>
        <v>1</v>
      </c>
    </row>
    <row r="3569" spans="1:14" ht="16" x14ac:dyDescent="0.2">
      <c r="A3569" s="3">
        <v>44357</v>
      </c>
      <c r="B3569" s="1" t="s">
        <v>2731</v>
      </c>
      <c r="C3569" t="s">
        <v>145</v>
      </c>
      <c r="D3569">
        <v>19</v>
      </c>
      <c r="E3569">
        <v>207</v>
      </c>
      <c r="F3569">
        <v>69</v>
      </c>
      <c r="G3569">
        <v>3933</v>
      </c>
      <c r="H3569" s="4">
        <v>1311</v>
      </c>
      <c r="I3569" s="4">
        <v>2622</v>
      </c>
      <c r="J3569" t="s">
        <v>444</v>
      </c>
      <c r="K3569" t="s">
        <v>42</v>
      </c>
      <c r="L3569" s="4">
        <v>15.861056998489449</v>
      </c>
      <c r="M3569" s="1" t="s">
        <v>38</v>
      </c>
      <c r="N3569" s="11">
        <f t="shared" si="55"/>
        <v>5</v>
      </c>
    </row>
    <row r="3570" spans="1:14" ht="16" x14ac:dyDescent="0.2">
      <c r="A3570" s="3">
        <v>44358</v>
      </c>
      <c r="B3570" s="1" t="s">
        <v>3692</v>
      </c>
      <c r="C3570" t="s">
        <v>215</v>
      </c>
      <c r="D3570">
        <v>2</v>
      </c>
      <c r="E3570">
        <v>176</v>
      </c>
      <c r="F3570">
        <v>88</v>
      </c>
      <c r="G3570">
        <v>352</v>
      </c>
      <c r="H3570" s="4">
        <v>176</v>
      </c>
      <c r="I3570" s="4">
        <v>176</v>
      </c>
      <c r="J3570" t="s">
        <v>528</v>
      </c>
      <c r="K3570" t="s">
        <v>33</v>
      </c>
      <c r="L3570" s="4">
        <v>11.003496633574638</v>
      </c>
      <c r="M3570" s="1" t="s">
        <v>38</v>
      </c>
      <c r="N3570" s="11">
        <f t="shared" si="55"/>
        <v>5</v>
      </c>
    </row>
    <row r="3571" spans="1:14" ht="16" x14ac:dyDescent="0.2">
      <c r="A3571" s="3">
        <v>44359</v>
      </c>
      <c r="B3571" s="1" t="s">
        <v>3693</v>
      </c>
      <c r="C3571" t="s">
        <v>72</v>
      </c>
      <c r="D3571">
        <v>8</v>
      </c>
      <c r="E3571">
        <v>352</v>
      </c>
      <c r="F3571">
        <v>88</v>
      </c>
      <c r="G3571">
        <v>2816</v>
      </c>
      <c r="H3571" s="4">
        <v>704</v>
      </c>
      <c r="I3571" s="4">
        <v>2112</v>
      </c>
      <c r="J3571" t="s">
        <v>1136</v>
      </c>
      <c r="K3571" t="s">
        <v>49</v>
      </c>
      <c r="L3571" s="4">
        <v>14.129095302641241</v>
      </c>
      <c r="M3571" s="1" t="s">
        <v>34</v>
      </c>
      <c r="N3571" s="11">
        <f t="shared" si="55"/>
        <v>1</v>
      </c>
    </row>
    <row r="3572" spans="1:14" ht="16" x14ac:dyDescent="0.2">
      <c r="A3572" s="3">
        <v>44360</v>
      </c>
      <c r="B3572" s="1" t="s">
        <v>3694</v>
      </c>
      <c r="C3572" t="s">
        <v>431</v>
      </c>
      <c r="D3572">
        <v>3</v>
      </c>
      <c r="E3572">
        <v>356</v>
      </c>
      <c r="F3572">
        <v>89</v>
      </c>
      <c r="G3572">
        <v>1068</v>
      </c>
      <c r="H3572" s="4">
        <v>267</v>
      </c>
      <c r="I3572" s="4">
        <v>801</v>
      </c>
      <c r="J3572" t="s">
        <v>713</v>
      </c>
      <c r="K3572" t="s">
        <v>42</v>
      </c>
      <c r="L3572" s="4">
        <v>10.956589836772277</v>
      </c>
      <c r="M3572" s="1" t="s">
        <v>38</v>
      </c>
      <c r="N3572" s="11">
        <f t="shared" si="55"/>
        <v>5</v>
      </c>
    </row>
    <row r="3573" spans="1:14" ht="16" x14ac:dyDescent="0.2">
      <c r="A3573" s="3">
        <v>44361</v>
      </c>
      <c r="B3573" s="1" t="s">
        <v>3695</v>
      </c>
      <c r="C3573" t="s">
        <v>312</v>
      </c>
      <c r="D3573">
        <v>2</v>
      </c>
      <c r="E3573">
        <v>240</v>
      </c>
      <c r="F3573">
        <v>80</v>
      </c>
      <c r="G3573">
        <v>480</v>
      </c>
      <c r="H3573" s="4">
        <v>160</v>
      </c>
      <c r="I3573" s="4">
        <v>320</v>
      </c>
      <c r="J3573" t="s">
        <v>52</v>
      </c>
      <c r="K3573" t="s">
        <v>53</v>
      </c>
      <c r="L3573" s="4">
        <v>12.169266722245851</v>
      </c>
      <c r="M3573" s="1" t="s">
        <v>38</v>
      </c>
      <c r="N3573" s="11">
        <f t="shared" si="55"/>
        <v>5</v>
      </c>
    </row>
    <row r="3574" spans="1:14" ht="16" x14ac:dyDescent="0.2">
      <c r="A3574" s="3">
        <v>44362</v>
      </c>
      <c r="B3574" s="1" t="s">
        <v>3696</v>
      </c>
      <c r="C3574" t="s">
        <v>261</v>
      </c>
      <c r="D3574">
        <v>19</v>
      </c>
      <c r="E3574">
        <v>92</v>
      </c>
      <c r="F3574">
        <v>46</v>
      </c>
      <c r="G3574">
        <v>1748</v>
      </c>
      <c r="H3574" s="4">
        <v>874</v>
      </c>
      <c r="I3574" s="4">
        <v>874</v>
      </c>
      <c r="J3574" t="s">
        <v>41</v>
      </c>
      <c r="K3574" t="s">
        <v>42</v>
      </c>
      <c r="L3574" s="4">
        <v>9.3226775515721787</v>
      </c>
      <c r="M3574" s="1" t="s">
        <v>54</v>
      </c>
      <c r="N3574" s="11">
        <f t="shared" si="55"/>
        <v>10</v>
      </c>
    </row>
    <row r="3575" spans="1:14" ht="16" x14ac:dyDescent="0.2">
      <c r="A3575" s="3">
        <v>44363</v>
      </c>
      <c r="B3575" s="1" t="s">
        <v>3697</v>
      </c>
      <c r="C3575" t="s">
        <v>288</v>
      </c>
      <c r="D3575">
        <v>12</v>
      </c>
      <c r="E3575">
        <v>48</v>
      </c>
      <c r="F3575">
        <v>24</v>
      </c>
      <c r="G3575">
        <v>576</v>
      </c>
      <c r="H3575" s="4">
        <v>288</v>
      </c>
      <c r="I3575" s="4">
        <v>288</v>
      </c>
      <c r="J3575" t="s">
        <v>1343</v>
      </c>
      <c r="K3575" t="s">
        <v>49</v>
      </c>
      <c r="L3575" s="4">
        <v>9.1264071155960682</v>
      </c>
      <c r="M3575" s="1" t="s">
        <v>54</v>
      </c>
      <c r="N3575" s="11">
        <f t="shared" si="55"/>
        <v>10</v>
      </c>
    </row>
    <row r="3576" spans="1:14" ht="16" x14ac:dyDescent="0.2">
      <c r="A3576" s="3">
        <v>44364</v>
      </c>
      <c r="B3576" s="1" t="s">
        <v>3698</v>
      </c>
      <c r="C3576" t="s">
        <v>157</v>
      </c>
      <c r="D3576">
        <v>4</v>
      </c>
      <c r="E3576">
        <v>50</v>
      </c>
      <c r="F3576">
        <v>25</v>
      </c>
      <c r="G3576">
        <v>200</v>
      </c>
      <c r="H3576" s="4">
        <v>100</v>
      </c>
      <c r="I3576" s="4">
        <v>100</v>
      </c>
      <c r="J3576" t="s">
        <v>421</v>
      </c>
      <c r="K3576" t="s">
        <v>53</v>
      </c>
      <c r="L3576" s="4">
        <v>10.96230865592911</v>
      </c>
      <c r="M3576" s="1" t="s">
        <v>38</v>
      </c>
      <c r="N3576" s="11">
        <f t="shared" si="55"/>
        <v>5</v>
      </c>
    </row>
    <row r="3577" spans="1:14" ht="16" x14ac:dyDescent="0.2">
      <c r="A3577" s="3">
        <v>44365</v>
      </c>
      <c r="B3577" s="1" t="s">
        <v>2890</v>
      </c>
      <c r="C3577" t="s">
        <v>356</v>
      </c>
      <c r="D3577">
        <v>2</v>
      </c>
      <c r="E3577">
        <v>356</v>
      </c>
      <c r="F3577">
        <v>89</v>
      </c>
      <c r="G3577">
        <v>712</v>
      </c>
      <c r="H3577" s="4">
        <v>178</v>
      </c>
      <c r="I3577" s="4">
        <v>534</v>
      </c>
      <c r="J3577" t="s">
        <v>1129</v>
      </c>
      <c r="K3577" t="s">
        <v>33</v>
      </c>
      <c r="L3577" s="4">
        <v>10.585251392347548</v>
      </c>
      <c r="M3577" s="1" t="s">
        <v>54</v>
      </c>
      <c r="N3577" s="11">
        <f t="shared" si="55"/>
        <v>10</v>
      </c>
    </row>
    <row r="3578" spans="1:14" ht="16" x14ac:dyDescent="0.2">
      <c r="A3578" s="3">
        <v>44366</v>
      </c>
      <c r="B3578" s="1" t="s">
        <v>3699</v>
      </c>
      <c r="C3578" t="s">
        <v>81</v>
      </c>
      <c r="D3578">
        <v>9</v>
      </c>
      <c r="E3578">
        <v>166</v>
      </c>
      <c r="F3578">
        <v>83</v>
      </c>
      <c r="G3578">
        <v>1494</v>
      </c>
      <c r="H3578" s="4">
        <v>747</v>
      </c>
      <c r="I3578" s="4">
        <v>747</v>
      </c>
      <c r="J3578" t="s">
        <v>341</v>
      </c>
      <c r="K3578" t="s">
        <v>64</v>
      </c>
      <c r="L3578" s="4">
        <v>10.816866337473218</v>
      </c>
      <c r="M3578" s="1" t="s">
        <v>38</v>
      </c>
      <c r="N3578" s="11">
        <f t="shared" si="55"/>
        <v>5</v>
      </c>
    </row>
    <row r="3579" spans="1:14" ht="16" x14ac:dyDescent="0.2">
      <c r="A3579" s="3">
        <v>44367</v>
      </c>
      <c r="B3579" s="1" t="s">
        <v>3700</v>
      </c>
      <c r="C3579" t="s">
        <v>607</v>
      </c>
      <c r="D3579">
        <v>5</v>
      </c>
      <c r="E3579">
        <v>225</v>
      </c>
      <c r="F3579">
        <v>75</v>
      </c>
      <c r="G3579">
        <v>1125</v>
      </c>
      <c r="H3579" s="4">
        <v>375</v>
      </c>
      <c r="I3579" s="4">
        <v>750</v>
      </c>
      <c r="J3579" t="s">
        <v>164</v>
      </c>
      <c r="K3579" t="s">
        <v>86</v>
      </c>
      <c r="L3579" s="4">
        <v>12.452986387489583</v>
      </c>
      <c r="M3579" s="1" t="s">
        <v>38</v>
      </c>
      <c r="N3579" s="11">
        <f t="shared" si="55"/>
        <v>5</v>
      </c>
    </row>
    <row r="3580" spans="1:14" ht="16" x14ac:dyDescent="0.2">
      <c r="A3580" s="3">
        <v>44368</v>
      </c>
      <c r="B3580" s="1" t="s">
        <v>3701</v>
      </c>
      <c r="C3580" t="s">
        <v>212</v>
      </c>
      <c r="D3580">
        <v>11</v>
      </c>
      <c r="E3580">
        <v>300</v>
      </c>
      <c r="F3580">
        <v>75</v>
      </c>
      <c r="G3580">
        <v>3300</v>
      </c>
      <c r="H3580" s="4">
        <v>825</v>
      </c>
      <c r="I3580" s="4">
        <v>2475</v>
      </c>
      <c r="J3580" t="s">
        <v>384</v>
      </c>
      <c r="K3580" t="s">
        <v>33</v>
      </c>
      <c r="L3580" s="4">
        <v>11.687634894637348</v>
      </c>
      <c r="M3580" s="1" t="s">
        <v>54</v>
      </c>
      <c r="N3580" s="11">
        <f t="shared" si="55"/>
        <v>10</v>
      </c>
    </row>
    <row r="3581" spans="1:14" ht="16" x14ac:dyDescent="0.2">
      <c r="A3581" s="3">
        <v>44369</v>
      </c>
      <c r="B3581" s="1" t="s">
        <v>3702</v>
      </c>
      <c r="C3581" t="s">
        <v>196</v>
      </c>
      <c r="D3581">
        <v>12</v>
      </c>
      <c r="E3581">
        <v>192</v>
      </c>
      <c r="F3581">
        <v>96</v>
      </c>
      <c r="G3581">
        <v>2304</v>
      </c>
      <c r="H3581" s="4">
        <v>1152</v>
      </c>
      <c r="I3581" s="4">
        <v>1152</v>
      </c>
      <c r="J3581" t="s">
        <v>363</v>
      </c>
      <c r="K3581" t="s">
        <v>64</v>
      </c>
      <c r="L3581" s="4">
        <v>14.690198582365463</v>
      </c>
      <c r="M3581" s="1" t="s">
        <v>54</v>
      </c>
      <c r="N3581" s="11">
        <f t="shared" si="55"/>
        <v>10</v>
      </c>
    </row>
    <row r="3582" spans="1:14" ht="16" x14ac:dyDescent="0.2">
      <c r="A3582" s="3">
        <v>44370</v>
      </c>
      <c r="B3582" s="1" t="s">
        <v>1367</v>
      </c>
      <c r="C3582" t="s">
        <v>370</v>
      </c>
      <c r="D3582">
        <v>12</v>
      </c>
      <c r="E3582">
        <v>144</v>
      </c>
      <c r="F3582">
        <v>36</v>
      </c>
      <c r="G3582">
        <v>1728</v>
      </c>
      <c r="H3582" s="4">
        <v>432</v>
      </c>
      <c r="I3582" s="4">
        <v>1296</v>
      </c>
      <c r="J3582" t="s">
        <v>528</v>
      </c>
      <c r="K3582" t="s">
        <v>33</v>
      </c>
      <c r="L3582" s="4">
        <v>11.003496633574638</v>
      </c>
      <c r="M3582" s="1" t="s">
        <v>34</v>
      </c>
      <c r="N3582" s="11">
        <f t="shared" si="55"/>
        <v>1</v>
      </c>
    </row>
    <row r="3583" spans="1:14" ht="16" x14ac:dyDescent="0.2">
      <c r="A3583" s="3">
        <v>44371</v>
      </c>
      <c r="B3583" s="1" t="s">
        <v>2698</v>
      </c>
      <c r="C3583" t="s">
        <v>523</v>
      </c>
      <c r="D3583">
        <v>1</v>
      </c>
      <c r="E3583">
        <v>92</v>
      </c>
      <c r="F3583">
        <v>46</v>
      </c>
      <c r="G3583">
        <v>92</v>
      </c>
      <c r="H3583" s="4">
        <v>46</v>
      </c>
      <c r="I3583" s="4">
        <v>46</v>
      </c>
      <c r="J3583" t="s">
        <v>363</v>
      </c>
      <c r="K3583" t="s">
        <v>64</v>
      </c>
      <c r="L3583" s="4">
        <v>14.690198582365463</v>
      </c>
      <c r="M3583" s="1" t="s">
        <v>38</v>
      </c>
      <c r="N3583" s="11">
        <f t="shared" si="55"/>
        <v>5</v>
      </c>
    </row>
    <row r="3584" spans="1:14" ht="16" x14ac:dyDescent="0.2">
      <c r="A3584" s="3">
        <v>44372</v>
      </c>
      <c r="B3584" s="1" t="s">
        <v>3703</v>
      </c>
      <c r="C3584" t="s">
        <v>391</v>
      </c>
      <c r="D3584">
        <v>5</v>
      </c>
      <c r="E3584">
        <v>72</v>
      </c>
      <c r="F3584">
        <v>36</v>
      </c>
      <c r="G3584">
        <v>360</v>
      </c>
      <c r="H3584" s="4">
        <v>180</v>
      </c>
      <c r="I3584" s="4">
        <v>180</v>
      </c>
      <c r="J3584" t="s">
        <v>213</v>
      </c>
      <c r="K3584" t="s">
        <v>58</v>
      </c>
      <c r="L3584" s="4">
        <v>10.980884286450312</v>
      </c>
      <c r="M3584" s="1" t="s">
        <v>38</v>
      </c>
      <c r="N3584" s="11">
        <f t="shared" si="55"/>
        <v>5</v>
      </c>
    </row>
    <row r="3585" spans="1:14" ht="16" x14ac:dyDescent="0.2">
      <c r="A3585" s="3">
        <v>44373</v>
      </c>
      <c r="B3585" s="1" t="s">
        <v>3704</v>
      </c>
      <c r="C3585" t="s">
        <v>163</v>
      </c>
      <c r="D3585">
        <v>11</v>
      </c>
      <c r="E3585">
        <v>108</v>
      </c>
      <c r="F3585">
        <v>36</v>
      </c>
      <c r="G3585">
        <v>1188</v>
      </c>
      <c r="H3585" s="4">
        <v>396</v>
      </c>
      <c r="I3585" s="4">
        <v>792</v>
      </c>
      <c r="J3585" t="s">
        <v>406</v>
      </c>
      <c r="K3585" t="s">
        <v>58</v>
      </c>
      <c r="L3585" s="4">
        <v>11.082295381980092</v>
      </c>
      <c r="M3585" s="1" t="s">
        <v>38</v>
      </c>
      <c r="N3585" s="11">
        <f t="shared" si="55"/>
        <v>5</v>
      </c>
    </row>
    <row r="3586" spans="1:14" ht="16" x14ac:dyDescent="0.2">
      <c r="A3586" s="3">
        <v>44374</v>
      </c>
      <c r="B3586" s="1" t="s">
        <v>3705</v>
      </c>
      <c r="C3586" t="s">
        <v>145</v>
      </c>
      <c r="D3586">
        <v>13</v>
      </c>
      <c r="E3586">
        <v>207</v>
      </c>
      <c r="F3586">
        <v>69</v>
      </c>
      <c r="G3586">
        <v>2691</v>
      </c>
      <c r="H3586" s="4">
        <v>897</v>
      </c>
      <c r="I3586" s="4">
        <v>1794</v>
      </c>
      <c r="J3586" t="s">
        <v>1107</v>
      </c>
      <c r="K3586" t="s">
        <v>53</v>
      </c>
      <c r="L3586" s="4">
        <v>10.28240320324797</v>
      </c>
      <c r="M3586" s="1" t="s">
        <v>38</v>
      </c>
      <c r="N3586" s="11">
        <f t="shared" si="55"/>
        <v>5</v>
      </c>
    </row>
    <row r="3587" spans="1:14" ht="16" x14ac:dyDescent="0.2">
      <c r="A3587" s="3">
        <v>44375</v>
      </c>
      <c r="B3587" s="1" t="s">
        <v>3706</v>
      </c>
      <c r="C3587" t="s">
        <v>113</v>
      </c>
      <c r="D3587">
        <v>3</v>
      </c>
      <c r="E3587">
        <v>66</v>
      </c>
      <c r="F3587">
        <v>33</v>
      </c>
      <c r="G3587">
        <v>198</v>
      </c>
      <c r="H3587" s="4">
        <v>99</v>
      </c>
      <c r="I3587" s="4">
        <v>99</v>
      </c>
      <c r="J3587" t="s">
        <v>70</v>
      </c>
      <c r="K3587" t="s">
        <v>49</v>
      </c>
      <c r="L3587" s="4">
        <v>12.957303170959879</v>
      </c>
      <c r="M3587" s="1" t="s">
        <v>38</v>
      </c>
      <c r="N3587" s="11">
        <f t="shared" ref="N3587:N3650" si="56">+IF(M3587="Dissatisfied",1,IF(M3587="Satisfied",10,5))</f>
        <v>5</v>
      </c>
    </row>
    <row r="3588" spans="1:14" ht="16" x14ac:dyDescent="0.2">
      <c r="A3588" s="3">
        <v>44376</v>
      </c>
      <c r="B3588" s="1" t="s">
        <v>3707</v>
      </c>
      <c r="C3588" t="s">
        <v>544</v>
      </c>
      <c r="D3588">
        <v>19</v>
      </c>
      <c r="E3588">
        <v>267</v>
      </c>
      <c r="F3588">
        <v>89</v>
      </c>
      <c r="G3588">
        <v>5073</v>
      </c>
      <c r="H3588" s="4">
        <v>1691</v>
      </c>
      <c r="I3588" s="4">
        <v>3382</v>
      </c>
      <c r="J3588" t="s">
        <v>442</v>
      </c>
      <c r="K3588" t="s">
        <v>58</v>
      </c>
      <c r="L3588" s="4">
        <v>16.429355109701351</v>
      </c>
      <c r="M3588" s="1" t="s">
        <v>38</v>
      </c>
      <c r="N3588" s="11">
        <f t="shared" si="56"/>
        <v>5</v>
      </c>
    </row>
    <row r="3589" spans="1:14" ht="16" x14ac:dyDescent="0.2">
      <c r="A3589" s="3">
        <v>44377</v>
      </c>
      <c r="B3589" s="1" t="s">
        <v>3708</v>
      </c>
      <c r="C3589" t="s">
        <v>44</v>
      </c>
      <c r="D3589">
        <v>11</v>
      </c>
      <c r="E3589">
        <v>114</v>
      </c>
      <c r="F3589">
        <v>57</v>
      </c>
      <c r="G3589">
        <v>1254</v>
      </c>
      <c r="H3589" s="4">
        <v>627</v>
      </c>
      <c r="I3589" s="4">
        <v>627</v>
      </c>
      <c r="J3589" t="s">
        <v>738</v>
      </c>
      <c r="K3589" t="s">
        <v>33</v>
      </c>
      <c r="L3589" s="4">
        <v>12.985332015423809</v>
      </c>
      <c r="M3589" s="1" t="s">
        <v>38</v>
      </c>
      <c r="N3589" s="11">
        <f t="shared" si="56"/>
        <v>5</v>
      </c>
    </row>
    <row r="3590" spans="1:14" ht="16" x14ac:dyDescent="0.2">
      <c r="A3590" s="3">
        <v>44378</v>
      </c>
      <c r="B3590" s="1" t="s">
        <v>2902</v>
      </c>
      <c r="C3590" t="s">
        <v>304</v>
      </c>
      <c r="D3590">
        <v>13</v>
      </c>
      <c r="E3590">
        <v>116</v>
      </c>
      <c r="F3590">
        <v>29</v>
      </c>
      <c r="G3590">
        <v>1508</v>
      </c>
      <c r="H3590" s="4">
        <v>377</v>
      </c>
      <c r="I3590" s="4">
        <v>1131</v>
      </c>
      <c r="J3590" t="s">
        <v>673</v>
      </c>
      <c r="K3590" t="s">
        <v>53</v>
      </c>
      <c r="L3590" s="4">
        <v>14.460020532456038</v>
      </c>
      <c r="M3590" s="1" t="s">
        <v>54</v>
      </c>
      <c r="N3590" s="11">
        <f t="shared" si="56"/>
        <v>10</v>
      </c>
    </row>
    <row r="3591" spans="1:14" ht="16" x14ac:dyDescent="0.2">
      <c r="A3591" s="3">
        <v>44379</v>
      </c>
      <c r="B3591" s="1" t="s">
        <v>3709</v>
      </c>
      <c r="C3591" t="s">
        <v>113</v>
      </c>
      <c r="D3591">
        <v>13</v>
      </c>
      <c r="E3591">
        <v>66</v>
      </c>
      <c r="F3591">
        <v>33</v>
      </c>
      <c r="G3591">
        <v>858</v>
      </c>
      <c r="H3591" s="4">
        <v>429</v>
      </c>
      <c r="I3591" s="4">
        <v>429</v>
      </c>
      <c r="J3591" t="s">
        <v>230</v>
      </c>
      <c r="K3591" t="s">
        <v>42</v>
      </c>
      <c r="L3591" s="4">
        <v>12.172922939334034</v>
      </c>
      <c r="M3591" s="1" t="s">
        <v>38</v>
      </c>
      <c r="N3591" s="11">
        <f t="shared" si="56"/>
        <v>5</v>
      </c>
    </row>
    <row r="3592" spans="1:14" ht="16" x14ac:dyDescent="0.2">
      <c r="A3592" s="3">
        <v>44380</v>
      </c>
      <c r="B3592" s="1" t="s">
        <v>3710</v>
      </c>
      <c r="C3592" t="s">
        <v>788</v>
      </c>
      <c r="D3592">
        <v>17</v>
      </c>
      <c r="E3592">
        <v>100</v>
      </c>
      <c r="F3592">
        <v>25</v>
      </c>
      <c r="G3592">
        <v>1700</v>
      </c>
      <c r="H3592" s="4">
        <v>425</v>
      </c>
      <c r="I3592" s="4">
        <v>1275</v>
      </c>
      <c r="J3592" t="s">
        <v>79</v>
      </c>
      <c r="K3592" t="s">
        <v>64</v>
      </c>
      <c r="L3592" s="4">
        <v>12.163730387337393</v>
      </c>
      <c r="M3592" s="1" t="s">
        <v>38</v>
      </c>
      <c r="N3592" s="11">
        <f t="shared" si="56"/>
        <v>5</v>
      </c>
    </row>
    <row r="3593" spans="1:14" ht="16" x14ac:dyDescent="0.2">
      <c r="A3593" s="3">
        <v>44381</v>
      </c>
      <c r="B3593" s="1" t="s">
        <v>3711</v>
      </c>
      <c r="C3593" t="s">
        <v>81</v>
      </c>
      <c r="D3593">
        <v>15</v>
      </c>
      <c r="E3593">
        <v>166</v>
      </c>
      <c r="F3593">
        <v>83</v>
      </c>
      <c r="G3593">
        <v>2490</v>
      </c>
      <c r="H3593" s="4">
        <v>1245</v>
      </c>
      <c r="I3593" s="4">
        <v>1245</v>
      </c>
      <c r="J3593" t="s">
        <v>207</v>
      </c>
      <c r="K3593" t="s">
        <v>42</v>
      </c>
      <c r="L3593" s="4">
        <v>12.177709716438097</v>
      </c>
      <c r="M3593" s="1" t="s">
        <v>38</v>
      </c>
      <c r="N3593" s="11">
        <f t="shared" si="56"/>
        <v>5</v>
      </c>
    </row>
    <row r="3594" spans="1:14" ht="16" x14ac:dyDescent="0.2">
      <c r="A3594" s="3">
        <v>44382</v>
      </c>
      <c r="B3594" s="1" t="s">
        <v>3712</v>
      </c>
      <c r="C3594" t="s">
        <v>286</v>
      </c>
      <c r="D3594">
        <v>16</v>
      </c>
      <c r="E3594">
        <v>34</v>
      </c>
      <c r="F3594">
        <v>17</v>
      </c>
      <c r="G3594">
        <v>544</v>
      </c>
      <c r="H3594" s="4">
        <v>272</v>
      </c>
      <c r="I3594" s="4">
        <v>272</v>
      </c>
      <c r="J3594" t="s">
        <v>290</v>
      </c>
      <c r="K3594" t="s">
        <v>86</v>
      </c>
      <c r="L3594" s="4">
        <v>12.758430621858414</v>
      </c>
      <c r="M3594" s="1" t="s">
        <v>38</v>
      </c>
      <c r="N3594" s="11">
        <f t="shared" si="56"/>
        <v>5</v>
      </c>
    </row>
    <row r="3595" spans="1:14" ht="16" x14ac:dyDescent="0.2">
      <c r="A3595" s="3">
        <v>44383</v>
      </c>
      <c r="B3595" s="1" t="s">
        <v>3713</v>
      </c>
      <c r="C3595" t="s">
        <v>779</v>
      </c>
      <c r="D3595">
        <v>12</v>
      </c>
      <c r="E3595">
        <v>120</v>
      </c>
      <c r="F3595">
        <v>30</v>
      </c>
      <c r="G3595">
        <v>1440</v>
      </c>
      <c r="H3595" s="4">
        <v>360</v>
      </c>
      <c r="I3595" s="4">
        <v>1080</v>
      </c>
      <c r="J3595" t="s">
        <v>315</v>
      </c>
      <c r="K3595" t="s">
        <v>42</v>
      </c>
      <c r="L3595" s="4">
        <v>10.966283117837653</v>
      </c>
      <c r="M3595" s="1" t="s">
        <v>38</v>
      </c>
      <c r="N3595" s="11">
        <f t="shared" si="56"/>
        <v>5</v>
      </c>
    </row>
    <row r="3596" spans="1:14" ht="16" x14ac:dyDescent="0.2">
      <c r="A3596" s="3">
        <v>44384</v>
      </c>
      <c r="B3596" s="1" t="s">
        <v>3714</v>
      </c>
      <c r="C3596" t="s">
        <v>120</v>
      </c>
      <c r="D3596">
        <v>20</v>
      </c>
      <c r="E3596">
        <v>252</v>
      </c>
      <c r="F3596">
        <v>63</v>
      </c>
      <c r="G3596">
        <v>5040</v>
      </c>
      <c r="H3596" s="4">
        <v>1260</v>
      </c>
      <c r="I3596" s="4">
        <v>3780</v>
      </c>
      <c r="J3596" t="s">
        <v>980</v>
      </c>
      <c r="K3596" t="s">
        <v>33</v>
      </c>
      <c r="L3596" s="4">
        <v>8.1743378387804331</v>
      </c>
      <c r="M3596" s="1" t="s">
        <v>54</v>
      </c>
      <c r="N3596" s="11">
        <f t="shared" si="56"/>
        <v>10</v>
      </c>
    </row>
    <row r="3597" spans="1:14" ht="16" x14ac:dyDescent="0.2">
      <c r="A3597" s="3">
        <v>44385</v>
      </c>
      <c r="B3597" s="1" t="s">
        <v>3715</v>
      </c>
      <c r="C3597" t="s">
        <v>473</v>
      </c>
      <c r="D3597">
        <v>13</v>
      </c>
      <c r="E3597">
        <v>72</v>
      </c>
      <c r="F3597">
        <v>36</v>
      </c>
      <c r="G3597">
        <v>936</v>
      </c>
      <c r="H3597" s="4">
        <v>468</v>
      </c>
      <c r="I3597" s="4">
        <v>468</v>
      </c>
      <c r="J3597" t="s">
        <v>567</v>
      </c>
      <c r="K3597" t="s">
        <v>49</v>
      </c>
      <c r="L3597" s="4">
        <v>12.147202500273634</v>
      </c>
      <c r="M3597" s="1" t="s">
        <v>38</v>
      </c>
      <c r="N3597" s="11">
        <f t="shared" si="56"/>
        <v>5</v>
      </c>
    </row>
    <row r="3598" spans="1:14" ht="16" x14ac:dyDescent="0.2">
      <c r="A3598" s="3">
        <v>44386</v>
      </c>
      <c r="B3598" s="1" t="s">
        <v>3716</v>
      </c>
      <c r="C3598" t="s">
        <v>227</v>
      </c>
      <c r="D3598">
        <v>19</v>
      </c>
      <c r="E3598">
        <v>144</v>
      </c>
      <c r="F3598">
        <v>48</v>
      </c>
      <c r="G3598">
        <v>2736</v>
      </c>
      <c r="H3598" s="4">
        <v>912</v>
      </c>
      <c r="I3598" s="4">
        <v>1824</v>
      </c>
      <c r="J3598" t="s">
        <v>102</v>
      </c>
      <c r="K3598" t="s">
        <v>49</v>
      </c>
      <c r="L3598" s="4">
        <v>15.12637675023732</v>
      </c>
      <c r="M3598" s="1" t="s">
        <v>38</v>
      </c>
      <c r="N3598" s="11">
        <f t="shared" si="56"/>
        <v>5</v>
      </c>
    </row>
    <row r="3599" spans="1:14" ht="16" x14ac:dyDescent="0.2">
      <c r="A3599" s="3">
        <v>44387</v>
      </c>
      <c r="B3599" s="1" t="s">
        <v>3717</v>
      </c>
      <c r="C3599" t="s">
        <v>337</v>
      </c>
      <c r="D3599">
        <v>18</v>
      </c>
      <c r="E3599">
        <v>135</v>
      </c>
      <c r="F3599">
        <v>45</v>
      </c>
      <c r="G3599">
        <v>2430</v>
      </c>
      <c r="H3599" s="4">
        <v>810</v>
      </c>
      <c r="I3599" s="4">
        <v>1620</v>
      </c>
      <c r="J3599" t="s">
        <v>45</v>
      </c>
      <c r="K3599" t="s">
        <v>42</v>
      </c>
      <c r="L3599" s="4">
        <v>10.06992029407844</v>
      </c>
      <c r="M3599" s="1" t="s">
        <v>38</v>
      </c>
      <c r="N3599" s="11">
        <f t="shared" si="56"/>
        <v>5</v>
      </c>
    </row>
    <row r="3600" spans="1:14" ht="16" x14ac:dyDescent="0.2">
      <c r="A3600" s="3">
        <v>44388</v>
      </c>
      <c r="B3600" s="1" t="s">
        <v>3718</v>
      </c>
      <c r="C3600" t="s">
        <v>142</v>
      </c>
      <c r="D3600">
        <v>7</v>
      </c>
      <c r="E3600">
        <v>210</v>
      </c>
      <c r="F3600">
        <v>70</v>
      </c>
      <c r="G3600">
        <v>1470</v>
      </c>
      <c r="H3600" s="4">
        <v>490</v>
      </c>
      <c r="I3600" s="4">
        <v>980</v>
      </c>
      <c r="J3600" t="s">
        <v>361</v>
      </c>
      <c r="K3600" t="s">
        <v>64</v>
      </c>
      <c r="L3600" s="4">
        <v>13.092530646074781</v>
      </c>
      <c r="M3600" s="1" t="s">
        <v>38</v>
      </c>
      <c r="N3600" s="11">
        <f t="shared" si="56"/>
        <v>5</v>
      </c>
    </row>
    <row r="3601" spans="1:14" ht="16" x14ac:dyDescent="0.2">
      <c r="A3601" s="3">
        <v>44389</v>
      </c>
      <c r="B3601" s="1" t="s">
        <v>3719</v>
      </c>
      <c r="C3601" t="s">
        <v>547</v>
      </c>
      <c r="D3601">
        <v>8</v>
      </c>
      <c r="E3601">
        <v>300</v>
      </c>
      <c r="F3601">
        <v>75</v>
      </c>
      <c r="G3601">
        <v>2400</v>
      </c>
      <c r="H3601" s="4">
        <v>600</v>
      </c>
      <c r="I3601" s="4">
        <v>1800</v>
      </c>
      <c r="J3601" t="s">
        <v>910</v>
      </c>
      <c r="K3601" t="s">
        <v>58</v>
      </c>
      <c r="L3601" s="4">
        <v>11.78346750250795</v>
      </c>
      <c r="M3601" s="1" t="s">
        <v>38</v>
      </c>
      <c r="N3601" s="11">
        <f t="shared" si="56"/>
        <v>5</v>
      </c>
    </row>
    <row r="3602" spans="1:14" ht="16" x14ac:dyDescent="0.2">
      <c r="A3602" s="3">
        <v>44390</v>
      </c>
      <c r="B3602" s="1" t="s">
        <v>3720</v>
      </c>
      <c r="C3602" t="s">
        <v>212</v>
      </c>
      <c r="D3602">
        <v>9</v>
      </c>
      <c r="E3602">
        <v>300</v>
      </c>
      <c r="F3602">
        <v>75</v>
      </c>
      <c r="G3602">
        <v>2700</v>
      </c>
      <c r="H3602" s="4">
        <v>675</v>
      </c>
      <c r="I3602" s="4">
        <v>2025</v>
      </c>
      <c r="J3602" t="s">
        <v>474</v>
      </c>
      <c r="K3602" t="s">
        <v>33</v>
      </c>
      <c r="L3602" s="4">
        <v>9.629298039722805</v>
      </c>
      <c r="M3602" s="1" t="s">
        <v>38</v>
      </c>
      <c r="N3602" s="11">
        <f t="shared" si="56"/>
        <v>5</v>
      </c>
    </row>
    <row r="3603" spans="1:14" ht="16" x14ac:dyDescent="0.2">
      <c r="A3603" s="3">
        <v>44391</v>
      </c>
      <c r="B3603" s="1" t="s">
        <v>3721</v>
      </c>
      <c r="C3603" t="s">
        <v>299</v>
      </c>
      <c r="D3603">
        <v>13</v>
      </c>
      <c r="E3603">
        <v>225</v>
      </c>
      <c r="F3603">
        <v>75</v>
      </c>
      <c r="G3603">
        <v>2925</v>
      </c>
      <c r="H3603" s="4">
        <v>975</v>
      </c>
      <c r="I3603" s="4">
        <v>1950</v>
      </c>
      <c r="J3603" t="s">
        <v>392</v>
      </c>
      <c r="K3603" t="s">
        <v>49</v>
      </c>
      <c r="L3603" s="4">
        <v>12.456740895640767</v>
      </c>
      <c r="M3603" s="1" t="s">
        <v>38</v>
      </c>
      <c r="N3603" s="11">
        <f t="shared" si="56"/>
        <v>5</v>
      </c>
    </row>
    <row r="3604" spans="1:14" ht="16" x14ac:dyDescent="0.2">
      <c r="A3604" s="3">
        <v>44392</v>
      </c>
      <c r="B3604" s="1" t="s">
        <v>3722</v>
      </c>
      <c r="C3604" t="s">
        <v>227</v>
      </c>
      <c r="D3604">
        <v>1</v>
      </c>
      <c r="E3604">
        <v>144</v>
      </c>
      <c r="F3604">
        <v>48</v>
      </c>
      <c r="G3604">
        <v>144</v>
      </c>
      <c r="H3604" s="4">
        <v>48</v>
      </c>
      <c r="I3604" s="4">
        <v>96</v>
      </c>
      <c r="J3604" t="s">
        <v>786</v>
      </c>
      <c r="K3604" t="s">
        <v>86</v>
      </c>
      <c r="L3604" s="4">
        <v>13.095446915421235</v>
      </c>
      <c r="M3604" s="1" t="s">
        <v>38</v>
      </c>
      <c r="N3604" s="11">
        <f t="shared" si="56"/>
        <v>5</v>
      </c>
    </row>
    <row r="3605" spans="1:14" ht="16" x14ac:dyDescent="0.2">
      <c r="A3605" s="3">
        <v>44393</v>
      </c>
      <c r="B3605" s="1" t="s">
        <v>3723</v>
      </c>
      <c r="C3605" t="s">
        <v>75</v>
      </c>
      <c r="D3605">
        <v>11</v>
      </c>
      <c r="E3605">
        <v>76</v>
      </c>
      <c r="F3605">
        <v>19</v>
      </c>
      <c r="G3605">
        <v>836</v>
      </c>
      <c r="H3605" s="4">
        <v>209</v>
      </c>
      <c r="I3605" s="4">
        <v>627</v>
      </c>
      <c r="J3605" t="s">
        <v>653</v>
      </c>
      <c r="K3605" t="s">
        <v>86</v>
      </c>
      <c r="L3605" s="4">
        <v>12.869841591513939</v>
      </c>
      <c r="M3605" s="1" t="s">
        <v>38</v>
      </c>
      <c r="N3605" s="11">
        <f t="shared" si="56"/>
        <v>5</v>
      </c>
    </row>
    <row r="3606" spans="1:14" ht="16" x14ac:dyDescent="0.2">
      <c r="A3606" s="3">
        <v>44394</v>
      </c>
      <c r="B3606" s="1" t="s">
        <v>3724</v>
      </c>
      <c r="C3606" t="s">
        <v>391</v>
      </c>
      <c r="D3606">
        <v>14</v>
      </c>
      <c r="E3606">
        <v>72</v>
      </c>
      <c r="F3606">
        <v>36</v>
      </c>
      <c r="G3606">
        <v>1008</v>
      </c>
      <c r="H3606" s="4">
        <v>504</v>
      </c>
      <c r="I3606" s="4">
        <v>504</v>
      </c>
      <c r="J3606" t="s">
        <v>506</v>
      </c>
      <c r="K3606" t="s">
        <v>33</v>
      </c>
      <c r="L3606" s="4">
        <v>13.917704159139552</v>
      </c>
      <c r="M3606" s="1" t="s">
        <v>38</v>
      </c>
      <c r="N3606" s="11">
        <f t="shared" si="56"/>
        <v>5</v>
      </c>
    </row>
    <row r="3607" spans="1:14" ht="16" x14ac:dyDescent="0.2">
      <c r="A3607" s="3">
        <v>44395</v>
      </c>
      <c r="B3607" s="1" t="s">
        <v>3725</v>
      </c>
      <c r="C3607" t="s">
        <v>425</v>
      </c>
      <c r="D3607">
        <v>8</v>
      </c>
      <c r="E3607">
        <v>352</v>
      </c>
      <c r="F3607">
        <v>88</v>
      </c>
      <c r="G3607">
        <v>2816</v>
      </c>
      <c r="H3607" s="4">
        <v>704</v>
      </c>
      <c r="I3607" s="4">
        <v>2112</v>
      </c>
      <c r="J3607" t="s">
        <v>745</v>
      </c>
      <c r="K3607" t="s">
        <v>33</v>
      </c>
      <c r="L3607" s="4">
        <v>9.1057685343725456</v>
      </c>
      <c r="M3607" s="1" t="s">
        <v>38</v>
      </c>
      <c r="N3607" s="11">
        <f t="shared" si="56"/>
        <v>5</v>
      </c>
    </row>
    <row r="3608" spans="1:14" ht="16" x14ac:dyDescent="0.2">
      <c r="A3608" s="3">
        <v>44396</v>
      </c>
      <c r="B3608" s="1" t="s">
        <v>3726</v>
      </c>
      <c r="C3608" t="s">
        <v>544</v>
      </c>
      <c r="D3608">
        <v>4</v>
      </c>
      <c r="E3608">
        <v>267</v>
      </c>
      <c r="F3608">
        <v>89</v>
      </c>
      <c r="G3608">
        <v>1068</v>
      </c>
      <c r="H3608" s="4">
        <v>356</v>
      </c>
      <c r="I3608" s="4">
        <v>712</v>
      </c>
      <c r="J3608" t="s">
        <v>189</v>
      </c>
      <c r="K3608" t="s">
        <v>58</v>
      </c>
      <c r="L3608" s="4">
        <v>12.551203838971933</v>
      </c>
      <c r="M3608" s="1" t="s">
        <v>38</v>
      </c>
      <c r="N3608" s="11">
        <f t="shared" si="56"/>
        <v>5</v>
      </c>
    </row>
    <row r="3609" spans="1:14" ht="16" x14ac:dyDescent="0.2">
      <c r="A3609" s="3">
        <v>44397</v>
      </c>
      <c r="B3609" s="1" t="s">
        <v>3727</v>
      </c>
      <c r="C3609" t="s">
        <v>356</v>
      </c>
      <c r="D3609">
        <v>19</v>
      </c>
      <c r="E3609">
        <v>356</v>
      </c>
      <c r="F3609">
        <v>89</v>
      </c>
      <c r="G3609">
        <v>6764</v>
      </c>
      <c r="H3609" s="4">
        <v>1691</v>
      </c>
      <c r="I3609" s="4">
        <v>5073</v>
      </c>
      <c r="J3609" t="s">
        <v>1358</v>
      </c>
      <c r="K3609" t="s">
        <v>86</v>
      </c>
      <c r="L3609" s="4">
        <v>13.811876869930865</v>
      </c>
      <c r="M3609" s="1" t="s">
        <v>38</v>
      </c>
      <c r="N3609" s="11">
        <f t="shared" si="56"/>
        <v>5</v>
      </c>
    </row>
    <row r="3610" spans="1:14" ht="16" x14ac:dyDescent="0.2">
      <c r="A3610" s="3">
        <v>44398</v>
      </c>
      <c r="B3610" s="1" t="s">
        <v>1899</v>
      </c>
      <c r="C3610" t="s">
        <v>204</v>
      </c>
      <c r="D3610">
        <v>9</v>
      </c>
      <c r="E3610">
        <v>57</v>
      </c>
      <c r="F3610">
        <v>19</v>
      </c>
      <c r="G3610">
        <v>513</v>
      </c>
      <c r="H3610" s="4">
        <v>171</v>
      </c>
      <c r="I3610" s="4">
        <v>342</v>
      </c>
      <c r="J3610" t="s">
        <v>1101</v>
      </c>
      <c r="K3610" t="s">
        <v>33</v>
      </c>
      <c r="L3610" s="4">
        <v>9.8776671534059073</v>
      </c>
      <c r="M3610" s="1" t="s">
        <v>38</v>
      </c>
      <c r="N3610" s="11">
        <f t="shared" si="56"/>
        <v>5</v>
      </c>
    </row>
    <row r="3611" spans="1:14" ht="16" x14ac:dyDescent="0.2">
      <c r="A3611" s="3">
        <v>44399</v>
      </c>
      <c r="B3611" s="1" t="s">
        <v>981</v>
      </c>
      <c r="C3611" t="s">
        <v>788</v>
      </c>
      <c r="D3611">
        <v>5</v>
      </c>
      <c r="E3611">
        <v>100</v>
      </c>
      <c r="F3611">
        <v>25</v>
      </c>
      <c r="G3611">
        <v>500</v>
      </c>
      <c r="H3611" s="4">
        <v>125</v>
      </c>
      <c r="I3611" s="4">
        <v>375</v>
      </c>
      <c r="J3611" t="s">
        <v>877</v>
      </c>
      <c r="K3611" t="s">
        <v>49</v>
      </c>
      <c r="L3611" s="4">
        <v>13.275355576494196</v>
      </c>
      <c r="M3611" s="1" t="s">
        <v>34</v>
      </c>
      <c r="N3611" s="11">
        <f t="shared" si="56"/>
        <v>1</v>
      </c>
    </row>
    <row r="3612" spans="1:14" ht="16" x14ac:dyDescent="0.2">
      <c r="A3612" s="3">
        <v>44400</v>
      </c>
      <c r="B3612" s="1" t="s">
        <v>3043</v>
      </c>
      <c r="C3612" t="s">
        <v>110</v>
      </c>
      <c r="D3612">
        <v>1</v>
      </c>
      <c r="E3612">
        <v>144</v>
      </c>
      <c r="F3612">
        <v>36</v>
      </c>
      <c r="G3612">
        <v>144</v>
      </c>
      <c r="H3612" s="4">
        <v>36</v>
      </c>
      <c r="I3612" s="4">
        <v>108</v>
      </c>
      <c r="J3612" t="s">
        <v>462</v>
      </c>
      <c r="K3612" t="s">
        <v>86</v>
      </c>
      <c r="L3612" s="4">
        <v>12.732640267350657</v>
      </c>
      <c r="M3612" s="1" t="s">
        <v>38</v>
      </c>
      <c r="N3612" s="11">
        <f t="shared" si="56"/>
        <v>5</v>
      </c>
    </row>
    <row r="3613" spans="1:14" ht="16" x14ac:dyDescent="0.2">
      <c r="A3613" s="3">
        <v>44401</v>
      </c>
      <c r="B3613" s="1" t="s">
        <v>3728</v>
      </c>
      <c r="C3613" t="s">
        <v>370</v>
      </c>
      <c r="D3613">
        <v>9</v>
      </c>
      <c r="E3613">
        <v>144</v>
      </c>
      <c r="F3613">
        <v>36</v>
      </c>
      <c r="G3613">
        <v>1296</v>
      </c>
      <c r="H3613" s="4">
        <v>324</v>
      </c>
      <c r="I3613" s="4">
        <v>972</v>
      </c>
      <c r="J3613" t="s">
        <v>397</v>
      </c>
      <c r="K3613" t="s">
        <v>49</v>
      </c>
      <c r="L3613" s="4">
        <v>9.4239783062860578</v>
      </c>
      <c r="M3613" s="1" t="s">
        <v>54</v>
      </c>
      <c r="N3613" s="11">
        <f t="shared" si="56"/>
        <v>10</v>
      </c>
    </row>
    <row r="3614" spans="1:14" ht="16" x14ac:dyDescent="0.2">
      <c r="A3614" s="3">
        <v>44402</v>
      </c>
      <c r="B3614" s="1" t="s">
        <v>953</v>
      </c>
      <c r="C3614" t="s">
        <v>145</v>
      </c>
      <c r="D3614">
        <v>15</v>
      </c>
      <c r="E3614">
        <v>207</v>
      </c>
      <c r="F3614">
        <v>69</v>
      </c>
      <c r="G3614">
        <v>3105</v>
      </c>
      <c r="H3614" s="4">
        <v>1035</v>
      </c>
      <c r="I3614" s="4">
        <v>2070</v>
      </c>
      <c r="J3614" t="s">
        <v>1560</v>
      </c>
      <c r="K3614" t="s">
        <v>86</v>
      </c>
      <c r="L3614" s="4">
        <v>14.412865837260112</v>
      </c>
      <c r="M3614" s="1" t="s">
        <v>54</v>
      </c>
      <c r="N3614" s="11">
        <f t="shared" si="56"/>
        <v>10</v>
      </c>
    </row>
    <row r="3615" spans="1:14" ht="16" x14ac:dyDescent="0.2">
      <c r="A3615" s="3">
        <v>44403</v>
      </c>
      <c r="B3615" s="1" t="s">
        <v>3729</v>
      </c>
      <c r="C3615" t="s">
        <v>299</v>
      </c>
      <c r="D3615">
        <v>13</v>
      </c>
      <c r="E3615">
        <v>225</v>
      </c>
      <c r="F3615">
        <v>75</v>
      </c>
      <c r="G3615">
        <v>2925</v>
      </c>
      <c r="H3615" s="4">
        <v>975</v>
      </c>
      <c r="I3615" s="4">
        <v>1950</v>
      </c>
      <c r="J3615" t="s">
        <v>689</v>
      </c>
      <c r="K3615" t="s">
        <v>58</v>
      </c>
      <c r="L3615" s="4">
        <v>13.486912834801583</v>
      </c>
      <c r="M3615" s="1" t="s">
        <v>38</v>
      </c>
      <c r="N3615" s="11">
        <f t="shared" si="56"/>
        <v>5</v>
      </c>
    </row>
    <row r="3616" spans="1:14" ht="16" x14ac:dyDescent="0.2">
      <c r="A3616" s="3">
        <v>44404</v>
      </c>
      <c r="B3616" s="1" t="s">
        <v>3730</v>
      </c>
      <c r="C3616" t="s">
        <v>218</v>
      </c>
      <c r="D3616">
        <v>13</v>
      </c>
      <c r="E3616">
        <v>264</v>
      </c>
      <c r="F3616">
        <v>88</v>
      </c>
      <c r="G3616">
        <v>3432</v>
      </c>
      <c r="H3616" s="4">
        <v>1144</v>
      </c>
      <c r="I3616" s="4">
        <v>2288</v>
      </c>
      <c r="J3616" t="s">
        <v>60</v>
      </c>
      <c r="K3616" t="s">
        <v>53</v>
      </c>
      <c r="L3616" s="4">
        <v>11.048444680405545</v>
      </c>
      <c r="M3616" s="1" t="s">
        <v>38</v>
      </c>
      <c r="N3616" s="11">
        <f t="shared" si="56"/>
        <v>5</v>
      </c>
    </row>
    <row r="3617" spans="1:14" ht="16" x14ac:dyDescent="0.2">
      <c r="A3617" s="3">
        <v>44405</v>
      </c>
      <c r="B3617" s="1" t="s">
        <v>3731</v>
      </c>
      <c r="C3617" t="s">
        <v>47</v>
      </c>
      <c r="D3617">
        <v>11</v>
      </c>
      <c r="E3617">
        <v>231</v>
      </c>
      <c r="F3617">
        <v>77</v>
      </c>
      <c r="G3617">
        <v>2541</v>
      </c>
      <c r="H3617" s="4">
        <v>847</v>
      </c>
      <c r="I3617" s="4">
        <v>1694</v>
      </c>
      <c r="J3617" t="s">
        <v>613</v>
      </c>
      <c r="K3617" t="s">
        <v>86</v>
      </c>
      <c r="L3617" s="4">
        <v>8.8169309002713945</v>
      </c>
      <c r="M3617" s="1" t="s">
        <v>38</v>
      </c>
      <c r="N3617" s="11">
        <f t="shared" si="56"/>
        <v>5</v>
      </c>
    </row>
    <row r="3618" spans="1:14" ht="16" x14ac:dyDescent="0.2">
      <c r="A3618" s="3">
        <v>44406</v>
      </c>
      <c r="B3618" s="1" t="s">
        <v>3732</v>
      </c>
      <c r="C3618" t="s">
        <v>547</v>
      </c>
      <c r="D3618">
        <v>15</v>
      </c>
      <c r="E3618">
        <v>300</v>
      </c>
      <c r="F3618">
        <v>75</v>
      </c>
      <c r="G3618">
        <v>4500</v>
      </c>
      <c r="H3618" s="4">
        <v>1125</v>
      </c>
      <c r="I3618" s="4">
        <v>3375</v>
      </c>
      <c r="J3618" t="s">
        <v>264</v>
      </c>
      <c r="K3618" t="s">
        <v>42</v>
      </c>
      <c r="L3618" s="4">
        <v>12.514998090845811</v>
      </c>
      <c r="M3618" s="1" t="s">
        <v>54</v>
      </c>
      <c r="N3618" s="11">
        <f t="shared" si="56"/>
        <v>10</v>
      </c>
    </row>
    <row r="3619" spans="1:14" ht="16" x14ac:dyDescent="0.2">
      <c r="A3619" s="3">
        <v>44407</v>
      </c>
      <c r="B3619" s="1" t="s">
        <v>3733</v>
      </c>
      <c r="C3619" t="s">
        <v>204</v>
      </c>
      <c r="D3619">
        <v>14</v>
      </c>
      <c r="E3619">
        <v>57</v>
      </c>
      <c r="F3619">
        <v>19</v>
      </c>
      <c r="G3619">
        <v>798</v>
      </c>
      <c r="H3619" s="4">
        <v>266</v>
      </c>
      <c r="I3619" s="4">
        <v>532</v>
      </c>
      <c r="J3619" t="s">
        <v>923</v>
      </c>
      <c r="K3619" t="s">
        <v>42</v>
      </c>
      <c r="L3619" s="4">
        <v>12.502346728827876</v>
      </c>
      <c r="M3619" s="1" t="s">
        <v>38</v>
      </c>
      <c r="N3619" s="11">
        <f t="shared" si="56"/>
        <v>5</v>
      </c>
    </row>
    <row r="3620" spans="1:14" ht="16" x14ac:dyDescent="0.2">
      <c r="A3620" s="3">
        <v>44408</v>
      </c>
      <c r="B3620" s="1" t="s">
        <v>3734</v>
      </c>
      <c r="C3620" t="s">
        <v>148</v>
      </c>
      <c r="D3620">
        <v>5</v>
      </c>
      <c r="E3620">
        <v>144</v>
      </c>
      <c r="F3620">
        <v>36</v>
      </c>
      <c r="G3620">
        <v>720</v>
      </c>
      <c r="H3620" s="4">
        <v>180</v>
      </c>
      <c r="I3620" s="4">
        <v>540</v>
      </c>
      <c r="J3620" t="s">
        <v>270</v>
      </c>
      <c r="K3620" t="s">
        <v>42</v>
      </c>
      <c r="L3620" s="4">
        <v>12.661538237835474</v>
      </c>
      <c r="M3620" s="1" t="s">
        <v>34</v>
      </c>
      <c r="N3620" s="11">
        <f t="shared" si="56"/>
        <v>1</v>
      </c>
    </row>
    <row r="3621" spans="1:14" ht="16" x14ac:dyDescent="0.2">
      <c r="A3621" s="3">
        <v>44409</v>
      </c>
      <c r="B3621" s="1" t="s">
        <v>3735</v>
      </c>
      <c r="C3621" t="s">
        <v>487</v>
      </c>
      <c r="D3621">
        <v>9</v>
      </c>
      <c r="E3621">
        <v>264</v>
      </c>
      <c r="F3621">
        <v>88</v>
      </c>
      <c r="G3621">
        <v>2376</v>
      </c>
      <c r="H3621" s="4">
        <v>792</v>
      </c>
      <c r="I3621" s="4">
        <v>1584</v>
      </c>
      <c r="J3621" t="s">
        <v>281</v>
      </c>
      <c r="K3621" t="s">
        <v>33</v>
      </c>
      <c r="L3621" s="4">
        <v>11.428575823958646</v>
      </c>
      <c r="M3621" s="1" t="s">
        <v>34</v>
      </c>
      <c r="N3621" s="11">
        <f t="shared" si="56"/>
        <v>1</v>
      </c>
    </row>
    <row r="3622" spans="1:14" ht="16" x14ac:dyDescent="0.2">
      <c r="A3622" s="3">
        <v>44410</v>
      </c>
      <c r="B3622" s="1" t="s">
        <v>3736</v>
      </c>
      <c r="C3622" t="s">
        <v>98</v>
      </c>
      <c r="D3622">
        <v>14</v>
      </c>
      <c r="E3622">
        <v>156</v>
      </c>
      <c r="F3622">
        <v>78</v>
      </c>
      <c r="G3622">
        <v>2184</v>
      </c>
      <c r="H3622" s="4">
        <v>1092</v>
      </c>
      <c r="I3622" s="4">
        <v>1092</v>
      </c>
      <c r="J3622" t="s">
        <v>745</v>
      </c>
      <c r="K3622" t="s">
        <v>33</v>
      </c>
      <c r="L3622" s="4">
        <v>9.1057685343725456</v>
      </c>
      <c r="M3622" s="1" t="s">
        <v>38</v>
      </c>
      <c r="N3622" s="11">
        <f t="shared" si="56"/>
        <v>5</v>
      </c>
    </row>
    <row r="3623" spans="1:14" ht="16" x14ac:dyDescent="0.2">
      <c r="A3623" s="3">
        <v>44411</v>
      </c>
      <c r="B3623" s="1" t="s">
        <v>3737</v>
      </c>
      <c r="C3623" t="s">
        <v>151</v>
      </c>
      <c r="D3623">
        <v>18</v>
      </c>
      <c r="E3623">
        <v>153</v>
      </c>
      <c r="F3623">
        <v>51</v>
      </c>
      <c r="G3623">
        <v>2754</v>
      </c>
      <c r="H3623" s="4">
        <v>918</v>
      </c>
      <c r="I3623" s="4">
        <v>1836</v>
      </c>
      <c r="J3623" t="s">
        <v>622</v>
      </c>
      <c r="K3623" t="s">
        <v>49</v>
      </c>
      <c r="L3623" s="4">
        <v>8.3272837771733244</v>
      </c>
      <c r="M3623" s="1" t="s">
        <v>34</v>
      </c>
      <c r="N3623" s="11">
        <f t="shared" si="56"/>
        <v>1</v>
      </c>
    </row>
    <row r="3624" spans="1:14" ht="16" x14ac:dyDescent="0.2">
      <c r="A3624" s="3">
        <v>44412</v>
      </c>
      <c r="B3624" s="1" t="s">
        <v>3738</v>
      </c>
      <c r="C3624" t="s">
        <v>193</v>
      </c>
      <c r="D3624">
        <v>16</v>
      </c>
      <c r="E3624">
        <v>348</v>
      </c>
      <c r="F3624">
        <v>87</v>
      </c>
      <c r="G3624">
        <v>5568</v>
      </c>
      <c r="H3624" s="4">
        <v>1392</v>
      </c>
      <c r="I3624" s="4">
        <v>4176</v>
      </c>
      <c r="J3624" t="s">
        <v>335</v>
      </c>
      <c r="K3624" t="s">
        <v>53</v>
      </c>
      <c r="L3624" s="4">
        <v>12.148236977735172</v>
      </c>
      <c r="M3624" s="1" t="s">
        <v>38</v>
      </c>
      <c r="N3624" s="11">
        <f t="shared" si="56"/>
        <v>5</v>
      </c>
    </row>
    <row r="3625" spans="1:14" ht="16" x14ac:dyDescent="0.2">
      <c r="A3625" s="3">
        <v>44413</v>
      </c>
      <c r="B3625" s="1" t="s">
        <v>3739</v>
      </c>
      <c r="C3625" t="s">
        <v>337</v>
      </c>
      <c r="D3625">
        <v>9</v>
      </c>
      <c r="E3625">
        <v>135</v>
      </c>
      <c r="F3625">
        <v>45</v>
      </c>
      <c r="G3625">
        <v>1215</v>
      </c>
      <c r="H3625" s="4">
        <v>405</v>
      </c>
      <c r="I3625" s="4">
        <v>810</v>
      </c>
      <c r="J3625" t="s">
        <v>94</v>
      </c>
      <c r="K3625" t="s">
        <v>49</v>
      </c>
      <c r="L3625" s="4">
        <v>9.8238489437106278</v>
      </c>
      <c r="M3625" s="1" t="s">
        <v>38</v>
      </c>
      <c r="N3625" s="11">
        <f t="shared" si="56"/>
        <v>5</v>
      </c>
    </row>
    <row r="3626" spans="1:14" ht="16" x14ac:dyDescent="0.2">
      <c r="A3626" s="3">
        <v>44414</v>
      </c>
      <c r="B3626" s="1" t="s">
        <v>3740</v>
      </c>
      <c r="C3626" t="s">
        <v>163</v>
      </c>
      <c r="D3626">
        <v>2</v>
      </c>
      <c r="E3626">
        <v>108</v>
      </c>
      <c r="F3626">
        <v>36</v>
      </c>
      <c r="G3626">
        <v>216</v>
      </c>
      <c r="H3626" s="4">
        <v>72</v>
      </c>
      <c r="I3626" s="4">
        <v>144</v>
      </c>
      <c r="J3626" t="s">
        <v>238</v>
      </c>
      <c r="K3626" t="s">
        <v>86</v>
      </c>
      <c r="L3626" s="4">
        <v>14.593670394271927</v>
      </c>
      <c r="M3626" s="1" t="s">
        <v>38</v>
      </c>
      <c r="N3626" s="11">
        <f t="shared" si="56"/>
        <v>5</v>
      </c>
    </row>
    <row r="3627" spans="1:14" ht="16" x14ac:dyDescent="0.2">
      <c r="A3627" s="3">
        <v>44415</v>
      </c>
      <c r="B3627" s="1" t="s">
        <v>904</v>
      </c>
      <c r="C3627" t="s">
        <v>297</v>
      </c>
      <c r="D3627">
        <v>8</v>
      </c>
      <c r="E3627">
        <v>108</v>
      </c>
      <c r="F3627">
        <v>36</v>
      </c>
      <c r="G3627">
        <v>864</v>
      </c>
      <c r="H3627" s="4">
        <v>288</v>
      </c>
      <c r="I3627" s="4">
        <v>576</v>
      </c>
      <c r="J3627" t="s">
        <v>844</v>
      </c>
      <c r="K3627" t="s">
        <v>33</v>
      </c>
      <c r="L3627" s="4">
        <v>11.816654396440285</v>
      </c>
      <c r="M3627" s="1" t="s">
        <v>38</v>
      </c>
      <c r="N3627" s="11">
        <f t="shared" si="56"/>
        <v>5</v>
      </c>
    </row>
    <row r="3628" spans="1:14" ht="16" x14ac:dyDescent="0.2">
      <c r="A3628" s="3">
        <v>44416</v>
      </c>
      <c r="B3628" s="1" t="s">
        <v>3741</v>
      </c>
      <c r="C3628" t="s">
        <v>72</v>
      </c>
      <c r="D3628">
        <v>2</v>
      </c>
      <c r="E3628">
        <v>352</v>
      </c>
      <c r="F3628">
        <v>88</v>
      </c>
      <c r="G3628">
        <v>704</v>
      </c>
      <c r="H3628" s="4">
        <v>176</v>
      </c>
      <c r="I3628" s="4">
        <v>528</v>
      </c>
      <c r="J3628" t="s">
        <v>704</v>
      </c>
      <c r="K3628" t="s">
        <v>86</v>
      </c>
      <c r="L3628" s="4">
        <v>12.699042739101285</v>
      </c>
      <c r="M3628" s="1" t="s">
        <v>34</v>
      </c>
      <c r="N3628" s="11">
        <f t="shared" si="56"/>
        <v>1</v>
      </c>
    </row>
    <row r="3629" spans="1:14" ht="16" x14ac:dyDescent="0.2">
      <c r="A3629" s="3">
        <v>44417</v>
      </c>
      <c r="B3629" s="1" t="s">
        <v>3742</v>
      </c>
      <c r="C3629" t="s">
        <v>185</v>
      </c>
      <c r="D3629">
        <v>11</v>
      </c>
      <c r="E3629">
        <v>146</v>
      </c>
      <c r="F3629">
        <v>73</v>
      </c>
      <c r="G3629">
        <v>1606</v>
      </c>
      <c r="H3629" s="4">
        <v>803</v>
      </c>
      <c r="I3629" s="4">
        <v>803</v>
      </c>
      <c r="J3629" t="s">
        <v>440</v>
      </c>
      <c r="K3629" t="s">
        <v>33</v>
      </c>
      <c r="L3629" s="4">
        <v>10.408704992688252</v>
      </c>
      <c r="M3629" s="1" t="s">
        <v>54</v>
      </c>
      <c r="N3629" s="11">
        <f t="shared" si="56"/>
        <v>10</v>
      </c>
    </row>
    <row r="3630" spans="1:14" ht="16" x14ac:dyDescent="0.2">
      <c r="A3630" s="3">
        <v>44418</v>
      </c>
      <c r="B3630" s="1" t="s">
        <v>1781</v>
      </c>
      <c r="C3630" t="s">
        <v>69</v>
      </c>
      <c r="D3630">
        <v>7</v>
      </c>
      <c r="E3630">
        <v>184</v>
      </c>
      <c r="F3630">
        <v>92</v>
      </c>
      <c r="G3630">
        <v>1288</v>
      </c>
      <c r="H3630" s="4">
        <v>644</v>
      </c>
      <c r="I3630" s="4">
        <v>644</v>
      </c>
      <c r="J3630" t="s">
        <v>205</v>
      </c>
      <c r="K3630" t="s">
        <v>33</v>
      </c>
      <c r="L3630" s="4">
        <v>12.007834550770397</v>
      </c>
      <c r="M3630" s="1" t="s">
        <v>54</v>
      </c>
      <c r="N3630" s="11">
        <f t="shared" si="56"/>
        <v>10</v>
      </c>
    </row>
    <row r="3631" spans="1:14" ht="16" x14ac:dyDescent="0.2">
      <c r="A3631" s="3">
        <v>44419</v>
      </c>
      <c r="B3631" s="1" t="s">
        <v>3743</v>
      </c>
      <c r="C3631" t="s">
        <v>410</v>
      </c>
      <c r="D3631">
        <v>20</v>
      </c>
      <c r="E3631">
        <v>84</v>
      </c>
      <c r="F3631">
        <v>21</v>
      </c>
      <c r="G3631">
        <v>1680</v>
      </c>
      <c r="H3631" s="4">
        <v>420</v>
      </c>
      <c r="I3631" s="4">
        <v>1260</v>
      </c>
      <c r="J3631" t="s">
        <v>455</v>
      </c>
      <c r="K3631" t="s">
        <v>53</v>
      </c>
      <c r="L3631" s="4">
        <v>13.574227261506472</v>
      </c>
      <c r="M3631" s="1" t="s">
        <v>34</v>
      </c>
      <c r="N3631" s="11">
        <f t="shared" si="56"/>
        <v>1</v>
      </c>
    </row>
    <row r="3632" spans="1:14" ht="16" x14ac:dyDescent="0.2">
      <c r="A3632" s="3">
        <v>44420</v>
      </c>
      <c r="B3632" s="1" t="s">
        <v>3744</v>
      </c>
      <c r="C3632" t="s">
        <v>120</v>
      </c>
      <c r="D3632">
        <v>4</v>
      </c>
      <c r="E3632">
        <v>252</v>
      </c>
      <c r="F3632">
        <v>63</v>
      </c>
      <c r="G3632">
        <v>1008</v>
      </c>
      <c r="H3632" s="4">
        <v>252</v>
      </c>
      <c r="I3632" s="4">
        <v>756</v>
      </c>
      <c r="J3632" t="s">
        <v>877</v>
      </c>
      <c r="K3632" t="s">
        <v>49</v>
      </c>
      <c r="L3632" s="4">
        <v>13.275355576494196</v>
      </c>
      <c r="M3632" s="1" t="s">
        <v>38</v>
      </c>
      <c r="N3632" s="11">
        <f t="shared" si="56"/>
        <v>5</v>
      </c>
    </row>
    <row r="3633" spans="1:14" ht="16" x14ac:dyDescent="0.2">
      <c r="A3633" s="3">
        <v>44421</v>
      </c>
      <c r="B3633" s="1" t="s">
        <v>3745</v>
      </c>
      <c r="C3633" t="s">
        <v>101</v>
      </c>
      <c r="D3633">
        <v>19</v>
      </c>
      <c r="E3633">
        <v>50</v>
      </c>
      <c r="F3633">
        <v>25</v>
      </c>
      <c r="G3633">
        <v>950</v>
      </c>
      <c r="H3633" s="4">
        <v>475</v>
      </c>
      <c r="I3633" s="4">
        <v>475</v>
      </c>
      <c r="J3633" t="s">
        <v>882</v>
      </c>
      <c r="K3633" t="s">
        <v>64</v>
      </c>
      <c r="L3633" s="4">
        <v>12.701325659159139</v>
      </c>
      <c r="M3633" s="1" t="s">
        <v>54</v>
      </c>
      <c r="N3633" s="11">
        <f t="shared" si="56"/>
        <v>10</v>
      </c>
    </row>
    <row r="3634" spans="1:14" ht="16" x14ac:dyDescent="0.2">
      <c r="A3634" s="3">
        <v>44422</v>
      </c>
      <c r="B3634" s="1" t="s">
        <v>3746</v>
      </c>
      <c r="C3634" t="s">
        <v>592</v>
      </c>
      <c r="D3634">
        <v>3</v>
      </c>
      <c r="E3634">
        <v>312</v>
      </c>
      <c r="F3634">
        <v>78</v>
      </c>
      <c r="G3634">
        <v>936</v>
      </c>
      <c r="H3634" s="4">
        <v>234</v>
      </c>
      <c r="I3634" s="4">
        <v>702</v>
      </c>
      <c r="J3634" t="s">
        <v>357</v>
      </c>
      <c r="K3634" t="s">
        <v>86</v>
      </c>
      <c r="L3634" s="4">
        <v>11.986565560885863</v>
      </c>
      <c r="M3634" s="1" t="s">
        <v>54</v>
      </c>
      <c r="N3634" s="11">
        <f t="shared" si="56"/>
        <v>10</v>
      </c>
    </row>
    <row r="3635" spans="1:14" ht="16" x14ac:dyDescent="0.2">
      <c r="A3635" s="3">
        <v>44423</v>
      </c>
      <c r="B3635" s="1" t="s">
        <v>3710</v>
      </c>
      <c r="C3635" t="s">
        <v>399</v>
      </c>
      <c r="D3635">
        <v>1</v>
      </c>
      <c r="E3635">
        <v>160</v>
      </c>
      <c r="F3635">
        <v>80</v>
      </c>
      <c r="G3635">
        <v>160</v>
      </c>
      <c r="H3635" s="4">
        <v>80</v>
      </c>
      <c r="I3635" s="4">
        <v>80</v>
      </c>
      <c r="J3635" t="s">
        <v>442</v>
      </c>
      <c r="K3635" t="s">
        <v>58</v>
      </c>
      <c r="L3635" s="4">
        <v>16.429355109701351</v>
      </c>
      <c r="M3635" s="1" t="s">
        <v>54</v>
      </c>
      <c r="N3635" s="11">
        <f t="shared" si="56"/>
        <v>10</v>
      </c>
    </row>
    <row r="3636" spans="1:14" ht="16" x14ac:dyDescent="0.2">
      <c r="A3636" s="3">
        <v>44424</v>
      </c>
      <c r="B3636" s="1" t="s">
        <v>3747</v>
      </c>
      <c r="C3636" t="s">
        <v>779</v>
      </c>
      <c r="D3636">
        <v>8</v>
      </c>
      <c r="E3636">
        <v>120</v>
      </c>
      <c r="F3636">
        <v>30</v>
      </c>
      <c r="G3636">
        <v>960</v>
      </c>
      <c r="H3636" s="4">
        <v>240</v>
      </c>
      <c r="I3636" s="4">
        <v>720</v>
      </c>
      <c r="J3636" t="s">
        <v>815</v>
      </c>
      <c r="K3636" t="s">
        <v>33</v>
      </c>
      <c r="L3636" s="4">
        <v>16.254955391951082</v>
      </c>
      <c r="M3636" s="1" t="s">
        <v>38</v>
      </c>
      <c r="N3636" s="11">
        <f t="shared" si="56"/>
        <v>5</v>
      </c>
    </row>
    <row r="3637" spans="1:14" ht="16" x14ac:dyDescent="0.2">
      <c r="A3637" s="3">
        <v>44425</v>
      </c>
      <c r="B3637" s="1" t="s">
        <v>1614</v>
      </c>
      <c r="C3637" t="s">
        <v>538</v>
      </c>
      <c r="D3637">
        <v>15</v>
      </c>
      <c r="E3637">
        <v>261</v>
      </c>
      <c r="F3637">
        <v>87</v>
      </c>
      <c r="G3637">
        <v>3915</v>
      </c>
      <c r="H3637" s="4">
        <v>1305</v>
      </c>
      <c r="I3637" s="4">
        <v>2610</v>
      </c>
      <c r="J3637" t="s">
        <v>213</v>
      </c>
      <c r="K3637" t="s">
        <v>58</v>
      </c>
      <c r="L3637" s="4">
        <v>10.980884286450312</v>
      </c>
      <c r="M3637" s="1" t="s">
        <v>34</v>
      </c>
      <c r="N3637" s="11">
        <f t="shared" si="56"/>
        <v>1</v>
      </c>
    </row>
    <row r="3638" spans="1:14" ht="16" x14ac:dyDescent="0.2">
      <c r="A3638" s="3">
        <v>44426</v>
      </c>
      <c r="B3638" s="1" t="s">
        <v>3748</v>
      </c>
      <c r="C3638" t="s">
        <v>337</v>
      </c>
      <c r="D3638">
        <v>10</v>
      </c>
      <c r="E3638">
        <v>135</v>
      </c>
      <c r="F3638">
        <v>45</v>
      </c>
      <c r="G3638">
        <v>1350</v>
      </c>
      <c r="H3638" s="4">
        <v>450</v>
      </c>
      <c r="I3638" s="4">
        <v>900</v>
      </c>
      <c r="J3638" t="s">
        <v>137</v>
      </c>
      <c r="K3638" t="s">
        <v>42</v>
      </c>
      <c r="L3638" s="4">
        <v>11.410471033945758</v>
      </c>
      <c r="M3638" s="1" t="s">
        <v>38</v>
      </c>
      <c r="N3638" s="11">
        <f t="shared" si="56"/>
        <v>5</v>
      </c>
    </row>
    <row r="3639" spans="1:14" ht="16" x14ac:dyDescent="0.2">
      <c r="A3639" s="3">
        <v>44427</v>
      </c>
      <c r="B3639" s="1" t="s">
        <v>250</v>
      </c>
      <c r="C3639" t="s">
        <v>317</v>
      </c>
      <c r="D3639">
        <v>12</v>
      </c>
      <c r="E3639">
        <v>352</v>
      </c>
      <c r="F3639">
        <v>88</v>
      </c>
      <c r="G3639">
        <v>4224</v>
      </c>
      <c r="H3639" s="4">
        <v>1056</v>
      </c>
      <c r="I3639" s="4">
        <v>3168</v>
      </c>
      <c r="J3639" t="s">
        <v>485</v>
      </c>
      <c r="K3639" t="s">
        <v>49</v>
      </c>
      <c r="L3639" s="4">
        <v>12.889576147248359</v>
      </c>
      <c r="M3639" s="1" t="s">
        <v>38</v>
      </c>
      <c r="N3639" s="11">
        <f t="shared" si="56"/>
        <v>5</v>
      </c>
    </row>
    <row r="3640" spans="1:14" ht="16" x14ac:dyDescent="0.2">
      <c r="A3640" s="3">
        <v>44428</v>
      </c>
      <c r="B3640" s="1" t="s">
        <v>3749</v>
      </c>
      <c r="C3640" t="s">
        <v>257</v>
      </c>
      <c r="D3640">
        <v>4</v>
      </c>
      <c r="E3640">
        <v>160</v>
      </c>
      <c r="F3640">
        <v>80</v>
      </c>
      <c r="G3640">
        <v>640</v>
      </c>
      <c r="H3640" s="4">
        <v>320</v>
      </c>
      <c r="I3640" s="4">
        <v>320</v>
      </c>
      <c r="J3640" t="s">
        <v>643</v>
      </c>
      <c r="K3640" t="s">
        <v>33</v>
      </c>
      <c r="L3640" s="4">
        <v>12.275875773922367</v>
      </c>
      <c r="M3640" s="1" t="s">
        <v>54</v>
      </c>
      <c r="N3640" s="11">
        <f t="shared" si="56"/>
        <v>10</v>
      </c>
    </row>
    <row r="3641" spans="1:14" ht="16" x14ac:dyDescent="0.2">
      <c r="A3641" s="3">
        <v>44429</v>
      </c>
      <c r="B3641" s="1" t="s">
        <v>1474</v>
      </c>
      <c r="C3641" t="s">
        <v>561</v>
      </c>
      <c r="D3641">
        <v>7</v>
      </c>
      <c r="E3641">
        <v>384</v>
      </c>
      <c r="F3641">
        <v>96</v>
      </c>
      <c r="G3641">
        <v>2688</v>
      </c>
      <c r="H3641" s="4">
        <v>672</v>
      </c>
      <c r="I3641" s="4">
        <v>2016</v>
      </c>
      <c r="J3641" t="s">
        <v>477</v>
      </c>
      <c r="K3641" t="s">
        <v>53</v>
      </c>
      <c r="L3641" s="4">
        <v>14.845213075061906</v>
      </c>
      <c r="M3641" s="1" t="s">
        <v>38</v>
      </c>
      <c r="N3641" s="11">
        <f t="shared" si="56"/>
        <v>5</v>
      </c>
    </row>
    <row r="3642" spans="1:14" ht="16" x14ac:dyDescent="0.2">
      <c r="A3642" s="3">
        <v>44430</v>
      </c>
      <c r="B3642" s="1" t="s">
        <v>3750</v>
      </c>
      <c r="C3642" t="s">
        <v>193</v>
      </c>
      <c r="D3642">
        <v>16</v>
      </c>
      <c r="E3642">
        <v>348</v>
      </c>
      <c r="F3642">
        <v>87</v>
      </c>
      <c r="G3642">
        <v>5568</v>
      </c>
      <c r="H3642" s="4">
        <v>1392</v>
      </c>
      <c r="I3642" s="4">
        <v>4176</v>
      </c>
      <c r="J3642" t="s">
        <v>962</v>
      </c>
      <c r="K3642" t="s">
        <v>86</v>
      </c>
      <c r="L3642" s="4">
        <v>10.968401424454578</v>
      </c>
      <c r="M3642" s="1" t="s">
        <v>38</v>
      </c>
      <c r="N3642" s="11">
        <f t="shared" si="56"/>
        <v>5</v>
      </c>
    </row>
    <row r="3643" spans="1:14" ht="16" x14ac:dyDescent="0.2">
      <c r="A3643" s="3">
        <v>44431</v>
      </c>
      <c r="B3643" s="1" t="s">
        <v>3751</v>
      </c>
      <c r="C3643" t="s">
        <v>215</v>
      </c>
      <c r="D3643">
        <v>16</v>
      </c>
      <c r="E3643">
        <v>176</v>
      </c>
      <c r="F3643">
        <v>88</v>
      </c>
      <c r="G3643">
        <v>2816</v>
      </c>
      <c r="H3643" s="4">
        <v>1408</v>
      </c>
      <c r="I3643" s="4">
        <v>1408</v>
      </c>
      <c r="J3643" t="s">
        <v>613</v>
      </c>
      <c r="K3643" t="s">
        <v>86</v>
      </c>
      <c r="L3643" s="4">
        <v>8.8169309002713945</v>
      </c>
      <c r="M3643" s="1" t="s">
        <v>54</v>
      </c>
      <c r="N3643" s="11">
        <f t="shared" si="56"/>
        <v>10</v>
      </c>
    </row>
    <row r="3644" spans="1:14" ht="16" x14ac:dyDescent="0.2">
      <c r="A3644" s="3">
        <v>44432</v>
      </c>
      <c r="B3644" s="1" t="s">
        <v>233</v>
      </c>
      <c r="C3644" t="s">
        <v>320</v>
      </c>
      <c r="D3644">
        <v>10</v>
      </c>
      <c r="E3644">
        <v>280</v>
      </c>
      <c r="F3644">
        <v>70</v>
      </c>
      <c r="G3644">
        <v>2800</v>
      </c>
      <c r="H3644" s="4">
        <v>700</v>
      </c>
      <c r="I3644" s="4">
        <v>2100</v>
      </c>
      <c r="J3644" t="s">
        <v>345</v>
      </c>
      <c r="K3644" t="s">
        <v>49</v>
      </c>
      <c r="L3644" s="4">
        <v>14.687857652112591</v>
      </c>
      <c r="M3644" s="1" t="s">
        <v>34</v>
      </c>
      <c r="N3644" s="11">
        <f t="shared" si="56"/>
        <v>1</v>
      </c>
    </row>
    <row r="3645" spans="1:14" ht="16" x14ac:dyDescent="0.2">
      <c r="A3645" s="3">
        <v>44433</v>
      </c>
      <c r="B3645" s="1" t="s">
        <v>1707</v>
      </c>
      <c r="C3645" t="s">
        <v>81</v>
      </c>
      <c r="D3645">
        <v>20</v>
      </c>
      <c r="E3645">
        <v>166</v>
      </c>
      <c r="F3645">
        <v>83</v>
      </c>
      <c r="G3645">
        <v>3320</v>
      </c>
      <c r="H3645" s="4">
        <v>1660</v>
      </c>
      <c r="I3645" s="4">
        <v>1660</v>
      </c>
      <c r="J3645" t="s">
        <v>448</v>
      </c>
      <c r="K3645" t="s">
        <v>58</v>
      </c>
      <c r="L3645" s="4">
        <v>15.770846827234339</v>
      </c>
      <c r="M3645" s="1" t="s">
        <v>38</v>
      </c>
      <c r="N3645" s="11">
        <f t="shared" si="56"/>
        <v>5</v>
      </c>
    </row>
    <row r="3646" spans="1:14" ht="16" x14ac:dyDescent="0.2">
      <c r="A3646" s="3">
        <v>44434</v>
      </c>
      <c r="B3646" s="1" t="s">
        <v>3752</v>
      </c>
      <c r="C3646" t="s">
        <v>299</v>
      </c>
      <c r="D3646">
        <v>19</v>
      </c>
      <c r="E3646">
        <v>225</v>
      </c>
      <c r="F3646">
        <v>75</v>
      </c>
      <c r="G3646">
        <v>4275</v>
      </c>
      <c r="H3646" s="4">
        <v>1425</v>
      </c>
      <c r="I3646" s="4">
        <v>2850</v>
      </c>
      <c r="J3646" t="s">
        <v>418</v>
      </c>
      <c r="K3646" t="s">
        <v>42</v>
      </c>
      <c r="L3646" s="4">
        <v>11.644564584314265</v>
      </c>
      <c r="M3646" s="1" t="s">
        <v>38</v>
      </c>
      <c r="N3646" s="11">
        <f t="shared" si="56"/>
        <v>5</v>
      </c>
    </row>
    <row r="3647" spans="1:14" ht="16" x14ac:dyDescent="0.2">
      <c r="A3647" s="3">
        <v>44435</v>
      </c>
      <c r="B3647" s="1" t="s">
        <v>575</v>
      </c>
      <c r="C3647" t="s">
        <v>62</v>
      </c>
      <c r="D3647">
        <v>12</v>
      </c>
      <c r="E3647">
        <v>80</v>
      </c>
      <c r="F3647">
        <v>20</v>
      </c>
      <c r="G3647">
        <v>960</v>
      </c>
      <c r="H3647" s="4">
        <v>240</v>
      </c>
      <c r="I3647" s="4">
        <v>720</v>
      </c>
      <c r="J3647" t="s">
        <v>343</v>
      </c>
      <c r="K3647" t="s">
        <v>42</v>
      </c>
      <c r="L3647" s="4">
        <v>9.8928038181361391</v>
      </c>
      <c r="M3647" s="1" t="s">
        <v>34</v>
      </c>
      <c r="N3647" s="11">
        <f t="shared" si="56"/>
        <v>1</v>
      </c>
    </row>
    <row r="3648" spans="1:14" ht="16" x14ac:dyDescent="0.2">
      <c r="A3648" s="3">
        <v>44436</v>
      </c>
      <c r="B3648" s="1" t="s">
        <v>3753</v>
      </c>
      <c r="C3648" t="s">
        <v>130</v>
      </c>
      <c r="D3648">
        <v>3</v>
      </c>
      <c r="E3648">
        <v>144</v>
      </c>
      <c r="F3648">
        <v>48</v>
      </c>
      <c r="G3648">
        <v>432</v>
      </c>
      <c r="H3648" s="4">
        <v>144</v>
      </c>
      <c r="I3648" s="4">
        <v>288</v>
      </c>
      <c r="J3648" t="s">
        <v>1042</v>
      </c>
      <c r="K3648" t="s">
        <v>58</v>
      </c>
      <c r="L3648" s="4">
        <v>10.588336269016523</v>
      </c>
      <c r="M3648" s="1" t="s">
        <v>38</v>
      </c>
      <c r="N3648" s="11">
        <f t="shared" si="56"/>
        <v>5</v>
      </c>
    </row>
    <row r="3649" spans="1:14" ht="16" x14ac:dyDescent="0.2">
      <c r="A3649" s="3">
        <v>44437</v>
      </c>
      <c r="B3649" s="1" t="s">
        <v>3754</v>
      </c>
      <c r="C3649" t="s">
        <v>88</v>
      </c>
      <c r="D3649">
        <v>12</v>
      </c>
      <c r="E3649">
        <v>210</v>
      </c>
      <c r="F3649">
        <v>70</v>
      </c>
      <c r="G3649">
        <v>2520</v>
      </c>
      <c r="H3649" s="4">
        <v>840</v>
      </c>
      <c r="I3649" s="4">
        <v>1680</v>
      </c>
      <c r="J3649" t="s">
        <v>236</v>
      </c>
      <c r="K3649" t="s">
        <v>53</v>
      </c>
      <c r="L3649" s="4">
        <v>9.3014286057233697</v>
      </c>
      <c r="M3649" s="1" t="s">
        <v>38</v>
      </c>
      <c r="N3649" s="11">
        <f t="shared" si="56"/>
        <v>5</v>
      </c>
    </row>
    <row r="3650" spans="1:14" ht="16" x14ac:dyDescent="0.2">
      <c r="A3650" s="3">
        <v>44438</v>
      </c>
      <c r="B3650" s="1" t="s">
        <v>3755</v>
      </c>
      <c r="C3650" t="s">
        <v>196</v>
      </c>
      <c r="D3650">
        <v>18</v>
      </c>
      <c r="E3650">
        <v>192</v>
      </c>
      <c r="F3650">
        <v>96</v>
      </c>
      <c r="G3650">
        <v>3456</v>
      </c>
      <c r="H3650" s="4">
        <v>1728</v>
      </c>
      <c r="I3650" s="4">
        <v>1728</v>
      </c>
      <c r="J3650" t="s">
        <v>774</v>
      </c>
      <c r="K3650" t="s">
        <v>49</v>
      </c>
      <c r="L3650" s="4">
        <v>13.392447352247808</v>
      </c>
      <c r="M3650" s="1" t="s">
        <v>38</v>
      </c>
      <c r="N3650" s="11">
        <f t="shared" si="56"/>
        <v>5</v>
      </c>
    </row>
    <row r="3651" spans="1:14" ht="16" x14ac:dyDescent="0.2">
      <c r="A3651" s="3">
        <v>44439</v>
      </c>
      <c r="B3651" s="1" t="s">
        <v>3756</v>
      </c>
      <c r="C3651" t="s">
        <v>328</v>
      </c>
      <c r="D3651">
        <v>12</v>
      </c>
      <c r="E3651">
        <v>124</v>
      </c>
      <c r="F3651">
        <v>62</v>
      </c>
      <c r="G3651">
        <v>1488</v>
      </c>
      <c r="H3651" s="4">
        <v>744</v>
      </c>
      <c r="I3651" s="4">
        <v>744</v>
      </c>
      <c r="J3651" t="s">
        <v>234</v>
      </c>
      <c r="K3651" t="s">
        <v>64</v>
      </c>
      <c r="L3651" s="4">
        <v>12.200533931675887</v>
      </c>
      <c r="M3651" s="1" t="s">
        <v>38</v>
      </c>
      <c r="N3651" s="11">
        <f t="shared" ref="N3651:N3714" si="57">+IF(M3651="Dissatisfied",1,IF(M3651="Satisfied",10,5))</f>
        <v>5</v>
      </c>
    </row>
    <row r="3652" spans="1:14" ht="16" x14ac:dyDescent="0.2">
      <c r="A3652" s="3">
        <v>44440</v>
      </c>
      <c r="B3652" s="1" t="s">
        <v>3757</v>
      </c>
      <c r="C3652" t="s">
        <v>301</v>
      </c>
      <c r="D3652">
        <v>4</v>
      </c>
      <c r="E3652">
        <v>188</v>
      </c>
      <c r="F3652">
        <v>94</v>
      </c>
      <c r="G3652">
        <v>752</v>
      </c>
      <c r="H3652" s="4">
        <v>376</v>
      </c>
      <c r="I3652" s="4">
        <v>376</v>
      </c>
      <c r="J3652" t="s">
        <v>221</v>
      </c>
      <c r="K3652" t="s">
        <v>49</v>
      </c>
      <c r="L3652" s="4">
        <v>12.396052160428608</v>
      </c>
      <c r="M3652" s="1" t="s">
        <v>38</v>
      </c>
      <c r="N3652" s="11">
        <f t="shared" si="57"/>
        <v>5</v>
      </c>
    </row>
    <row r="3653" spans="1:14" ht="16" x14ac:dyDescent="0.2">
      <c r="A3653" s="3">
        <v>44441</v>
      </c>
      <c r="B3653" s="1" t="s">
        <v>3758</v>
      </c>
      <c r="C3653" t="s">
        <v>259</v>
      </c>
      <c r="D3653">
        <v>11</v>
      </c>
      <c r="E3653">
        <v>270</v>
      </c>
      <c r="F3653">
        <v>90</v>
      </c>
      <c r="G3653">
        <v>2970</v>
      </c>
      <c r="H3653" s="4">
        <v>990</v>
      </c>
      <c r="I3653" s="4">
        <v>1980</v>
      </c>
      <c r="J3653" t="s">
        <v>189</v>
      </c>
      <c r="K3653" t="s">
        <v>58</v>
      </c>
      <c r="L3653" s="4">
        <v>12.551203838971933</v>
      </c>
      <c r="M3653" s="1" t="s">
        <v>38</v>
      </c>
      <c r="N3653" s="11">
        <f t="shared" si="57"/>
        <v>5</v>
      </c>
    </row>
    <row r="3654" spans="1:14" ht="16" x14ac:dyDescent="0.2">
      <c r="A3654" s="3">
        <v>44442</v>
      </c>
      <c r="B3654" s="1" t="s">
        <v>3759</v>
      </c>
      <c r="C3654" t="s">
        <v>142</v>
      </c>
      <c r="D3654">
        <v>18</v>
      </c>
      <c r="E3654">
        <v>210</v>
      </c>
      <c r="F3654">
        <v>70</v>
      </c>
      <c r="G3654">
        <v>3780</v>
      </c>
      <c r="H3654" s="4">
        <v>1260</v>
      </c>
      <c r="I3654" s="4">
        <v>2520</v>
      </c>
      <c r="J3654" t="s">
        <v>589</v>
      </c>
      <c r="K3654" t="s">
        <v>58</v>
      </c>
      <c r="L3654" s="4">
        <v>12.207242573430314</v>
      </c>
      <c r="M3654" s="1" t="s">
        <v>34</v>
      </c>
      <c r="N3654" s="11">
        <f t="shared" si="57"/>
        <v>1</v>
      </c>
    </row>
    <row r="3655" spans="1:14" ht="16" x14ac:dyDescent="0.2">
      <c r="A3655" s="3">
        <v>44443</v>
      </c>
      <c r="B3655" s="1" t="s">
        <v>3760</v>
      </c>
      <c r="C3655" t="s">
        <v>317</v>
      </c>
      <c r="D3655">
        <v>17</v>
      </c>
      <c r="E3655">
        <v>352</v>
      </c>
      <c r="F3655">
        <v>88</v>
      </c>
      <c r="G3655">
        <v>5984</v>
      </c>
      <c r="H3655" s="4">
        <v>1496</v>
      </c>
      <c r="I3655" s="4">
        <v>4488</v>
      </c>
      <c r="J3655" t="s">
        <v>169</v>
      </c>
      <c r="K3655" t="s">
        <v>33</v>
      </c>
      <c r="L3655" s="4">
        <v>15.121383064708469</v>
      </c>
      <c r="M3655" s="1" t="s">
        <v>54</v>
      </c>
      <c r="N3655" s="11">
        <f t="shared" si="57"/>
        <v>10</v>
      </c>
    </row>
    <row r="3656" spans="1:14" ht="16" x14ac:dyDescent="0.2">
      <c r="A3656" s="3">
        <v>44444</v>
      </c>
      <c r="B3656" s="1" t="s">
        <v>3761</v>
      </c>
      <c r="C3656" t="s">
        <v>320</v>
      </c>
      <c r="D3656">
        <v>14</v>
      </c>
      <c r="E3656">
        <v>280</v>
      </c>
      <c r="F3656">
        <v>70</v>
      </c>
      <c r="G3656">
        <v>3920</v>
      </c>
      <c r="H3656" s="4">
        <v>980</v>
      </c>
      <c r="I3656" s="4">
        <v>2940</v>
      </c>
      <c r="J3656" t="s">
        <v>116</v>
      </c>
      <c r="K3656" t="s">
        <v>64</v>
      </c>
      <c r="L3656" s="4">
        <v>14.697745043716761</v>
      </c>
      <c r="M3656" s="1" t="s">
        <v>34</v>
      </c>
      <c r="N3656" s="11">
        <f t="shared" si="57"/>
        <v>1</v>
      </c>
    </row>
    <row r="3657" spans="1:14" ht="16" x14ac:dyDescent="0.2">
      <c r="A3657" s="3">
        <v>44445</v>
      </c>
      <c r="B3657" s="1" t="s">
        <v>3762</v>
      </c>
      <c r="C3657" t="s">
        <v>201</v>
      </c>
      <c r="D3657">
        <v>5</v>
      </c>
      <c r="E3657">
        <v>30</v>
      </c>
      <c r="F3657">
        <v>15</v>
      </c>
      <c r="G3657">
        <v>150</v>
      </c>
      <c r="H3657" s="4">
        <v>75</v>
      </c>
      <c r="I3657" s="4">
        <v>75</v>
      </c>
      <c r="J3657" t="s">
        <v>1273</v>
      </c>
      <c r="K3657" t="s">
        <v>42</v>
      </c>
      <c r="L3657" s="4">
        <v>12.427459362224146</v>
      </c>
      <c r="M3657" s="1" t="s">
        <v>34</v>
      </c>
      <c r="N3657" s="11">
        <f t="shared" si="57"/>
        <v>1</v>
      </c>
    </row>
    <row r="3658" spans="1:14" ht="16" x14ac:dyDescent="0.2">
      <c r="A3658" s="3">
        <v>44446</v>
      </c>
      <c r="B3658" s="1" t="s">
        <v>3763</v>
      </c>
      <c r="C3658" t="s">
        <v>113</v>
      </c>
      <c r="D3658">
        <v>8</v>
      </c>
      <c r="E3658">
        <v>66</v>
      </c>
      <c r="F3658">
        <v>33</v>
      </c>
      <c r="G3658">
        <v>528</v>
      </c>
      <c r="H3658" s="4">
        <v>264</v>
      </c>
      <c r="I3658" s="4">
        <v>264</v>
      </c>
      <c r="J3658" t="s">
        <v>1068</v>
      </c>
      <c r="K3658" t="s">
        <v>42</v>
      </c>
      <c r="L3658" s="4">
        <v>8.1352386075080023</v>
      </c>
      <c r="M3658" s="1" t="s">
        <v>38</v>
      </c>
      <c r="N3658" s="11">
        <f t="shared" si="57"/>
        <v>5</v>
      </c>
    </row>
    <row r="3659" spans="1:14" ht="16" x14ac:dyDescent="0.2">
      <c r="A3659" s="3">
        <v>44447</v>
      </c>
      <c r="B3659" s="1" t="s">
        <v>3764</v>
      </c>
      <c r="C3659" t="s">
        <v>420</v>
      </c>
      <c r="D3659">
        <v>8</v>
      </c>
      <c r="E3659">
        <v>162</v>
      </c>
      <c r="F3659">
        <v>54</v>
      </c>
      <c r="G3659">
        <v>1296</v>
      </c>
      <c r="H3659" s="4">
        <v>432</v>
      </c>
      <c r="I3659" s="4">
        <v>864</v>
      </c>
      <c r="J3659" t="s">
        <v>958</v>
      </c>
      <c r="K3659" t="s">
        <v>58</v>
      </c>
      <c r="L3659" s="4">
        <v>9.1591412531773226</v>
      </c>
      <c r="M3659" s="1" t="s">
        <v>38</v>
      </c>
      <c r="N3659" s="11">
        <f t="shared" si="57"/>
        <v>5</v>
      </c>
    </row>
    <row r="3660" spans="1:14" ht="16" x14ac:dyDescent="0.2">
      <c r="A3660" s="3">
        <v>44448</v>
      </c>
      <c r="B3660" s="1" t="s">
        <v>3765</v>
      </c>
      <c r="C3660" t="s">
        <v>328</v>
      </c>
      <c r="D3660">
        <v>16</v>
      </c>
      <c r="E3660">
        <v>124</v>
      </c>
      <c r="F3660">
        <v>62</v>
      </c>
      <c r="G3660">
        <v>1984</v>
      </c>
      <c r="H3660" s="4">
        <v>992</v>
      </c>
      <c r="I3660" s="4">
        <v>992</v>
      </c>
      <c r="J3660" t="s">
        <v>1085</v>
      </c>
      <c r="K3660" t="s">
        <v>49</v>
      </c>
      <c r="L3660" s="4">
        <v>10.818241047231139</v>
      </c>
      <c r="M3660" s="1" t="s">
        <v>54</v>
      </c>
      <c r="N3660" s="11">
        <f t="shared" si="57"/>
        <v>10</v>
      </c>
    </row>
    <row r="3661" spans="1:14" ht="16" x14ac:dyDescent="0.2">
      <c r="A3661" s="3">
        <v>44449</v>
      </c>
      <c r="B3661" s="1" t="s">
        <v>3766</v>
      </c>
      <c r="C3661" t="s">
        <v>56</v>
      </c>
      <c r="D3661">
        <v>3</v>
      </c>
      <c r="E3661">
        <v>38</v>
      </c>
      <c r="F3661">
        <v>19</v>
      </c>
      <c r="G3661">
        <v>114</v>
      </c>
      <c r="H3661" s="4">
        <v>57</v>
      </c>
      <c r="I3661" s="4">
        <v>57</v>
      </c>
      <c r="J3661" t="s">
        <v>1085</v>
      </c>
      <c r="K3661" t="s">
        <v>49</v>
      </c>
      <c r="L3661" s="4">
        <v>10.818241047231139</v>
      </c>
      <c r="M3661" s="1" t="s">
        <v>38</v>
      </c>
      <c r="N3661" s="11">
        <f t="shared" si="57"/>
        <v>5</v>
      </c>
    </row>
    <row r="3662" spans="1:14" ht="16" x14ac:dyDescent="0.2">
      <c r="A3662" s="3">
        <v>44450</v>
      </c>
      <c r="B3662" s="1" t="s">
        <v>3767</v>
      </c>
      <c r="C3662" t="s">
        <v>312</v>
      </c>
      <c r="D3662">
        <v>20</v>
      </c>
      <c r="E3662">
        <v>240</v>
      </c>
      <c r="F3662">
        <v>80</v>
      </c>
      <c r="G3662">
        <v>4800</v>
      </c>
      <c r="H3662" s="4">
        <v>1600</v>
      </c>
      <c r="I3662" s="4">
        <v>3200</v>
      </c>
      <c r="J3662" t="s">
        <v>264</v>
      </c>
      <c r="K3662" t="s">
        <v>42</v>
      </c>
      <c r="L3662" s="4">
        <v>12.514998090845811</v>
      </c>
      <c r="M3662" s="1" t="s">
        <v>38</v>
      </c>
      <c r="N3662" s="11">
        <f t="shared" si="57"/>
        <v>5</v>
      </c>
    </row>
    <row r="3663" spans="1:14" ht="16" x14ac:dyDescent="0.2">
      <c r="A3663" s="3">
        <v>44451</v>
      </c>
      <c r="B3663" s="1" t="s">
        <v>3768</v>
      </c>
      <c r="C3663" t="s">
        <v>299</v>
      </c>
      <c r="D3663">
        <v>13</v>
      </c>
      <c r="E3663">
        <v>225</v>
      </c>
      <c r="F3663">
        <v>75</v>
      </c>
      <c r="G3663">
        <v>2925</v>
      </c>
      <c r="H3663" s="4">
        <v>975</v>
      </c>
      <c r="I3663" s="4">
        <v>1950</v>
      </c>
      <c r="J3663" t="s">
        <v>202</v>
      </c>
      <c r="K3663" t="s">
        <v>58</v>
      </c>
      <c r="L3663" s="4">
        <v>13.765798454641494</v>
      </c>
      <c r="M3663" s="1" t="s">
        <v>38</v>
      </c>
      <c r="N3663" s="11">
        <f t="shared" si="57"/>
        <v>5</v>
      </c>
    </row>
    <row r="3664" spans="1:14" ht="16" x14ac:dyDescent="0.2">
      <c r="A3664" s="3">
        <v>44452</v>
      </c>
      <c r="B3664" s="1" t="s">
        <v>3769</v>
      </c>
      <c r="C3664" t="s">
        <v>93</v>
      </c>
      <c r="D3664">
        <v>8</v>
      </c>
      <c r="E3664">
        <v>204</v>
      </c>
      <c r="F3664">
        <v>51</v>
      </c>
      <c r="G3664">
        <v>1632</v>
      </c>
      <c r="H3664" s="4">
        <v>408</v>
      </c>
      <c r="I3664" s="4">
        <v>1224</v>
      </c>
      <c r="J3664" t="s">
        <v>76</v>
      </c>
      <c r="K3664" t="s">
        <v>58</v>
      </c>
      <c r="L3664" s="4">
        <v>9.8384363471888783</v>
      </c>
      <c r="M3664" s="1" t="s">
        <v>34</v>
      </c>
      <c r="N3664" s="11">
        <f t="shared" si="57"/>
        <v>1</v>
      </c>
    </row>
    <row r="3665" spans="1:14" ht="16" x14ac:dyDescent="0.2">
      <c r="A3665" s="3">
        <v>44453</v>
      </c>
      <c r="B3665" s="1" t="s">
        <v>1430</v>
      </c>
      <c r="C3665" t="s">
        <v>139</v>
      </c>
      <c r="D3665">
        <v>10</v>
      </c>
      <c r="E3665">
        <v>320</v>
      </c>
      <c r="F3665">
        <v>80</v>
      </c>
      <c r="G3665">
        <v>3200</v>
      </c>
      <c r="H3665" s="4">
        <v>800</v>
      </c>
      <c r="I3665" s="4">
        <v>2400</v>
      </c>
      <c r="J3665" t="s">
        <v>310</v>
      </c>
      <c r="K3665" t="s">
        <v>58</v>
      </c>
      <c r="L3665" s="4">
        <v>11.03324198943719</v>
      </c>
      <c r="M3665" s="1" t="s">
        <v>54</v>
      </c>
      <c r="N3665" s="11">
        <f t="shared" si="57"/>
        <v>10</v>
      </c>
    </row>
    <row r="3666" spans="1:14" ht="16" x14ac:dyDescent="0.2">
      <c r="A3666" s="3">
        <v>44454</v>
      </c>
      <c r="B3666" s="1" t="s">
        <v>3770</v>
      </c>
      <c r="C3666" t="s">
        <v>185</v>
      </c>
      <c r="D3666">
        <v>5</v>
      </c>
      <c r="E3666">
        <v>146</v>
      </c>
      <c r="F3666">
        <v>73</v>
      </c>
      <c r="G3666">
        <v>730</v>
      </c>
      <c r="H3666" s="4">
        <v>365</v>
      </c>
      <c r="I3666" s="4">
        <v>365</v>
      </c>
      <c r="J3666" t="s">
        <v>318</v>
      </c>
      <c r="K3666" t="s">
        <v>33</v>
      </c>
      <c r="L3666" s="4">
        <v>9.0350666811770921</v>
      </c>
      <c r="M3666" s="1" t="s">
        <v>54</v>
      </c>
      <c r="N3666" s="11">
        <f t="shared" si="57"/>
        <v>10</v>
      </c>
    </row>
    <row r="3667" spans="1:14" ht="16" x14ac:dyDescent="0.2">
      <c r="A3667" s="3">
        <v>44455</v>
      </c>
      <c r="B3667" s="1" t="s">
        <v>3771</v>
      </c>
      <c r="C3667" t="s">
        <v>84</v>
      </c>
      <c r="D3667">
        <v>8</v>
      </c>
      <c r="E3667">
        <v>126</v>
      </c>
      <c r="F3667">
        <v>42</v>
      </c>
      <c r="G3667">
        <v>1008</v>
      </c>
      <c r="H3667" s="4">
        <v>336</v>
      </c>
      <c r="I3667" s="4">
        <v>672</v>
      </c>
      <c r="J3667" t="s">
        <v>70</v>
      </c>
      <c r="K3667" t="s">
        <v>49</v>
      </c>
      <c r="L3667" s="4">
        <v>12.957303170959879</v>
      </c>
      <c r="M3667" s="1" t="s">
        <v>54</v>
      </c>
      <c r="N3667" s="11">
        <f t="shared" si="57"/>
        <v>10</v>
      </c>
    </row>
    <row r="3668" spans="1:14" ht="16" x14ac:dyDescent="0.2">
      <c r="A3668" s="3">
        <v>44456</v>
      </c>
      <c r="B3668" s="1" t="s">
        <v>3772</v>
      </c>
      <c r="C3668" t="s">
        <v>188</v>
      </c>
      <c r="D3668">
        <v>18</v>
      </c>
      <c r="E3668">
        <v>368</v>
      </c>
      <c r="F3668">
        <v>92</v>
      </c>
      <c r="G3668">
        <v>6624</v>
      </c>
      <c r="H3668" s="4">
        <v>1656</v>
      </c>
      <c r="I3668" s="4">
        <v>4968</v>
      </c>
      <c r="J3668" t="s">
        <v>819</v>
      </c>
      <c r="K3668" t="s">
        <v>86</v>
      </c>
      <c r="L3668" s="4">
        <v>12.155895475340943</v>
      </c>
      <c r="M3668" s="1" t="s">
        <v>38</v>
      </c>
      <c r="N3668" s="11">
        <f t="shared" si="57"/>
        <v>5</v>
      </c>
    </row>
    <row r="3669" spans="1:14" ht="16" x14ac:dyDescent="0.2">
      <c r="A3669" s="3">
        <v>44457</v>
      </c>
      <c r="B3669" s="1" t="s">
        <v>3773</v>
      </c>
      <c r="C3669" t="s">
        <v>44</v>
      </c>
      <c r="D3669">
        <v>1</v>
      </c>
      <c r="E3669">
        <v>114</v>
      </c>
      <c r="F3669">
        <v>57</v>
      </c>
      <c r="G3669">
        <v>114</v>
      </c>
      <c r="H3669" s="4">
        <v>57</v>
      </c>
      <c r="I3669" s="4">
        <v>57</v>
      </c>
      <c r="J3669" t="s">
        <v>234</v>
      </c>
      <c r="K3669" t="s">
        <v>64</v>
      </c>
      <c r="L3669" s="4">
        <v>12.200533931675887</v>
      </c>
      <c r="M3669" s="1" t="s">
        <v>34</v>
      </c>
      <c r="N3669" s="11">
        <f t="shared" si="57"/>
        <v>1</v>
      </c>
    </row>
    <row r="3670" spans="1:14" ht="16" x14ac:dyDescent="0.2">
      <c r="A3670" s="3">
        <v>44458</v>
      </c>
      <c r="B3670" s="1" t="s">
        <v>3774</v>
      </c>
      <c r="C3670" t="s">
        <v>243</v>
      </c>
      <c r="D3670">
        <v>8</v>
      </c>
      <c r="E3670">
        <v>90</v>
      </c>
      <c r="F3670">
        <v>45</v>
      </c>
      <c r="G3670">
        <v>720</v>
      </c>
      <c r="H3670" s="4">
        <v>360</v>
      </c>
      <c r="I3670" s="4">
        <v>360</v>
      </c>
      <c r="J3670" t="s">
        <v>371</v>
      </c>
      <c r="K3670" t="s">
        <v>58</v>
      </c>
      <c r="L3670" s="4">
        <v>12.004541523616258</v>
      </c>
      <c r="M3670" s="1" t="s">
        <v>54</v>
      </c>
      <c r="N3670" s="11">
        <f t="shared" si="57"/>
        <v>10</v>
      </c>
    </row>
    <row r="3671" spans="1:14" ht="16" x14ac:dyDescent="0.2">
      <c r="A3671" s="3">
        <v>44459</v>
      </c>
      <c r="B3671" s="1" t="s">
        <v>3775</v>
      </c>
      <c r="C3671" t="s">
        <v>142</v>
      </c>
      <c r="D3671">
        <v>15</v>
      </c>
      <c r="E3671">
        <v>210</v>
      </c>
      <c r="F3671">
        <v>70</v>
      </c>
      <c r="G3671">
        <v>3150</v>
      </c>
      <c r="H3671" s="4">
        <v>1050</v>
      </c>
      <c r="I3671" s="4">
        <v>2100</v>
      </c>
      <c r="J3671" t="s">
        <v>440</v>
      </c>
      <c r="K3671" t="s">
        <v>33</v>
      </c>
      <c r="L3671" s="4">
        <v>10.408704992688252</v>
      </c>
      <c r="M3671" s="1" t="s">
        <v>54</v>
      </c>
      <c r="N3671" s="11">
        <f t="shared" si="57"/>
        <v>10</v>
      </c>
    </row>
    <row r="3672" spans="1:14" ht="16" x14ac:dyDescent="0.2">
      <c r="A3672" s="3">
        <v>44460</v>
      </c>
      <c r="B3672" s="1" t="s">
        <v>170</v>
      </c>
      <c r="C3672" t="s">
        <v>93</v>
      </c>
      <c r="D3672">
        <v>7</v>
      </c>
      <c r="E3672">
        <v>204</v>
      </c>
      <c r="F3672">
        <v>51</v>
      </c>
      <c r="G3672">
        <v>1428</v>
      </c>
      <c r="H3672" s="4">
        <v>357</v>
      </c>
      <c r="I3672" s="4">
        <v>1071</v>
      </c>
      <c r="J3672" t="s">
        <v>689</v>
      </c>
      <c r="K3672" t="s">
        <v>58</v>
      </c>
      <c r="L3672" s="4">
        <v>13.486912834801583</v>
      </c>
      <c r="M3672" s="1" t="s">
        <v>54</v>
      </c>
      <c r="N3672" s="11">
        <f t="shared" si="57"/>
        <v>10</v>
      </c>
    </row>
    <row r="3673" spans="1:14" ht="16" x14ac:dyDescent="0.2">
      <c r="A3673" s="3">
        <v>44461</v>
      </c>
      <c r="B3673" s="1" t="s">
        <v>3776</v>
      </c>
      <c r="C3673" t="s">
        <v>779</v>
      </c>
      <c r="D3673">
        <v>15</v>
      </c>
      <c r="E3673">
        <v>120</v>
      </c>
      <c r="F3673">
        <v>30</v>
      </c>
      <c r="G3673">
        <v>1800</v>
      </c>
      <c r="H3673" s="4">
        <v>450</v>
      </c>
      <c r="I3673" s="4">
        <v>1350</v>
      </c>
      <c r="J3673" t="s">
        <v>754</v>
      </c>
      <c r="K3673" t="s">
        <v>42</v>
      </c>
      <c r="L3673" s="4">
        <v>14.376986923104601</v>
      </c>
      <c r="M3673" s="1" t="s">
        <v>38</v>
      </c>
      <c r="N3673" s="11">
        <f t="shared" si="57"/>
        <v>5</v>
      </c>
    </row>
    <row r="3674" spans="1:14" ht="16" x14ac:dyDescent="0.2">
      <c r="A3674" s="3">
        <v>44462</v>
      </c>
      <c r="B3674" s="1" t="s">
        <v>3777</v>
      </c>
      <c r="C3674" t="s">
        <v>431</v>
      </c>
      <c r="D3674">
        <v>3</v>
      </c>
      <c r="E3674">
        <v>356</v>
      </c>
      <c r="F3674">
        <v>89</v>
      </c>
      <c r="G3674">
        <v>1068</v>
      </c>
      <c r="H3674" s="4">
        <v>267</v>
      </c>
      <c r="I3674" s="4">
        <v>801</v>
      </c>
      <c r="J3674" t="s">
        <v>164</v>
      </c>
      <c r="K3674" t="s">
        <v>86</v>
      </c>
      <c r="L3674" s="4">
        <v>12.452986387489583</v>
      </c>
      <c r="M3674" s="1" t="s">
        <v>54</v>
      </c>
      <c r="N3674" s="11">
        <f t="shared" si="57"/>
        <v>10</v>
      </c>
    </row>
    <row r="3675" spans="1:14" ht="16" x14ac:dyDescent="0.2">
      <c r="A3675" s="3">
        <v>44463</v>
      </c>
      <c r="B3675" s="1" t="s">
        <v>3778</v>
      </c>
      <c r="C3675" t="s">
        <v>391</v>
      </c>
      <c r="D3675">
        <v>1</v>
      </c>
      <c r="E3675">
        <v>72</v>
      </c>
      <c r="F3675">
        <v>36</v>
      </c>
      <c r="G3675">
        <v>72</v>
      </c>
      <c r="H3675" s="4">
        <v>36</v>
      </c>
      <c r="I3675" s="4">
        <v>36</v>
      </c>
      <c r="J3675" t="s">
        <v>681</v>
      </c>
      <c r="K3675" t="s">
        <v>86</v>
      </c>
      <c r="L3675" s="4">
        <v>8.1628930629234038</v>
      </c>
      <c r="M3675" s="1" t="s">
        <v>38</v>
      </c>
      <c r="N3675" s="11">
        <f t="shared" si="57"/>
        <v>5</v>
      </c>
    </row>
    <row r="3676" spans="1:14" ht="16" x14ac:dyDescent="0.2">
      <c r="A3676" s="3">
        <v>44464</v>
      </c>
      <c r="B3676" s="1" t="s">
        <v>3779</v>
      </c>
      <c r="C3676" t="s">
        <v>145</v>
      </c>
      <c r="D3676">
        <v>9</v>
      </c>
      <c r="E3676">
        <v>207</v>
      </c>
      <c r="F3676">
        <v>69</v>
      </c>
      <c r="G3676">
        <v>1863</v>
      </c>
      <c r="H3676" s="4">
        <v>621</v>
      </c>
      <c r="I3676" s="4">
        <v>1242</v>
      </c>
      <c r="J3676" t="s">
        <v>1195</v>
      </c>
      <c r="K3676" t="s">
        <v>33</v>
      </c>
      <c r="L3676" s="4">
        <v>11.971065679104063</v>
      </c>
      <c r="M3676" s="1" t="s">
        <v>54</v>
      </c>
      <c r="N3676" s="11">
        <f t="shared" si="57"/>
        <v>10</v>
      </c>
    </row>
    <row r="3677" spans="1:14" ht="16" x14ac:dyDescent="0.2">
      <c r="A3677" s="3">
        <v>44465</v>
      </c>
      <c r="B3677" s="1" t="s">
        <v>3780</v>
      </c>
      <c r="C3677" t="s">
        <v>561</v>
      </c>
      <c r="D3677">
        <v>18</v>
      </c>
      <c r="E3677">
        <v>384</v>
      </c>
      <c r="F3677">
        <v>96</v>
      </c>
      <c r="G3677">
        <v>6912</v>
      </c>
      <c r="H3677" s="4">
        <v>1728</v>
      </c>
      <c r="I3677" s="4">
        <v>5184</v>
      </c>
      <c r="J3677" t="s">
        <v>277</v>
      </c>
      <c r="K3677" t="s">
        <v>58</v>
      </c>
      <c r="L3677" s="4">
        <v>11.883396013219548</v>
      </c>
      <c r="M3677" s="1" t="s">
        <v>54</v>
      </c>
      <c r="N3677" s="11">
        <f t="shared" si="57"/>
        <v>10</v>
      </c>
    </row>
    <row r="3678" spans="1:14" ht="16" x14ac:dyDescent="0.2">
      <c r="A3678" s="3">
        <v>44466</v>
      </c>
      <c r="B3678" s="1" t="s">
        <v>3781</v>
      </c>
      <c r="C3678" t="s">
        <v>317</v>
      </c>
      <c r="D3678">
        <v>20</v>
      </c>
      <c r="E3678">
        <v>352</v>
      </c>
      <c r="F3678">
        <v>88</v>
      </c>
      <c r="G3678">
        <v>7040</v>
      </c>
      <c r="H3678" s="4">
        <v>1760</v>
      </c>
      <c r="I3678" s="4">
        <v>5280</v>
      </c>
      <c r="J3678" t="s">
        <v>37</v>
      </c>
      <c r="K3678" t="s">
        <v>33</v>
      </c>
      <c r="L3678" s="4">
        <v>13.299525114817991</v>
      </c>
      <c r="M3678" s="1" t="s">
        <v>38</v>
      </c>
      <c r="N3678" s="11">
        <f t="shared" si="57"/>
        <v>5</v>
      </c>
    </row>
    <row r="3679" spans="1:14" ht="16" x14ac:dyDescent="0.2">
      <c r="A3679" s="3">
        <v>44467</v>
      </c>
      <c r="B3679" s="1" t="s">
        <v>3782</v>
      </c>
      <c r="C3679" t="s">
        <v>340</v>
      </c>
      <c r="D3679">
        <v>1</v>
      </c>
      <c r="E3679">
        <v>180</v>
      </c>
      <c r="F3679">
        <v>45</v>
      </c>
      <c r="G3679">
        <v>180</v>
      </c>
      <c r="H3679" s="4">
        <v>45</v>
      </c>
      <c r="I3679" s="4">
        <v>135</v>
      </c>
      <c r="J3679" t="s">
        <v>701</v>
      </c>
      <c r="K3679" t="s">
        <v>42</v>
      </c>
      <c r="L3679" s="4">
        <v>10.434860153112215</v>
      </c>
      <c r="M3679" s="1" t="s">
        <v>38</v>
      </c>
      <c r="N3679" s="11">
        <f t="shared" si="57"/>
        <v>5</v>
      </c>
    </row>
    <row r="3680" spans="1:14" ht="16" x14ac:dyDescent="0.2">
      <c r="A3680" s="3">
        <v>44468</v>
      </c>
      <c r="B3680" s="1" t="s">
        <v>3783</v>
      </c>
      <c r="C3680" t="s">
        <v>44</v>
      </c>
      <c r="D3680">
        <v>4</v>
      </c>
      <c r="E3680">
        <v>114</v>
      </c>
      <c r="F3680">
        <v>57</v>
      </c>
      <c r="G3680">
        <v>456</v>
      </c>
      <c r="H3680" s="4">
        <v>228</v>
      </c>
      <c r="I3680" s="4">
        <v>228</v>
      </c>
      <c r="J3680" t="s">
        <v>767</v>
      </c>
      <c r="K3680" t="s">
        <v>42</v>
      </c>
      <c r="L3680" s="4">
        <v>11.289144410898391</v>
      </c>
      <c r="M3680" s="1" t="s">
        <v>38</v>
      </c>
      <c r="N3680" s="11">
        <f t="shared" si="57"/>
        <v>5</v>
      </c>
    </row>
    <row r="3681" spans="1:14" ht="16" x14ac:dyDescent="0.2">
      <c r="A3681" s="3">
        <v>44469</v>
      </c>
      <c r="B3681" s="1" t="s">
        <v>3784</v>
      </c>
      <c r="C3681" t="s">
        <v>297</v>
      </c>
      <c r="D3681">
        <v>20</v>
      </c>
      <c r="E3681">
        <v>108</v>
      </c>
      <c r="F3681">
        <v>36</v>
      </c>
      <c r="G3681">
        <v>2160</v>
      </c>
      <c r="H3681" s="4">
        <v>720</v>
      </c>
      <c r="I3681" s="4">
        <v>1440</v>
      </c>
      <c r="J3681" t="s">
        <v>923</v>
      </c>
      <c r="K3681" t="s">
        <v>42</v>
      </c>
      <c r="L3681" s="4">
        <v>12.502346728827876</v>
      </c>
      <c r="M3681" s="1" t="s">
        <v>38</v>
      </c>
      <c r="N3681" s="11">
        <f t="shared" si="57"/>
        <v>5</v>
      </c>
    </row>
    <row r="3682" spans="1:14" ht="16" x14ac:dyDescent="0.2">
      <c r="A3682" s="3">
        <v>44470</v>
      </c>
      <c r="B3682" s="1" t="s">
        <v>3785</v>
      </c>
      <c r="C3682" t="s">
        <v>145</v>
      </c>
      <c r="D3682">
        <v>13</v>
      </c>
      <c r="E3682">
        <v>207</v>
      </c>
      <c r="F3682">
        <v>69</v>
      </c>
      <c r="G3682">
        <v>2691</v>
      </c>
      <c r="H3682" s="4">
        <v>897</v>
      </c>
      <c r="I3682" s="4">
        <v>1794</v>
      </c>
      <c r="J3682" t="s">
        <v>471</v>
      </c>
      <c r="K3682" t="s">
        <v>58</v>
      </c>
      <c r="L3682" s="4">
        <v>10.764293826791503</v>
      </c>
      <c r="M3682" s="1" t="s">
        <v>54</v>
      </c>
      <c r="N3682" s="11">
        <f t="shared" si="57"/>
        <v>10</v>
      </c>
    </row>
    <row r="3683" spans="1:14" ht="16" x14ac:dyDescent="0.2">
      <c r="A3683" s="3">
        <v>44471</v>
      </c>
      <c r="B3683" s="1" t="s">
        <v>3786</v>
      </c>
      <c r="C3683" t="s">
        <v>145</v>
      </c>
      <c r="D3683">
        <v>11</v>
      </c>
      <c r="E3683">
        <v>207</v>
      </c>
      <c r="F3683">
        <v>69</v>
      </c>
      <c r="G3683">
        <v>2277</v>
      </c>
      <c r="H3683" s="4">
        <v>759</v>
      </c>
      <c r="I3683" s="4">
        <v>1518</v>
      </c>
      <c r="J3683" t="s">
        <v>183</v>
      </c>
      <c r="K3683" t="s">
        <v>58</v>
      </c>
      <c r="L3683" s="4">
        <v>11.939773463335372</v>
      </c>
      <c r="M3683" s="1" t="s">
        <v>54</v>
      </c>
      <c r="N3683" s="11">
        <f t="shared" si="57"/>
        <v>10</v>
      </c>
    </row>
    <row r="3684" spans="1:14" ht="16" x14ac:dyDescent="0.2">
      <c r="A3684" s="3">
        <v>44472</v>
      </c>
      <c r="B3684" s="1" t="s">
        <v>3787</v>
      </c>
      <c r="C3684" t="s">
        <v>136</v>
      </c>
      <c r="D3684">
        <v>11</v>
      </c>
      <c r="E3684">
        <v>154</v>
      </c>
      <c r="F3684">
        <v>77</v>
      </c>
      <c r="G3684">
        <v>1694</v>
      </c>
      <c r="H3684" s="4">
        <v>847</v>
      </c>
      <c r="I3684" s="4">
        <v>847</v>
      </c>
      <c r="J3684" t="s">
        <v>862</v>
      </c>
      <c r="K3684" t="s">
        <v>58</v>
      </c>
      <c r="L3684" s="4">
        <v>13.827196127590291</v>
      </c>
      <c r="M3684" s="1" t="s">
        <v>38</v>
      </c>
      <c r="N3684" s="11">
        <f t="shared" si="57"/>
        <v>5</v>
      </c>
    </row>
    <row r="3685" spans="1:14" ht="16" x14ac:dyDescent="0.2">
      <c r="A3685" s="3">
        <v>44473</v>
      </c>
      <c r="B3685" s="1" t="s">
        <v>3648</v>
      </c>
      <c r="C3685" t="s">
        <v>255</v>
      </c>
      <c r="D3685">
        <v>16</v>
      </c>
      <c r="E3685">
        <v>140</v>
      </c>
      <c r="F3685">
        <v>70</v>
      </c>
      <c r="G3685">
        <v>2240</v>
      </c>
      <c r="H3685" s="4">
        <v>1120</v>
      </c>
      <c r="I3685" s="4">
        <v>1120</v>
      </c>
      <c r="J3685" t="s">
        <v>181</v>
      </c>
      <c r="K3685" t="s">
        <v>53</v>
      </c>
      <c r="L3685" s="4">
        <v>11.727497850343074</v>
      </c>
      <c r="M3685" s="1" t="s">
        <v>54</v>
      </c>
      <c r="N3685" s="11">
        <f t="shared" si="57"/>
        <v>10</v>
      </c>
    </row>
    <row r="3686" spans="1:14" ht="16" x14ac:dyDescent="0.2">
      <c r="A3686" s="3">
        <v>44474</v>
      </c>
      <c r="B3686" s="1" t="s">
        <v>3788</v>
      </c>
      <c r="C3686" t="s">
        <v>188</v>
      </c>
      <c r="D3686">
        <v>1</v>
      </c>
      <c r="E3686">
        <v>368</v>
      </c>
      <c r="F3686">
        <v>92</v>
      </c>
      <c r="G3686">
        <v>368</v>
      </c>
      <c r="H3686" s="4">
        <v>92</v>
      </c>
      <c r="I3686" s="4">
        <v>276</v>
      </c>
      <c r="J3686" t="s">
        <v>387</v>
      </c>
      <c r="K3686" t="s">
        <v>86</v>
      </c>
      <c r="L3686" s="4">
        <v>15.60430546146185</v>
      </c>
      <c r="M3686" s="1" t="s">
        <v>38</v>
      </c>
      <c r="N3686" s="11">
        <f t="shared" si="57"/>
        <v>5</v>
      </c>
    </row>
    <row r="3687" spans="1:14" ht="16" x14ac:dyDescent="0.2">
      <c r="A3687" s="3">
        <v>44475</v>
      </c>
      <c r="B3687" s="1" t="s">
        <v>3789</v>
      </c>
      <c r="C3687" t="s">
        <v>101</v>
      </c>
      <c r="D3687">
        <v>9</v>
      </c>
      <c r="E3687">
        <v>50</v>
      </c>
      <c r="F3687">
        <v>25</v>
      </c>
      <c r="G3687">
        <v>450</v>
      </c>
      <c r="H3687" s="4">
        <v>225</v>
      </c>
      <c r="I3687" s="4">
        <v>225</v>
      </c>
      <c r="J3687" t="s">
        <v>378</v>
      </c>
      <c r="K3687" t="s">
        <v>53</v>
      </c>
      <c r="L3687" s="4">
        <v>14.423322704129969</v>
      </c>
      <c r="M3687" s="1" t="s">
        <v>38</v>
      </c>
      <c r="N3687" s="11">
        <f t="shared" si="57"/>
        <v>5</v>
      </c>
    </row>
    <row r="3688" spans="1:14" ht="16" x14ac:dyDescent="0.2">
      <c r="A3688" s="3">
        <v>44476</v>
      </c>
      <c r="B3688" s="1" t="s">
        <v>3790</v>
      </c>
      <c r="C3688" t="s">
        <v>299</v>
      </c>
      <c r="D3688">
        <v>2</v>
      </c>
      <c r="E3688">
        <v>225</v>
      </c>
      <c r="F3688">
        <v>75</v>
      </c>
      <c r="G3688">
        <v>450</v>
      </c>
      <c r="H3688" s="4">
        <v>150</v>
      </c>
      <c r="I3688" s="4">
        <v>300</v>
      </c>
      <c r="J3688" t="s">
        <v>155</v>
      </c>
      <c r="K3688" t="s">
        <v>42</v>
      </c>
      <c r="L3688" s="4">
        <v>13.378080355059918</v>
      </c>
      <c r="M3688" s="1" t="s">
        <v>54</v>
      </c>
      <c r="N3688" s="11">
        <f t="shared" si="57"/>
        <v>10</v>
      </c>
    </row>
    <row r="3689" spans="1:14" ht="16" x14ac:dyDescent="0.2">
      <c r="A3689" s="3">
        <v>44477</v>
      </c>
      <c r="B3689" s="1" t="s">
        <v>3791</v>
      </c>
      <c r="C3689" t="s">
        <v>259</v>
      </c>
      <c r="D3689">
        <v>19</v>
      </c>
      <c r="E3689">
        <v>270</v>
      </c>
      <c r="F3689">
        <v>90</v>
      </c>
      <c r="G3689">
        <v>5130</v>
      </c>
      <c r="H3689" s="4">
        <v>1710</v>
      </c>
      <c r="I3689" s="4">
        <v>3420</v>
      </c>
      <c r="J3689" t="s">
        <v>146</v>
      </c>
      <c r="K3689" t="s">
        <v>64</v>
      </c>
      <c r="L3689" s="4">
        <v>12.487915239531313</v>
      </c>
      <c r="M3689" s="1" t="s">
        <v>34</v>
      </c>
      <c r="N3689" s="11">
        <f t="shared" si="57"/>
        <v>1</v>
      </c>
    </row>
    <row r="3690" spans="1:14" ht="16" x14ac:dyDescent="0.2">
      <c r="A3690" s="3">
        <v>44478</v>
      </c>
      <c r="B3690" s="1" t="s">
        <v>3792</v>
      </c>
      <c r="C3690" t="s">
        <v>44</v>
      </c>
      <c r="D3690">
        <v>20</v>
      </c>
      <c r="E3690">
        <v>114</v>
      </c>
      <c r="F3690">
        <v>57</v>
      </c>
      <c r="G3690">
        <v>2280</v>
      </c>
      <c r="H3690" s="4">
        <v>1140</v>
      </c>
      <c r="I3690" s="4">
        <v>1140</v>
      </c>
      <c r="J3690" t="s">
        <v>152</v>
      </c>
      <c r="K3690" t="s">
        <v>33</v>
      </c>
      <c r="L3690" s="4">
        <v>11.749038185128619</v>
      </c>
      <c r="M3690" s="1" t="s">
        <v>38</v>
      </c>
      <c r="N3690" s="11">
        <f t="shared" si="57"/>
        <v>5</v>
      </c>
    </row>
    <row r="3691" spans="1:14" ht="16" x14ac:dyDescent="0.2">
      <c r="A3691" s="3">
        <v>44479</v>
      </c>
      <c r="B3691" s="1" t="s">
        <v>1749</v>
      </c>
      <c r="C3691" t="s">
        <v>91</v>
      </c>
      <c r="D3691">
        <v>2</v>
      </c>
      <c r="E3691">
        <v>300</v>
      </c>
      <c r="F3691">
        <v>75</v>
      </c>
      <c r="G3691">
        <v>600</v>
      </c>
      <c r="H3691" s="4">
        <v>150</v>
      </c>
      <c r="I3691" s="4">
        <v>450</v>
      </c>
      <c r="J3691" t="s">
        <v>1126</v>
      </c>
      <c r="K3691" t="s">
        <v>64</v>
      </c>
      <c r="L3691" s="4">
        <v>11.593991859287692</v>
      </c>
      <c r="M3691" s="1" t="s">
        <v>38</v>
      </c>
      <c r="N3691" s="11">
        <f t="shared" si="57"/>
        <v>5</v>
      </c>
    </row>
    <row r="3692" spans="1:14" ht="16" x14ac:dyDescent="0.2">
      <c r="A3692" s="3">
        <v>44480</v>
      </c>
      <c r="B3692" s="1" t="s">
        <v>3793</v>
      </c>
      <c r="C3692" t="s">
        <v>98</v>
      </c>
      <c r="D3692">
        <v>18</v>
      </c>
      <c r="E3692">
        <v>156</v>
      </c>
      <c r="F3692">
        <v>78</v>
      </c>
      <c r="G3692">
        <v>2808</v>
      </c>
      <c r="H3692" s="4">
        <v>1404</v>
      </c>
      <c r="I3692" s="4">
        <v>1404</v>
      </c>
      <c r="J3692" t="s">
        <v>102</v>
      </c>
      <c r="K3692" t="s">
        <v>49</v>
      </c>
      <c r="L3692" s="4">
        <v>15.12637675023732</v>
      </c>
      <c r="M3692" s="1" t="s">
        <v>54</v>
      </c>
      <c r="N3692" s="11">
        <f t="shared" si="57"/>
        <v>10</v>
      </c>
    </row>
    <row r="3693" spans="1:14" ht="16" x14ac:dyDescent="0.2">
      <c r="A3693" s="3">
        <v>44481</v>
      </c>
      <c r="B3693" s="1" t="s">
        <v>3794</v>
      </c>
      <c r="C3693" t="s">
        <v>142</v>
      </c>
      <c r="D3693">
        <v>5</v>
      </c>
      <c r="E3693">
        <v>210</v>
      </c>
      <c r="F3693">
        <v>70</v>
      </c>
      <c r="G3693">
        <v>1050</v>
      </c>
      <c r="H3693" s="4">
        <v>350</v>
      </c>
      <c r="I3693" s="4">
        <v>700</v>
      </c>
      <c r="J3693" t="s">
        <v>1008</v>
      </c>
      <c r="K3693" t="s">
        <v>58</v>
      </c>
      <c r="L3693" s="4">
        <v>9.9471686551317795</v>
      </c>
      <c r="M3693" s="1" t="s">
        <v>38</v>
      </c>
      <c r="N3693" s="11">
        <f t="shared" si="57"/>
        <v>5</v>
      </c>
    </row>
    <row r="3694" spans="1:14" ht="16" x14ac:dyDescent="0.2">
      <c r="A3694" s="3">
        <v>44482</v>
      </c>
      <c r="B3694" s="1" t="s">
        <v>3771</v>
      </c>
      <c r="C3694" t="s">
        <v>212</v>
      </c>
      <c r="D3694">
        <v>16</v>
      </c>
      <c r="E3694">
        <v>300</v>
      </c>
      <c r="F3694">
        <v>75</v>
      </c>
      <c r="G3694">
        <v>4800</v>
      </c>
      <c r="H3694" s="4">
        <v>1200</v>
      </c>
      <c r="I3694" s="4">
        <v>3600</v>
      </c>
      <c r="J3694" t="s">
        <v>292</v>
      </c>
      <c r="K3694" t="s">
        <v>49</v>
      </c>
      <c r="L3694" s="4">
        <v>11.710935611749917</v>
      </c>
      <c r="M3694" s="1" t="s">
        <v>38</v>
      </c>
      <c r="N3694" s="11">
        <f t="shared" si="57"/>
        <v>5</v>
      </c>
    </row>
    <row r="3695" spans="1:14" ht="16" x14ac:dyDescent="0.2">
      <c r="A3695" s="3">
        <v>44483</v>
      </c>
      <c r="B3695" s="1" t="s">
        <v>3795</v>
      </c>
      <c r="C3695" t="s">
        <v>72</v>
      </c>
      <c r="D3695">
        <v>1</v>
      </c>
      <c r="E3695">
        <v>352</v>
      </c>
      <c r="F3695">
        <v>88</v>
      </c>
      <c r="G3695">
        <v>352</v>
      </c>
      <c r="H3695" s="4">
        <v>88</v>
      </c>
      <c r="I3695" s="4">
        <v>264</v>
      </c>
      <c r="J3695" t="s">
        <v>890</v>
      </c>
      <c r="K3695" t="s">
        <v>86</v>
      </c>
      <c r="L3695" s="4">
        <v>15.856807810268592</v>
      </c>
      <c r="M3695" s="1" t="s">
        <v>34</v>
      </c>
      <c r="N3695" s="11">
        <f t="shared" si="57"/>
        <v>1</v>
      </c>
    </row>
    <row r="3696" spans="1:14" ht="16" x14ac:dyDescent="0.2">
      <c r="A3696" s="3">
        <v>44484</v>
      </c>
      <c r="B3696" s="1" t="s">
        <v>1108</v>
      </c>
      <c r="C3696" t="s">
        <v>160</v>
      </c>
      <c r="D3696">
        <v>15</v>
      </c>
      <c r="E3696">
        <v>132</v>
      </c>
      <c r="F3696">
        <v>33</v>
      </c>
      <c r="G3696">
        <v>1980</v>
      </c>
      <c r="H3696" s="4">
        <v>495</v>
      </c>
      <c r="I3696" s="4">
        <v>1485</v>
      </c>
      <c r="J3696" t="s">
        <v>1560</v>
      </c>
      <c r="K3696" t="s">
        <v>86</v>
      </c>
      <c r="L3696" s="4">
        <v>14.412865837260112</v>
      </c>
      <c r="M3696" s="1" t="s">
        <v>38</v>
      </c>
      <c r="N3696" s="11">
        <f t="shared" si="57"/>
        <v>5</v>
      </c>
    </row>
    <row r="3697" spans="1:14" ht="16" x14ac:dyDescent="0.2">
      <c r="A3697" s="3">
        <v>44485</v>
      </c>
      <c r="B3697" s="1" t="s">
        <v>3796</v>
      </c>
      <c r="C3697" t="s">
        <v>297</v>
      </c>
      <c r="D3697">
        <v>14</v>
      </c>
      <c r="E3697">
        <v>108</v>
      </c>
      <c r="F3697">
        <v>36</v>
      </c>
      <c r="G3697">
        <v>1512</v>
      </c>
      <c r="H3697" s="4">
        <v>504</v>
      </c>
      <c r="I3697" s="4">
        <v>1008</v>
      </c>
      <c r="J3697" t="s">
        <v>1107</v>
      </c>
      <c r="K3697" t="s">
        <v>53</v>
      </c>
      <c r="L3697" s="4">
        <v>10.28240320324797</v>
      </c>
      <c r="M3697" s="1" t="s">
        <v>38</v>
      </c>
      <c r="N3697" s="11">
        <f t="shared" si="57"/>
        <v>5</v>
      </c>
    </row>
    <row r="3698" spans="1:14" ht="16" x14ac:dyDescent="0.2">
      <c r="A3698" s="3">
        <v>44486</v>
      </c>
      <c r="B3698" s="1" t="s">
        <v>2821</v>
      </c>
      <c r="C3698" t="s">
        <v>72</v>
      </c>
      <c r="D3698">
        <v>9</v>
      </c>
      <c r="E3698">
        <v>352</v>
      </c>
      <c r="F3698">
        <v>88</v>
      </c>
      <c r="G3698">
        <v>3168</v>
      </c>
      <c r="H3698" s="4">
        <v>792</v>
      </c>
      <c r="I3698" s="4">
        <v>2376</v>
      </c>
      <c r="J3698" t="s">
        <v>1085</v>
      </c>
      <c r="K3698" t="s">
        <v>49</v>
      </c>
      <c r="L3698" s="4">
        <v>10.818241047231139</v>
      </c>
      <c r="M3698" s="1" t="s">
        <v>38</v>
      </c>
      <c r="N3698" s="11">
        <f t="shared" si="57"/>
        <v>5</v>
      </c>
    </row>
    <row r="3699" spans="1:14" ht="16" x14ac:dyDescent="0.2">
      <c r="A3699" s="3">
        <v>44487</v>
      </c>
      <c r="B3699" s="1" t="s">
        <v>3797</v>
      </c>
      <c r="C3699" t="s">
        <v>196</v>
      </c>
      <c r="D3699">
        <v>13</v>
      </c>
      <c r="E3699">
        <v>192</v>
      </c>
      <c r="F3699">
        <v>96</v>
      </c>
      <c r="G3699">
        <v>2496</v>
      </c>
      <c r="H3699" s="4">
        <v>1248</v>
      </c>
      <c r="I3699" s="4">
        <v>1248</v>
      </c>
      <c r="J3699" t="s">
        <v>555</v>
      </c>
      <c r="K3699" t="s">
        <v>53</v>
      </c>
      <c r="L3699" s="4">
        <v>14.341195386574373</v>
      </c>
      <c r="M3699" s="1" t="s">
        <v>54</v>
      </c>
      <c r="N3699" s="11">
        <f t="shared" si="57"/>
        <v>10</v>
      </c>
    </row>
    <row r="3700" spans="1:14" ht="16" x14ac:dyDescent="0.2">
      <c r="A3700" s="3">
        <v>44488</v>
      </c>
      <c r="B3700" s="1" t="s">
        <v>511</v>
      </c>
      <c r="C3700" t="s">
        <v>301</v>
      </c>
      <c r="D3700">
        <v>14</v>
      </c>
      <c r="E3700">
        <v>188</v>
      </c>
      <c r="F3700">
        <v>94</v>
      </c>
      <c r="G3700">
        <v>2632</v>
      </c>
      <c r="H3700" s="4">
        <v>1316</v>
      </c>
      <c r="I3700" s="4">
        <v>1316</v>
      </c>
      <c r="J3700" t="s">
        <v>380</v>
      </c>
      <c r="K3700" t="s">
        <v>64</v>
      </c>
      <c r="L3700" s="4">
        <v>11.416048240262977</v>
      </c>
      <c r="M3700" s="1" t="s">
        <v>38</v>
      </c>
      <c r="N3700" s="11">
        <f t="shared" si="57"/>
        <v>5</v>
      </c>
    </row>
    <row r="3701" spans="1:14" ht="16" x14ac:dyDescent="0.2">
      <c r="A3701" s="3">
        <v>44489</v>
      </c>
      <c r="B3701" s="1" t="s">
        <v>3798</v>
      </c>
      <c r="C3701" t="s">
        <v>283</v>
      </c>
      <c r="D3701">
        <v>9</v>
      </c>
      <c r="E3701">
        <v>144</v>
      </c>
      <c r="F3701">
        <v>36</v>
      </c>
      <c r="G3701">
        <v>1296</v>
      </c>
      <c r="H3701" s="4">
        <v>324</v>
      </c>
      <c r="I3701" s="4">
        <v>972</v>
      </c>
      <c r="J3701" t="s">
        <v>1223</v>
      </c>
      <c r="K3701" t="s">
        <v>53</v>
      </c>
      <c r="L3701" s="4">
        <v>10.428287009858728</v>
      </c>
      <c r="M3701" s="1" t="s">
        <v>34</v>
      </c>
      <c r="N3701" s="11">
        <f t="shared" si="57"/>
        <v>1</v>
      </c>
    </row>
    <row r="3702" spans="1:14" ht="16" x14ac:dyDescent="0.2">
      <c r="A3702" s="3">
        <v>44490</v>
      </c>
      <c r="B3702" s="1" t="s">
        <v>3799</v>
      </c>
      <c r="C3702" t="s">
        <v>317</v>
      </c>
      <c r="D3702">
        <v>6</v>
      </c>
      <c r="E3702">
        <v>352</v>
      </c>
      <c r="F3702">
        <v>88</v>
      </c>
      <c r="G3702">
        <v>2112</v>
      </c>
      <c r="H3702" s="4">
        <v>528</v>
      </c>
      <c r="I3702" s="4">
        <v>1584</v>
      </c>
      <c r="J3702" t="s">
        <v>856</v>
      </c>
      <c r="K3702" t="s">
        <v>42</v>
      </c>
      <c r="L3702" s="4">
        <v>11.226611755437654</v>
      </c>
      <c r="M3702" s="1" t="s">
        <v>38</v>
      </c>
      <c r="N3702" s="11">
        <f t="shared" si="57"/>
        <v>5</v>
      </c>
    </row>
    <row r="3703" spans="1:14" ht="16" x14ac:dyDescent="0.2">
      <c r="A3703" s="3">
        <v>44491</v>
      </c>
      <c r="B3703" s="1" t="s">
        <v>3800</v>
      </c>
      <c r="C3703" t="s">
        <v>209</v>
      </c>
      <c r="D3703">
        <v>14</v>
      </c>
      <c r="E3703">
        <v>150</v>
      </c>
      <c r="F3703">
        <v>75</v>
      </c>
      <c r="G3703">
        <v>2100</v>
      </c>
      <c r="H3703" s="4">
        <v>1050</v>
      </c>
      <c r="I3703" s="4">
        <v>1050</v>
      </c>
      <c r="J3703" t="s">
        <v>504</v>
      </c>
      <c r="K3703" t="s">
        <v>53</v>
      </c>
      <c r="L3703" s="4">
        <v>12.801144805697081</v>
      </c>
      <c r="M3703" s="1" t="s">
        <v>38</v>
      </c>
      <c r="N3703" s="11">
        <f t="shared" si="57"/>
        <v>5</v>
      </c>
    </row>
    <row r="3704" spans="1:14" ht="16" x14ac:dyDescent="0.2">
      <c r="A3704" s="3">
        <v>44492</v>
      </c>
      <c r="B3704" s="1" t="s">
        <v>3801</v>
      </c>
      <c r="C3704" t="s">
        <v>259</v>
      </c>
      <c r="D3704">
        <v>4</v>
      </c>
      <c r="E3704">
        <v>270</v>
      </c>
      <c r="F3704">
        <v>90</v>
      </c>
      <c r="G3704">
        <v>1080</v>
      </c>
      <c r="H3704" s="4">
        <v>360</v>
      </c>
      <c r="I3704" s="4">
        <v>720</v>
      </c>
      <c r="J3704" t="s">
        <v>413</v>
      </c>
      <c r="K3704" t="s">
        <v>64</v>
      </c>
      <c r="L3704" s="4">
        <v>12.682358648534777</v>
      </c>
      <c r="M3704" s="1" t="s">
        <v>38</v>
      </c>
      <c r="N3704" s="11">
        <f t="shared" si="57"/>
        <v>5</v>
      </c>
    </row>
    <row r="3705" spans="1:14" ht="16" x14ac:dyDescent="0.2">
      <c r="A3705" s="3">
        <v>44493</v>
      </c>
      <c r="B3705" s="1" t="s">
        <v>3802</v>
      </c>
      <c r="C3705" t="s">
        <v>185</v>
      </c>
      <c r="D3705">
        <v>6</v>
      </c>
      <c r="E3705">
        <v>146</v>
      </c>
      <c r="F3705">
        <v>73</v>
      </c>
      <c r="G3705">
        <v>876</v>
      </c>
      <c r="H3705" s="4">
        <v>438</v>
      </c>
      <c r="I3705" s="4">
        <v>438</v>
      </c>
      <c r="J3705" t="s">
        <v>701</v>
      </c>
      <c r="K3705" t="s">
        <v>42</v>
      </c>
      <c r="L3705" s="4">
        <v>10.434860153112215</v>
      </c>
      <c r="M3705" s="1" t="s">
        <v>38</v>
      </c>
      <c r="N3705" s="11">
        <f t="shared" si="57"/>
        <v>5</v>
      </c>
    </row>
    <row r="3706" spans="1:14" ht="16" x14ac:dyDescent="0.2">
      <c r="A3706" s="3">
        <v>44494</v>
      </c>
      <c r="B3706" s="1" t="s">
        <v>3803</v>
      </c>
      <c r="C3706" t="s">
        <v>425</v>
      </c>
      <c r="D3706">
        <v>17</v>
      </c>
      <c r="E3706">
        <v>352</v>
      </c>
      <c r="F3706">
        <v>88</v>
      </c>
      <c r="G3706">
        <v>5984</v>
      </c>
      <c r="H3706" s="4">
        <v>1496</v>
      </c>
      <c r="I3706" s="4">
        <v>4488</v>
      </c>
      <c r="J3706" t="s">
        <v>416</v>
      </c>
      <c r="K3706" t="s">
        <v>58</v>
      </c>
      <c r="L3706" s="4">
        <v>12.399050786131125</v>
      </c>
      <c r="M3706" s="1" t="s">
        <v>54</v>
      </c>
      <c r="N3706" s="11">
        <f t="shared" si="57"/>
        <v>10</v>
      </c>
    </row>
    <row r="3707" spans="1:14" ht="16" x14ac:dyDescent="0.2">
      <c r="A3707" s="3">
        <v>44495</v>
      </c>
      <c r="B3707" s="1" t="s">
        <v>3804</v>
      </c>
      <c r="C3707" t="s">
        <v>394</v>
      </c>
      <c r="D3707">
        <v>5</v>
      </c>
      <c r="E3707">
        <v>58</v>
      </c>
      <c r="F3707">
        <v>29</v>
      </c>
      <c r="G3707">
        <v>290</v>
      </c>
      <c r="H3707" s="4">
        <v>145</v>
      </c>
      <c r="I3707" s="4">
        <v>145</v>
      </c>
      <c r="J3707" t="s">
        <v>232</v>
      </c>
      <c r="K3707" t="s">
        <v>86</v>
      </c>
      <c r="L3707" s="4">
        <v>11.346510807401776</v>
      </c>
      <c r="M3707" s="1" t="s">
        <v>38</v>
      </c>
      <c r="N3707" s="11">
        <f t="shared" si="57"/>
        <v>5</v>
      </c>
    </row>
    <row r="3708" spans="1:14" ht="16" x14ac:dyDescent="0.2">
      <c r="A3708" s="3">
        <v>44496</v>
      </c>
      <c r="B3708" s="1" t="s">
        <v>3805</v>
      </c>
      <c r="C3708" t="s">
        <v>788</v>
      </c>
      <c r="D3708">
        <v>10</v>
      </c>
      <c r="E3708">
        <v>100</v>
      </c>
      <c r="F3708">
        <v>25</v>
      </c>
      <c r="G3708">
        <v>1000</v>
      </c>
      <c r="H3708" s="4">
        <v>250</v>
      </c>
      <c r="I3708" s="4">
        <v>750</v>
      </c>
      <c r="J3708" t="s">
        <v>613</v>
      </c>
      <c r="K3708" t="s">
        <v>86</v>
      </c>
      <c r="L3708" s="4">
        <v>8.8169309002713945</v>
      </c>
      <c r="M3708" s="1" t="s">
        <v>38</v>
      </c>
      <c r="N3708" s="11">
        <f t="shared" si="57"/>
        <v>5</v>
      </c>
    </row>
    <row r="3709" spans="1:14" ht="16" x14ac:dyDescent="0.2">
      <c r="A3709" s="3">
        <v>44497</v>
      </c>
      <c r="B3709" s="1" t="s">
        <v>3806</v>
      </c>
      <c r="C3709" t="s">
        <v>779</v>
      </c>
      <c r="D3709">
        <v>2</v>
      </c>
      <c r="E3709">
        <v>120</v>
      </c>
      <c r="F3709">
        <v>30</v>
      </c>
      <c r="G3709">
        <v>240</v>
      </c>
      <c r="H3709" s="4">
        <v>60</v>
      </c>
      <c r="I3709" s="4">
        <v>180</v>
      </c>
      <c r="J3709" t="s">
        <v>41</v>
      </c>
      <c r="K3709" t="s">
        <v>42</v>
      </c>
      <c r="L3709" s="4">
        <v>9.3226775515721787</v>
      </c>
      <c r="M3709" s="1" t="s">
        <v>38</v>
      </c>
      <c r="N3709" s="11">
        <f t="shared" si="57"/>
        <v>5</v>
      </c>
    </row>
    <row r="3710" spans="1:14" ht="16" x14ac:dyDescent="0.2">
      <c r="A3710" s="3">
        <v>44498</v>
      </c>
      <c r="B3710" s="1" t="s">
        <v>3807</v>
      </c>
      <c r="C3710" t="s">
        <v>370</v>
      </c>
      <c r="D3710">
        <v>9</v>
      </c>
      <c r="E3710">
        <v>144</v>
      </c>
      <c r="F3710">
        <v>36</v>
      </c>
      <c r="G3710">
        <v>1296</v>
      </c>
      <c r="H3710" s="4">
        <v>324</v>
      </c>
      <c r="I3710" s="4">
        <v>972</v>
      </c>
      <c r="J3710" t="s">
        <v>689</v>
      </c>
      <c r="K3710" t="s">
        <v>58</v>
      </c>
      <c r="L3710" s="4">
        <v>13.486912834801583</v>
      </c>
      <c r="M3710" s="1" t="s">
        <v>38</v>
      </c>
      <c r="N3710" s="11">
        <f t="shared" si="57"/>
        <v>5</v>
      </c>
    </row>
    <row r="3711" spans="1:14" ht="16" x14ac:dyDescent="0.2">
      <c r="A3711" s="3">
        <v>44499</v>
      </c>
      <c r="B3711" s="1" t="s">
        <v>3808</v>
      </c>
      <c r="C3711" t="s">
        <v>125</v>
      </c>
      <c r="D3711">
        <v>16</v>
      </c>
      <c r="E3711">
        <v>176</v>
      </c>
      <c r="F3711">
        <v>88</v>
      </c>
      <c r="G3711">
        <v>2816</v>
      </c>
      <c r="H3711" s="4">
        <v>1408</v>
      </c>
      <c r="I3711" s="4">
        <v>1408</v>
      </c>
      <c r="J3711" t="s">
        <v>123</v>
      </c>
      <c r="K3711" t="s">
        <v>53</v>
      </c>
      <c r="L3711" s="4">
        <v>10.42743035829395</v>
      </c>
      <c r="M3711" s="1" t="s">
        <v>38</v>
      </c>
      <c r="N3711" s="11">
        <f t="shared" si="57"/>
        <v>5</v>
      </c>
    </row>
    <row r="3712" spans="1:14" ht="16" x14ac:dyDescent="0.2">
      <c r="A3712" s="3">
        <v>44500</v>
      </c>
      <c r="B3712" s="1" t="s">
        <v>3786</v>
      </c>
      <c r="C3712" t="s">
        <v>370</v>
      </c>
      <c r="D3712">
        <v>16</v>
      </c>
      <c r="E3712">
        <v>144</v>
      </c>
      <c r="F3712">
        <v>36</v>
      </c>
      <c r="G3712">
        <v>2304</v>
      </c>
      <c r="H3712" s="4">
        <v>576</v>
      </c>
      <c r="I3712" s="4">
        <v>1728</v>
      </c>
      <c r="J3712" t="s">
        <v>73</v>
      </c>
      <c r="K3712" t="s">
        <v>58</v>
      </c>
      <c r="L3712" s="4">
        <v>8.2871811249429097</v>
      </c>
      <c r="M3712" s="1" t="s">
        <v>54</v>
      </c>
      <c r="N3712" s="11">
        <f t="shared" si="57"/>
        <v>10</v>
      </c>
    </row>
    <row r="3713" spans="1:14" ht="16" x14ac:dyDescent="0.2">
      <c r="A3713" s="3">
        <v>44501</v>
      </c>
      <c r="B3713" s="1" t="s">
        <v>3809</v>
      </c>
      <c r="C3713" t="s">
        <v>40</v>
      </c>
      <c r="D3713">
        <v>11</v>
      </c>
      <c r="E3713">
        <v>46</v>
      </c>
      <c r="F3713">
        <v>23</v>
      </c>
      <c r="G3713">
        <v>506</v>
      </c>
      <c r="H3713" s="4">
        <v>253</v>
      </c>
      <c r="I3713" s="4">
        <v>253</v>
      </c>
      <c r="J3713" t="s">
        <v>1401</v>
      </c>
      <c r="K3713" t="s">
        <v>58</v>
      </c>
      <c r="L3713" s="4">
        <v>11.0700865530371</v>
      </c>
      <c r="M3713" s="1" t="s">
        <v>38</v>
      </c>
      <c r="N3713" s="11">
        <f t="shared" si="57"/>
        <v>5</v>
      </c>
    </row>
    <row r="3714" spans="1:14" ht="16" x14ac:dyDescent="0.2">
      <c r="A3714" s="3">
        <v>44502</v>
      </c>
      <c r="B3714" s="1" t="s">
        <v>3810</v>
      </c>
      <c r="C3714" t="s">
        <v>130</v>
      </c>
      <c r="D3714">
        <v>6</v>
      </c>
      <c r="E3714">
        <v>144</v>
      </c>
      <c r="F3714">
        <v>48</v>
      </c>
      <c r="G3714">
        <v>864</v>
      </c>
      <c r="H3714" s="4">
        <v>288</v>
      </c>
      <c r="I3714" s="4">
        <v>576</v>
      </c>
      <c r="J3714" t="s">
        <v>567</v>
      </c>
      <c r="K3714" t="s">
        <v>49</v>
      </c>
      <c r="L3714" s="4">
        <v>12.147202500273634</v>
      </c>
      <c r="M3714" s="1" t="s">
        <v>38</v>
      </c>
      <c r="N3714" s="11">
        <f t="shared" si="57"/>
        <v>5</v>
      </c>
    </row>
    <row r="3715" spans="1:14" ht="16" x14ac:dyDescent="0.2">
      <c r="A3715" s="3">
        <v>44503</v>
      </c>
      <c r="B3715" s="1" t="s">
        <v>3811</v>
      </c>
      <c r="C3715" t="s">
        <v>91</v>
      </c>
      <c r="D3715">
        <v>7</v>
      </c>
      <c r="E3715">
        <v>300</v>
      </c>
      <c r="F3715">
        <v>75</v>
      </c>
      <c r="G3715">
        <v>2100</v>
      </c>
      <c r="H3715" s="4">
        <v>525</v>
      </c>
      <c r="I3715" s="4">
        <v>1575</v>
      </c>
      <c r="J3715" t="s">
        <v>411</v>
      </c>
      <c r="K3715" t="s">
        <v>64</v>
      </c>
      <c r="L3715" s="4">
        <v>13.115597690631557</v>
      </c>
      <c r="M3715" s="1" t="s">
        <v>54</v>
      </c>
      <c r="N3715" s="11">
        <f t="shared" ref="N3715:N3778" si="58">+IF(M3715="Dissatisfied",1,IF(M3715="Satisfied",10,5))</f>
        <v>10</v>
      </c>
    </row>
    <row r="3716" spans="1:14" ht="16" x14ac:dyDescent="0.2">
      <c r="A3716" s="3">
        <v>44504</v>
      </c>
      <c r="B3716" s="1" t="s">
        <v>3812</v>
      </c>
      <c r="C3716" t="s">
        <v>188</v>
      </c>
      <c r="D3716">
        <v>13</v>
      </c>
      <c r="E3716">
        <v>368</v>
      </c>
      <c r="F3716">
        <v>92</v>
      </c>
      <c r="G3716">
        <v>4784</v>
      </c>
      <c r="H3716" s="4">
        <v>1196</v>
      </c>
      <c r="I3716" s="4">
        <v>3588</v>
      </c>
      <c r="J3716" t="s">
        <v>910</v>
      </c>
      <c r="K3716" t="s">
        <v>58</v>
      </c>
      <c r="L3716" s="4">
        <v>11.78346750250795</v>
      </c>
      <c r="M3716" s="1" t="s">
        <v>34</v>
      </c>
      <c r="N3716" s="11">
        <f t="shared" si="58"/>
        <v>1</v>
      </c>
    </row>
    <row r="3717" spans="1:14" ht="16" x14ac:dyDescent="0.2">
      <c r="A3717" s="3">
        <v>44505</v>
      </c>
      <c r="B3717" s="1" t="s">
        <v>3813</v>
      </c>
      <c r="C3717" t="s">
        <v>81</v>
      </c>
      <c r="D3717">
        <v>12</v>
      </c>
      <c r="E3717">
        <v>166</v>
      </c>
      <c r="F3717">
        <v>83</v>
      </c>
      <c r="G3717">
        <v>1992</v>
      </c>
      <c r="H3717" s="4">
        <v>996</v>
      </c>
      <c r="I3717" s="4">
        <v>996</v>
      </c>
      <c r="J3717" t="s">
        <v>244</v>
      </c>
      <c r="K3717" t="s">
        <v>86</v>
      </c>
      <c r="L3717" s="4">
        <v>15.458859683514467</v>
      </c>
      <c r="M3717" s="1" t="s">
        <v>38</v>
      </c>
      <c r="N3717" s="11">
        <f t="shared" si="58"/>
        <v>5</v>
      </c>
    </row>
    <row r="3718" spans="1:14" ht="16" x14ac:dyDescent="0.2">
      <c r="A3718" s="3">
        <v>44506</v>
      </c>
      <c r="B3718" s="1" t="s">
        <v>3814</v>
      </c>
      <c r="C3718" t="s">
        <v>62</v>
      </c>
      <c r="D3718">
        <v>3</v>
      </c>
      <c r="E3718">
        <v>80</v>
      </c>
      <c r="F3718">
        <v>20</v>
      </c>
      <c r="G3718">
        <v>240</v>
      </c>
      <c r="H3718" s="4">
        <v>60</v>
      </c>
      <c r="I3718" s="4">
        <v>180</v>
      </c>
      <c r="J3718" t="s">
        <v>1129</v>
      </c>
      <c r="K3718" t="s">
        <v>33</v>
      </c>
      <c r="L3718" s="4">
        <v>10.585251392347548</v>
      </c>
      <c r="M3718" s="1" t="s">
        <v>38</v>
      </c>
      <c r="N3718" s="11">
        <f t="shared" si="58"/>
        <v>5</v>
      </c>
    </row>
    <row r="3719" spans="1:14" ht="16" x14ac:dyDescent="0.2">
      <c r="A3719" s="3">
        <v>44507</v>
      </c>
      <c r="B3719" s="1" t="s">
        <v>3815</v>
      </c>
      <c r="C3719" t="s">
        <v>209</v>
      </c>
      <c r="D3719">
        <v>15</v>
      </c>
      <c r="E3719">
        <v>150</v>
      </c>
      <c r="F3719">
        <v>75</v>
      </c>
      <c r="G3719">
        <v>2250</v>
      </c>
      <c r="H3719" s="4">
        <v>1125</v>
      </c>
      <c r="I3719" s="4">
        <v>1125</v>
      </c>
      <c r="J3719" t="s">
        <v>482</v>
      </c>
      <c r="K3719" t="s">
        <v>42</v>
      </c>
      <c r="L3719" s="4">
        <v>11.311040680082275</v>
      </c>
      <c r="M3719" s="1" t="s">
        <v>38</v>
      </c>
      <c r="N3719" s="11">
        <f t="shared" si="58"/>
        <v>5</v>
      </c>
    </row>
    <row r="3720" spans="1:14" ht="16" x14ac:dyDescent="0.2">
      <c r="A3720" s="3">
        <v>44508</v>
      </c>
      <c r="B3720" s="1" t="s">
        <v>1033</v>
      </c>
      <c r="C3720" t="s">
        <v>301</v>
      </c>
      <c r="D3720">
        <v>18</v>
      </c>
      <c r="E3720">
        <v>188</v>
      </c>
      <c r="F3720">
        <v>94</v>
      </c>
      <c r="G3720">
        <v>3384</v>
      </c>
      <c r="H3720" s="4">
        <v>1692</v>
      </c>
      <c r="I3720" s="4">
        <v>1692</v>
      </c>
      <c r="J3720" t="s">
        <v>555</v>
      </c>
      <c r="K3720" t="s">
        <v>53</v>
      </c>
      <c r="L3720" s="4">
        <v>14.341195386574373</v>
      </c>
      <c r="M3720" s="1" t="s">
        <v>54</v>
      </c>
      <c r="N3720" s="11">
        <f t="shared" si="58"/>
        <v>10</v>
      </c>
    </row>
    <row r="3721" spans="1:14" ht="16" x14ac:dyDescent="0.2">
      <c r="A3721" s="3">
        <v>44509</v>
      </c>
      <c r="B3721" s="1" t="s">
        <v>3816</v>
      </c>
      <c r="C3721" t="s">
        <v>779</v>
      </c>
      <c r="D3721">
        <v>4</v>
      </c>
      <c r="E3721">
        <v>120</v>
      </c>
      <c r="F3721">
        <v>30</v>
      </c>
      <c r="G3721">
        <v>480</v>
      </c>
      <c r="H3721" s="4">
        <v>120</v>
      </c>
      <c r="I3721" s="4">
        <v>360</v>
      </c>
      <c r="J3721" t="s">
        <v>37</v>
      </c>
      <c r="K3721" t="s">
        <v>33</v>
      </c>
      <c r="L3721" s="4">
        <v>13.299525114817991</v>
      </c>
      <c r="M3721" s="1" t="s">
        <v>54</v>
      </c>
      <c r="N3721" s="11">
        <f t="shared" si="58"/>
        <v>10</v>
      </c>
    </row>
    <row r="3722" spans="1:14" ht="16" x14ac:dyDescent="0.2">
      <c r="A3722" s="3">
        <v>44510</v>
      </c>
      <c r="B3722" s="1" t="s">
        <v>3817</v>
      </c>
      <c r="C3722" t="s">
        <v>320</v>
      </c>
      <c r="D3722">
        <v>14</v>
      </c>
      <c r="E3722">
        <v>280</v>
      </c>
      <c r="F3722">
        <v>70</v>
      </c>
      <c r="G3722">
        <v>3920</v>
      </c>
      <c r="H3722" s="4">
        <v>980</v>
      </c>
      <c r="I3722" s="4">
        <v>2940</v>
      </c>
      <c r="J3722" t="s">
        <v>70</v>
      </c>
      <c r="K3722" t="s">
        <v>49</v>
      </c>
      <c r="L3722" s="4">
        <v>12.957303170959879</v>
      </c>
      <c r="M3722" s="1" t="s">
        <v>34</v>
      </c>
      <c r="N3722" s="11">
        <f t="shared" si="58"/>
        <v>1</v>
      </c>
    </row>
    <row r="3723" spans="1:14" ht="16" x14ac:dyDescent="0.2">
      <c r="A3723" s="3">
        <v>44511</v>
      </c>
      <c r="B3723" s="1" t="s">
        <v>3818</v>
      </c>
      <c r="C3723" t="s">
        <v>312</v>
      </c>
      <c r="D3723">
        <v>13</v>
      </c>
      <c r="E3723">
        <v>240</v>
      </c>
      <c r="F3723">
        <v>80</v>
      </c>
      <c r="G3723">
        <v>3120</v>
      </c>
      <c r="H3723" s="4">
        <v>1040</v>
      </c>
      <c r="I3723" s="4">
        <v>2080</v>
      </c>
      <c r="J3723" t="s">
        <v>569</v>
      </c>
      <c r="K3723" t="s">
        <v>33</v>
      </c>
      <c r="L3723" s="4">
        <v>12.921682080641304</v>
      </c>
      <c r="M3723" s="1" t="s">
        <v>38</v>
      </c>
      <c r="N3723" s="11">
        <f t="shared" si="58"/>
        <v>5</v>
      </c>
    </row>
    <row r="3724" spans="1:14" ht="16" x14ac:dyDescent="0.2">
      <c r="A3724" s="3">
        <v>44512</v>
      </c>
      <c r="B3724" s="1" t="s">
        <v>3819</v>
      </c>
      <c r="C3724" t="s">
        <v>297</v>
      </c>
      <c r="D3724">
        <v>4</v>
      </c>
      <c r="E3724">
        <v>108</v>
      </c>
      <c r="F3724">
        <v>36</v>
      </c>
      <c r="G3724">
        <v>432</v>
      </c>
      <c r="H3724" s="4">
        <v>144</v>
      </c>
      <c r="I3724" s="4">
        <v>288</v>
      </c>
      <c r="J3724" t="s">
        <v>1379</v>
      </c>
      <c r="K3724" t="s">
        <v>86</v>
      </c>
      <c r="L3724" s="4">
        <v>14.157909724393564</v>
      </c>
      <c r="M3724" s="1" t="s">
        <v>38</v>
      </c>
      <c r="N3724" s="11">
        <f t="shared" si="58"/>
        <v>5</v>
      </c>
    </row>
    <row r="3725" spans="1:14" ht="16" x14ac:dyDescent="0.2">
      <c r="A3725" s="3">
        <v>44513</v>
      </c>
      <c r="B3725" s="1" t="s">
        <v>3820</v>
      </c>
      <c r="C3725" t="s">
        <v>72</v>
      </c>
      <c r="D3725">
        <v>1</v>
      </c>
      <c r="E3725">
        <v>352</v>
      </c>
      <c r="F3725">
        <v>88</v>
      </c>
      <c r="G3725">
        <v>352</v>
      </c>
      <c r="H3725" s="4">
        <v>88</v>
      </c>
      <c r="I3725" s="4">
        <v>264</v>
      </c>
      <c r="J3725" t="s">
        <v>440</v>
      </c>
      <c r="K3725" t="s">
        <v>33</v>
      </c>
      <c r="L3725" s="4">
        <v>10.408704992688252</v>
      </c>
      <c r="M3725" s="1" t="s">
        <v>38</v>
      </c>
      <c r="N3725" s="11">
        <f t="shared" si="58"/>
        <v>5</v>
      </c>
    </row>
    <row r="3726" spans="1:14" ht="16" x14ac:dyDescent="0.2">
      <c r="A3726" s="3">
        <v>44514</v>
      </c>
      <c r="B3726" s="1" t="s">
        <v>2491</v>
      </c>
      <c r="C3726" t="s">
        <v>40</v>
      </c>
      <c r="D3726">
        <v>4</v>
      </c>
      <c r="E3726">
        <v>46</v>
      </c>
      <c r="F3726">
        <v>23</v>
      </c>
      <c r="G3726">
        <v>184</v>
      </c>
      <c r="H3726" s="4">
        <v>92</v>
      </c>
      <c r="I3726" s="4">
        <v>92</v>
      </c>
      <c r="J3726" t="s">
        <v>686</v>
      </c>
      <c r="K3726" t="s">
        <v>86</v>
      </c>
      <c r="L3726" s="4">
        <v>8.1595626482464514</v>
      </c>
      <c r="M3726" s="1" t="s">
        <v>38</v>
      </c>
      <c r="N3726" s="11">
        <f t="shared" si="58"/>
        <v>5</v>
      </c>
    </row>
    <row r="3727" spans="1:14" ht="16" x14ac:dyDescent="0.2">
      <c r="A3727" s="3">
        <v>44515</v>
      </c>
      <c r="B3727" s="1" t="s">
        <v>3821</v>
      </c>
      <c r="C3727" t="s">
        <v>227</v>
      </c>
      <c r="D3727">
        <v>2</v>
      </c>
      <c r="E3727">
        <v>144</v>
      </c>
      <c r="F3727">
        <v>48</v>
      </c>
      <c r="G3727">
        <v>288</v>
      </c>
      <c r="H3727" s="4">
        <v>96</v>
      </c>
      <c r="I3727" s="4">
        <v>192</v>
      </c>
      <c r="J3727" t="s">
        <v>453</v>
      </c>
      <c r="K3727" t="s">
        <v>42</v>
      </c>
      <c r="L3727" s="4">
        <v>13.104576594826185</v>
      </c>
      <c r="M3727" s="1" t="s">
        <v>34</v>
      </c>
      <c r="N3727" s="11">
        <f t="shared" si="58"/>
        <v>1</v>
      </c>
    </row>
    <row r="3728" spans="1:14" ht="16" x14ac:dyDescent="0.2">
      <c r="A3728" s="3">
        <v>44516</v>
      </c>
      <c r="B3728" s="1" t="s">
        <v>2326</v>
      </c>
      <c r="C3728" t="s">
        <v>93</v>
      </c>
      <c r="D3728">
        <v>2</v>
      </c>
      <c r="E3728">
        <v>204</v>
      </c>
      <c r="F3728">
        <v>51</v>
      </c>
      <c r="G3728">
        <v>408</v>
      </c>
      <c r="H3728" s="4">
        <v>102</v>
      </c>
      <c r="I3728" s="4">
        <v>306</v>
      </c>
      <c r="J3728" t="s">
        <v>1085</v>
      </c>
      <c r="K3728" t="s">
        <v>49</v>
      </c>
      <c r="L3728" s="4">
        <v>10.818241047231139</v>
      </c>
      <c r="M3728" s="1" t="s">
        <v>34</v>
      </c>
      <c r="N3728" s="11">
        <f t="shared" si="58"/>
        <v>1</v>
      </c>
    </row>
    <row r="3729" spans="1:14" ht="16" x14ac:dyDescent="0.2">
      <c r="A3729" s="3">
        <v>44517</v>
      </c>
      <c r="B3729" s="1" t="s">
        <v>3822</v>
      </c>
      <c r="C3729" t="s">
        <v>259</v>
      </c>
      <c r="D3729">
        <v>14</v>
      </c>
      <c r="E3729">
        <v>270</v>
      </c>
      <c r="F3729">
        <v>90</v>
      </c>
      <c r="G3729">
        <v>3780</v>
      </c>
      <c r="H3729" s="4">
        <v>1260</v>
      </c>
      <c r="I3729" s="4">
        <v>2520</v>
      </c>
      <c r="J3729" t="s">
        <v>82</v>
      </c>
      <c r="K3729" t="s">
        <v>58</v>
      </c>
      <c r="L3729" s="4">
        <v>13.45980057156361</v>
      </c>
      <c r="M3729" s="1" t="s">
        <v>34</v>
      </c>
      <c r="N3729" s="11">
        <f t="shared" si="58"/>
        <v>1</v>
      </c>
    </row>
    <row r="3730" spans="1:14" ht="16" x14ac:dyDescent="0.2">
      <c r="A3730" s="3">
        <v>44518</v>
      </c>
      <c r="B3730" s="1" t="s">
        <v>3823</v>
      </c>
      <c r="C3730" t="s">
        <v>547</v>
      </c>
      <c r="D3730">
        <v>5</v>
      </c>
      <c r="E3730">
        <v>300</v>
      </c>
      <c r="F3730">
        <v>75</v>
      </c>
      <c r="G3730">
        <v>1500</v>
      </c>
      <c r="H3730" s="4">
        <v>375</v>
      </c>
      <c r="I3730" s="4">
        <v>1125</v>
      </c>
      <c r="J3730" t="s">
        <v>466</v>
      </c>
      <c r="K3730" t="s">
        <v>49</v>
      </c>
      <c r="L3730" s="4">
        <v>16.368863536738775</v>
      </c>
      <c r="M3730" s="1" t="s">
        <v>38</v>
      </c>
      <c r="N3730" s="11">
        <f t="shared" si="58"/>
        <v>5</v>
      </c>
    </row>
    <row r="3731" spans="1:14" ht="16" x14ac:dyDescent="0.2">
      <c r="A3731" s="3">
        <v>44519</v>
      </c>
      <c r="B3731" s="1" t="s">
        <v>1658</v>
      </c>
      <c r="C3731" t="s">
        <v>288</v>
      </c>
      <c r="D3731">
        <v>12</v>
      </c>
      <c r="E3731">
        <v>48</v>
      </c>
      <c r="F3731">
        <v>24</v>
      </c>
      <c r="G3731">
        <v>576</v>
      </c>
      <c r="H3731" s="4">
        <v>288</v>
      </c>
      <c r="I3731" s="4">
        <v>288</v>
      </c>
      <c r="J3731" t="s">
        <v>384</v>
      </c>
      <c r="K3731" t="s">
        <v>33</v>
      </c>
      <c r="L3731" s="4">
        <v>11.687634894637348</v>
      </c>
      <c r="M3731" s="1" t="s">
        <v>38</v>
      </c>
      <c r="N3731" s="11">
        <f t="shared" si="58"/>
        <v>5</v>
      </c>
    </row>
    <row r="3732" spans="1:14" ht="16" x14ac:dyDescent="0.2">
      <c r="A3732" s="3">
        <v>44520</v>
      </c>
      <c r="B3732" s="1" t="s">
        <v>3824</v>
      </c>
      <c r="C3732" t="s">
        <v>44</v>
      </c>
      <c r="D3732">
        <v>16</v>
      </c>
      <c r="E3732">
        <v>114</v>
      </c>
      <c r="F3732">
        <v>57</v>
      </c>
      <c r="G3732">
        <v>1824</v>
      </c>
      <c r="H3732" s="4">
        <v>912</v>
      </c>
      <c r="I3732" s="4">
        <v>912</v>
      </c>
      <c r="J3732" t="s">
        <v>281</v>
      </c>
      <c r="K3732" t="s">
        <v>33</v>
      </c>
      <c r="L3732" s="4">
        <v>11.428575823958646</v>
      </c>
      <c r="M3732" s="1" t="s">
        <v>54</v>
      </c>
      <c r="N3732" s="11">
        <f t="shared" si="58"/>
        <v>10</v>
      </c>
    </row>
    <row r="3733" spans="1:14" ht="16" x14ac:dyDescent="0.2">
      <c r="A3733" s="3">
        <v>44521</v>
      </c>
      <c r="B3733" s="1" t="s">
        <v>884</v>
      </c>
      <c r="C3733" t="s">
        <v>503</v>
      </c>
      <c r="D3733">
        <v>16</v>
      </c>
      <c r="E3733">
        <v>50</v>
      </c>
      <c r="F3733">
        <v>25</v>
      </c>
      <c r="G3733">
        <v>800</v>
      </c>
      <c r="H3733" s="4">
        <v>400</v>
      </c>
      <c r="I3733" s="4">
        <v>400</v>
      </c>
      <c r="J3733" t="s">
        <v>616</v>
      </c>
      <c r="K3733" t="s">
        <v>49</v>
      </c>
      <c r="L3733" s="4">
        <v>13.466362789017223</v>
      </c>
      <c r="M3733" s="1" t="s">
        <v>34</v>
      </c>
      <c r="N3733" s="11">
        <f t="shared" si="58"/>
        <v>1</v>
      </c>
    </row>
    <row r="3734" spans="1:14" ht="16" x14ac:dyDescent="0.2">
      <c r="A3734" s="3">
        <v>44522</v>
      </c>
      <c r="B3734" s="1" t="s">
        <v>3825</v>
      </c>
      <c r="C3734" t="s">
        <v>36</v>
      </c>
      <c r="D3734">
        <v>13</v>
      </c>
      <c r="E3734">
        <v>102</v>
      </c>
      <c r="F3734">
        <v>51</v>
      </c>
      <c r="G3734">
        <v>1326</v>
      </c>
      <c r="H3734" s="4">
        <v>663</v>
      </c>
      <c r="I3734" s="4">
        <v>663</v>
      </c>
      <c r="J3734" t="s">
        <v>380</v>
      </c>
      <c r="K3734" t="s">
        <v>64</v>
      </c>
      <c r="L3734" s="4">
        <v>11.416048240262977</v>
      </c>
      <c r="M3734" s="1" t="s">
        <v>54</v>
      </c>
      <c r="N3734" s="11">
        <f t="shared" si="58"/>
        <v>10</v>
      </c>
    </row>
    <row r="3735" spans="1:14" ht="16" x14ac:dyDescent="0.2">
      <c r="A3735" s="3">
        <v>44523</v>
      </c>
      <c r="B3735" s="1" t="s">
        <v>3826</v>
      </c>
      <c r="C3735" t="s">
        <v>337</v>
      </c>
      <c r="D3735">
        <v>4</v>
      </c>
      <c r="E3735">
        <v>135</v>
      </c>
      <c r="F3735">
        <v>45</v>
      </c>
      <c r="G3735">
        <v>540</v>
      </c>
      <c r="H3735" s="4">
        <v>180</v>
      </c>
      <c r="I3735" s="4">
        <v>360</v>
      </c>
      <c r="J3735" t="s">
        <v>569</v>
      </c>
      <c r="K3735" t="s">
        <v>33</v>
      </c>
      <c r="L3735" s="4">
        <v>12.921682080641304</v>
      </c>
      <c r="M3735" s="1" t="s">
        <v>54</v>
      </c>
      <c r="N3735" s="11">
        <f t="shared" si="58"/>
        <v>10</v>
      </c>
    </row>
    <row r="3736" spans="1:14" ht="16" x14ac:dyDescent="0.2">
      <c r="A3736" s="3">
        <v>44524</v>
      </c>
      <c r="B3736" s="1" t="s">
        <v>3827</v>
      </c>
      <c r="C3736" t="s">
        <v>391</v>
      </c>
      <c r="D3736">
        <v>17</v>
      </c>
      <c r="E3736">
        <v>72</v>
      </c>
      <c r="F3736">
        <v>36</v>
      </c>
      <c r="G3736">
        <v>1224</v>
      </c>
      <c r="H3736" s="4">
        <v>612</v>
      </c>
      <c r="I3736" s="4">
        <v>612</v>
      </c>
      <c r="J3736" t="s">
        <v>335</v>
      </c>
      <c r="K3736" t="s">
        <v>53</v>
      </c>
      <c r="L3736" s="4">
        <v>12.148236977735172</v>
      </c>
      <c r="M3736" s="1" t="s">
        <v>54</v>
      </c>
      <c r="N3736" s="11">
        <f t="shared" si="58"/>
        <v>10</v>
      </c>
    </row>
    <row r="3737" spans="1:14" ht="16" x14ac:dyDescent="0.2">
      <c r="A3737" s="3">
        <v>44525</v>
      </c>
      <c r="B3737" s="1" t="s">
        <v>3828</v>
      </c>
      <c r="C3737" t="s">
        <v>98</v>
      </c>
      <c r="D3737">
        <v>13</v>
      </c>
      <c r="E3737">
        <v>156</v>
      </c>
      <c r="F3737">
        <v>78</v>
      </c>
      <c r="G3737">
        <v>2028</v>
      </c>
      <c r="H3737" s="4">
        <v>1014</v>
      </c>
      <c r="I3737" s="4">
        <v>1014</v>
      </c>
      <c r="J3737" t="s">
        <v>189</v>
      </c>
      <c r="K3737" t="s">
        <v>58</v>
      </c>
      <c r="L3737" s="4">
        <v>12.551203838971933</v>
      </c>
      <c r="M3737" s="1" t="s">
        <v>38</v>
      </c>
      <c r="N3737" s="11">
        <f t="shared" si="58"/>
        <v>5</v>
      </c>
    </row>
    <row r="3738" spans="1:14" ht="16" x14ac:dyDescent="0.2">
      <c r="A3738" s="3">
        <v>44526</v>
      </c>
      <c r="B3738" s="1" t="s">
        <v>945</v>
      </c>
      <c r="C3738" t="s">
        <v>779</v>
      </c>
      <c r="D3738">
        <v>19</v>
      </c>
      <c r="E3738">
        <v>120</v>
      </c>
      <c r="F3738">
        <v>30</v>
      </c>
      <c r="G3738">
        <v>2280</v>
      </c>
      <c r="H3738" s="4">
        <v>570</v>
      </c>
      <c r="I3738" s="4">
        <v>1710</v>
      </c>
      <c r="J3738" t="s">
        <v>455</v>
      </c>
      <c r="K3738" t="s">
        <v>53</v>
      </c>
      <c r="L3738" s="4">
        <v>13.574227261506472</v>
      </c>
      <c r="M3738" s="1" t="s">
        <v>38</v>
      </c>
      <c r="N3738" s="11">
        <f t="shared" si="58"/>
        <v>5</v>
      </c>
    </row>
    <row r="3739" spans="1:14" ht="16" x14ac:dyDescent="0.2">
      <c r="A3739" s="3">
        <v>44527</v>
      </c>
      <c r="B3739" s="1" t="s">
        <v>3829</v>
      </c>
      <c r="C3739" t="s">
        <v>399</v>
      </c>
      <c r="D3739">
        <v>8</v>
      </c>
      <c r="E3739">
        <v>160</v>
      </c>
      <c r="F3739">
        <v>80</v>
      </c>
      <c r="G3739">
        <v>1280</v>
      </c>
      <c r="H3739" s="4">
        <v>640</v>
      </c>
      <c r="I3739" s="4">
        <v>640</v>
      </c>
      <c r="J3739" t="s">
        <v>281</v>
      </c>
      <c r="K3739" t="s">
        <v>33</v>
      </c>
      <c r="L3739" s="4">
        <v>11.428575823958646</v>
      </c>
      <c r="M3739" s="1" t="s">
        <v>34</v>
      </c>
      <c r="N3739" s="11">
        <f t="shared" si="58"/>
        <v>1</v>
      </c>
    </row>
    <row r="3740" spans="1:14" ht="16" x14ac:dyDescent="0.2">
      <c r="A3740" s="3">
        <v>44528</v>
      </c>
      <c r="B3740" s="1" t="s">
        <v>3830</v>
      </c>
      <c r="C3740" t="s">
        <v>81</v>
      </c>
      <c r="D3740">
        <v>8</v>
      </c>
      <c r="E3740">
        <v>166</v>
      </c>
      <c r="F3740">
        <v>83</v>
      </c>
      <c r="G3740">
        <v>1328</v>
      </c>
      <c r="H3740" s="4">
        <v>664</v>
      </c>
      <c r="I3740" s="4">
        <v>664</v>
      </c>
      <c r="J3740" t="s">
        <v>707</v>
      </c>
      <c r="K3740" t="s">
        <v>49</v>
      </c>
      <c r="L3740" s="4">
        <v>11.779256317174871</v>
      </c>
      <c r="M3740" s="1" t="s">
        <v>54</v>
      </c>
      <c r="N3740" s="11">
        <f t="shared" si="58"/>
        <v>10</v>
      </c>
    </row>
    <row r="3741" spans="1:14" ht="16" x14ac:dyDescent="0.2">
      <c r="A3741" s="3">
        <v>44529</v>
      </c>
      <c r="B3741" s="1" t="s">
        <v>3831</v>
      </c>
      <c r="C3741" t="s">
        <v>425</v>
      </c>
      <c r="D3741">
        <v>3</v>
      </c>
      <c r="E3741">
        <v>352</v>
      </c>
      <c r="F3741">
        <v>88</v>
      </c>
      <c r="G3741">
        <v>1056</v>
      </c>
      <c r="H3741" s="4">
        <v>264</v>
      </c>
      <c r="I3741" s="4">
        <v>792</v>
      </c>
      <c r="J3741" t="s">
        <v>348</v>
      </c>
      <c r="K3741" t="s">
        <v>42</v>
      </c>
      <c r="L3741" s="4">
        <v>11.769293993029555</v>
      </c>
      <c r="M3741" s="1" t="s">
        <v>54</v>
      </c>
      <c r="N3741" s="11">
        <f t="shared" si="58"/>
        <v>10</v>
      </c>
    </row>
    <row r="3742" spans="1:14" ht="16" x14ac:dyDescent="0.2">
      <c r="A3742" s="3">
        <v>44530</v>
      </c>
      <c r="B3742" s="1" t="s">
        <v>486</v>
      </c>
      <c r="C3742" t="s">
        <v>304</v>
      </c>
      <c r="D3742">
        <v>4</v>
      </c>
      <c r="E3742">
        <v>116</v>
      </c>
      <c r="F3742">
        <v>29</v>
      </c>
      <c r="G3742">
        <v>464</v>
      </c>
      <c r="H3742" s="4">
        <v>116</v>
      </c>
      <c r="I3742" s="4">
        <v>348</v>
      </c>
      <c r="J3742" t="s">
        <v>879</v>
      </c>
      <c r="K3742" t="s">
        <v>42</v>
      </c>
      <c r="L3742" s="4">
        <v>12.37474961859551</v>
      </c>
      <c r="M3742" s="1" t="s">
        <v>38</v>
      </c>
      <c r="N3742" s="11">
        <f t="shared" si="58"/>
        <v>5</v>
      </c>
    </row>
    <row r="3743" spans="1:14" ht="16" x14ac:dyDescent="0.2">
      <c r="A3743" s="3">
        <v>44531</v>
      </c>
      <c r="B3743" s="1" t="s">
        <v>3832</v>
      </c>
      <c r="C3743" t="s">
        <v>204</v>
      </c>
      <c r="D3743">
        <v>8</v>
      </c>
      <c r="E3743">
        <v>57</v>
      </c>
      <c r="F3743">
        <v>19</v>
      </c>
      <c r="G3743">
        <v>456</v>
      </c>
      <c r="H3743" s="4">
        <v>152</v>
      </c>
      <c r="I3743" s="4">
        <v>304</v>
      </c>
      <c r="J3743" t="s">
        <v>643</v>
      </c>
      <c r="K3743" t="s">
        <v>33</v>
      </c>
      <c r="L3743" s="4">
        <v>12.275875773922367</v>
      </c>
      <c r="M3743" s="1" t="s">
        <v>54</v>
      </c>
      <c r="N3743" s="11">
        <f t="shared" si="58"/>
        <v>10</v>
      </c>
    </row>
    <row r="3744" spans="1:14" ht="16" x14ac:dyDescent="0.2">
      <c r="A3744" s="3">
        <v>44532</v>
      </c>
      <c r="B3744" s="1" t="s">
        <v>3833</v>
      </c>
      <c r="C3744" t="s">
        <v>561</v>
      </c>
      <c r="D3744">
        <v>13</v>
      </c>
      <c r="E3744">
        <v>384</v>
      </c>
      <c r="F3744">
        <v>96</v>
      </c>
      <c r="G3744">
        <v>4992</v>
      </c>
      <c r="H3744" s="4">
        <v>1248</v>
      </c>
      <c r="I3744" s="4">
        <v>3744</v>
      </c>
      <c r="J3744" t="s">
        <v>401</v>
      </c>
      <c r="K3744" t="s">
        <v>58</v>
      </c>
      <c r="L3744" s="4">
        <v>11.394777319422785</v>
      </c>
      <c r="M3744" s="1" t="s">
        <v>34</v>
      </c>
      <c r="N3744" s="11">
        <f t="shared" si="58"/>
        <v>1</v>
      </c>
    </row>
    <row r="3745" spans="1:14" ht="16" x14ac:dyDescent="0.2">
      <c r="A3745" s="3">
        <v>44533</v>
      </c>
      <c r="B3745" s="1" t="s">
        <v>3834</v>
      </c>
      <c r="C3745" t="s">
        <v>115</v>
      </c>
      <c r="D3745">
        <v>9</v>
      </c>
      <c r="E3745">
        <v>81</v>
      </c>
      <c r="F3745">
        <v>27</v>
      </c>
      <c r="G3745">
        <v>729</v>
      </c>
      <c r="H3745" s="4">
        <v>243</v>
      </c>
      <c r="I3745" s="4">
        <v>486</v>
      </c>
      <c r="J3745" t="s">
        <v>1202</v>
      </c>
      <c r="K3745" t="s">
        <v>58</v>
      </c>
      <c r="L3745" s="4">
        <v>10.524491192521829</v>
      </c>
      <c r="M3745" s="1" t="s">
        <v>54</v>
      </c>
      <c r="N3745" s="11">
        <f t="shared" si="58"/>
        <v>10</v>
      </c>
    </row>
    <row r="3746" spans="1:14" ht="16" x14ac:dyDescent="0.2">
      <c r="A3746" s="3">
        <v>44534</v>
      </c>
      <c r="B3746" s="1" t="s">
        <v>3835</v>
      </c>
      <c r="C3746" t="s">
        <v>218</v>
      </c>
      <c r="D3746">
        <v>20</v>
      </c>
      <c r="E3746">
        <v>264</v>
      </c>
      <c r="F3746">
        <v>88</v>
      </c>
      <c r="G3746">
        <v>5280</v>
      </c>
      <c r="H3746" s="4">
        <v>1760</v>
      </c>
      <c r="I3746" s="4">
        <v>3520</v>
      </c>
      <c r="J3746" t="s">
        <v>89</v>
      </c>
      <c r="K3746" t="s">
        <v>64</v>
      </c>
      <c r="L3746" s="4">
        <v>12.865074657680612</v>
      </c>
      <c r="M3746" s="1" t="s">
        <v>38</v>
      </c>
      <c r="N3746" s="11">
        <f t="shared" si="58"/>
        <v>5</v>
      </c>
    </row>
    <row r="3747" spans="1:14" ht="16" x14ac:dyDescent="0.2">
      <c r="A3747" s="3">
        <v>44535</v>
      </c>
      <c r="B3747" s="1" t="s">
        <v>3836</v>
      </c>
      <c r="C3747" t="s">
        <v>81</v>
      </c>
      <c r="D3747">
        <v>15</v>
      </c>
      <c r="E3747">
        <v>166</v>
      </c>
      <c r="F3747">
        <v>83</v>
      </c>
      <c r="G3747">
        <v>2490</v>
      </c>
      <c r="H3747" s="4">
        <v>1245</v>
      </c>
      <c r="I3747" s="4">
        <v>1245</v>
      </c>
      <c r="J3747" t="s">
        <v>274</v>
      </c>
      <c r="K3747" t="s">
        <v>86</v>
      </c>
      <c r="L3747" s="4">
        <v>9.821882845934784</v>
      </c>
      <c r="M3747" s="1" t="s">
        <v>38</v>
      </c>
      <c r="N3747" s="11">
        <f t="shared" si="58"/>
        <v>5</v>
      </c>
    </row>
    <row r="3748" spans="1:14" ht="16" x14ac:dyDescent="0.2">
      <c r="A3748" s="3">
        <v>44536</v>
      </c>
      <c r="B3748" s="1" t="s">
        <v>3837</v>
      </c>
      <c r="C3748" t="s">
        <v>93</v>
      </c>
      <c r="D3748">
        <v>10</v>
      </c>
      <c r="E3748">
        <v>204</v>
      </c>
      <c r="F3748">
        <v>51</v>
      </c>
      <c r="G3748">
        <v>2040</v>
      </c>
      <c r="H3748" s="4">
        <v>510</v>
      </c>
      <c r="I3748" s="4">
        <v>1530</v>
      </c>
      <c r="J3748" t="s">
        <v>205</v>
      </c>
      <c r="K3748" t="s">
        <v>33</v>
      </c>
      <c r="L3748" s="4">
        <v>12.007834550770397</v>
      </c>
      <c r="M3748" s="1" t="s">
        <v>38</v>
      </c>
      <c r="N3748" s="11">
        <f t="shared" si="58"/>
        <v>5</v>
      </c>
    </row>
    <row r="3749" spans="1:14" ht="16" x14ac:dyDescent="0.2">
      <c r="A3749" s="3">
        <v>44537</v>
      </c>
      <c r="B3749" s="1" t="s">
        <v>3838</v>
      </c>
      <c r="C3749" t="s">
        <v>125</v>
      </c>
      <c r="D3749">
        <v>18</v>
      </c>
      <c r="E3749">
        <v>176</v>
      </c>
      <c r="F3749">
        <v>88</v>
      </c>
      <c r="G3749">
        <v>3168</v>
      </c>
      <c r="H3749" s="4">
        <v>1584</v>
      </c>
      <c r="I3749" s="4">
        <v>1584</v>
      </c>
      <c r="J3749" t="s">
        <v>474</v>
      </c>
      <c r="K3749" t="s">
        <v>33</v>
      </c>
      <c r="L3749" s="4">
        <v>9.629298039722805</v>
      </c>
      <c r="M3749" s="1" t="s">
        <v>54</v>
      </c>
      <c r="N3749" s="11">
        <f t="shared" si="58"/>
        <v>10</v>
      </c>
    </row>
    <row r="3750" spans="1:14" ht="16" x14ac:dyDescent="0.2">
      <c r="A3750" s="3">
        <v>44538</v>
      </c>
      <c r="B3750" s="1" t="s">
        <v>3697</v>
      </c>
      <c r="C3750" t="s">
        <v>425</v>
      </c>
      <c r="D3750">
        <v>8</v>
      </c>
      <c r="E3750">
        <v>352</v>
      </c>
      <c r="F3750">
        <v>88</v>
      </c>
      <c r="G3750">
        <v>2816</v>
      </c>
      <c r="H3750" s="4">
        <v>704</v>
      </c>
      <c r="I3750" s="4">
        <v>2112</v>
      </c>
      <c r="J3750" t="s">
        <v>660</v>
      </c>
      <c r="K3750" t="s">
        <v>86</v>
      </c>
      <c r="L3750" s="4">
        <v>10.163794912095831</v>
      </c>
      <c r="M3750" s="1" t="s">
        <v>54</v>
      </c>
      <c r="N3750" s="11">
        <f t="shared" si="58"/>
        <v>10</v>
      </c>
    </row>
    <row r="3751" spans="1:14" ht="16" x14ac:dyDescent="0.2">
      <c r="A3751" s="3">
        <v>44539</v>
      </c>
      <c r="B3751" s="1" t="s">
        <v>3839</v>
      </c>
      <c r="C3751" t="s">
        <v>98</v>
      </c>
      <c r="D3751">
        <v>4</v>
      </c>
      <c r="E3751">
        <v>156</v>
      </c>
      <c r="F3751">
        <v>78</v>
      </c>
      <c r="G3751">
        <v>624</v>
      </c>
      <c r="H3751" s="4">
        <v>312</v>
      </c>
      <c r="I3751" s="4">
        <v>312</v>
      </c>
      <c r="J3751" t="s">
        <v>262</v>
      </c>
      <c r="K3751" t="s">
        <v>86</v>
      </c>
      <c r="L3751" s="4">
        <v>12.796588406005421</v>
      </c>
      <c r="M3751" s="1" t="s">
        <v>38</v>
      </c>
      <c r="N3751" s="11">
        <f t="shared" si="58"/>
        <v>5</v>
      </c>
    </row>
    <row r="3752" spans="1:14" ht="16" x14ac:dyDescent="0.2">
      <c r="A3752" s="3">
        <v>44540</v>
      </c>
      <c r="B3752" s="1" t="s">
        <v>3840</v>
      </c>
      <c r="C3752" t="s">
        <v>91</v>
      </c>
      <c r="D3752">
        <v>16</v>
      </c>
      <c r="E3752">
        <v>300</v>
      </c>
      <c r="F3752">
        <v>75</v>
      </c>
      <c r="G3752">
        <v>4800</v>
      </c>
      <c r="H3752" s="4">
        <v>1200</v>
      </c>
      <c r="I3752" s="4">
        <v>3600</v>
      </c>
      <c r="J3752" t="s">
        <v>576</v>
      </c>
      <c r="K3752" t="s">
        <v>33</v>
      </c>
      <c r="L3752" s="4">
        <v>11.769937929618399</v>
      </c>
      <c r="M3752" s="1" t="s">
        <v>38</v>
      </c>
      <c r="N3752" s="11">
        <f t="shared" si="58"/>
        <v>5</v>
      </c>
    </row>
    <row r="3753" spans="1:14" ht="16" x14ac:dyDescent="0.2">
      <c r="A3753" s="3">
        <v>44541</v>
      </c>
      <c r="B3753" s="1" t="s">
        <v>3841</v>
      </c>
      <c r="C3753" t="s">
        <v>196</v>
      </c>
      <c r="D3753">
        <v>3</v>
      </c>
      <c r="E3753">
        <v>192</v>
      </c>
      <c r="F3753">
        <v>96</v>
      </c>
      <c r="G3753">
        <v>576</v>
      </c>
      <c r="H3753" s="4">
        <v>288</v>
      </c>
      <c r="I3753" s="4">
        <v>288</v>
      </c>
      <c r="J3753" t="s">
        <v>576</v>
      </c>
      <c r="K3753" t="s">
        <v>33</v>
      </c>
      <c r="L3753" s="4">
        <v>11.769937929618399</v>
      </c>
      <c r="M3753" s="1" t="s">
        <v>34</v>
      </c>
      <c r="N3753" s="11">
        <f t="shared" si="58"/>
        <v>1</v>
      </c>
    </row>
    <row r="3754" spans="1:14" ht="16" x14ac:dyDescent="0.2">
      <c r="A3754" s="3">
        <v>44542</v>
      </c>
      <c r="B3754" s="1" t="s">
        <v>3581</v>
      </c>
      <c r="C3754" t="s">
        <v>139</v>
      </c>
      <c r="D3754">
        <v>3</v>
      </c>
      <c r="E3754">
        <v>320</v>
      </c>
      <c r="F3754">
        <v>80</v>
      </c>
      <c r="G3754">
        <v>960</v>
      </c>
      <c r="H3754" s="4">
        <v>240</v>
      </c>
      <c r="I3754" s="4">
        <v>720</v>
      </c>
      <c r="J3754" t="s">
        <v>569</v>
      </c>
      <c r="K3754" t="s">
        <v>33</v>
      </c>
      <c r="L3754" s="4">
        <v>12.921682080641304</v>
      </c>
      <c r="M3754" s="1" t="s">
        <v>54</v>
      </c>
      <c r="N3754" s="11">
        <f t="shared" si="58"/>
        <v>10</v>
      </c>
    </row>
    <row r="3755" spans="1:14" ht="16" x14ac:dyDescent="0.2">
      <c r="A3755" s="3">
        <v>44543</v>
      </c>
      <c r="B3755" s="1" t="s">
        <v>3842</v>
      </c>
      <c r="C3755" t="s">
        <v>56</v>
      </c>
      <c r="D3755">
        <v>12</v>
      </c>
      <c r="E3755">
        <v>38</v>
      </c>
      <c r="F3755">
        <v>19</v>
      </c>
      <c r="G3755">
        <v>456</v>
      </c>
      <c r="H3755" s="4">
        <v>228</v>
      </c>
      <c r="I3755" s="4">
        <v>228</v>
      </c>
      <c r="J3755" t="s">
        <v>70</v>
      </c>
      <c r="K3755" t="s">
        <v>49</v>
      </c>
      <c r="L3755" s="4">
        <v>12.957303170959879</v>
      </c>
      <c r="M3755" s="1" t="s">
        <v>54</v>
      </c>
      <c r="N3755" s="11">
        <f t="shared" si="58"/>
        <v>10</v>
      </c>
    </row>
    <row r="3756" spans="1:14" ht="16" x14ac:dyDescent="0.2">
      <c r="A3756" s="3">
        <v>44544</v>
      </c>
      <c r="B3756" s="1" t="s">
        <v>3843</v>
      </c>
      <c r="C3756" t="s">
        <v>188</v>
      </c>
      <c r="D3756">
        <v>9</v>
      </c>
      <c r="E3756">
        <v>368</v>
      </c>
      <c r="F3756">
        <v>92</v>
      </c>
      <c r="G3756">
        <v>3312</v>
      </c>
      <c r="H3756" s="4">
        <v>828</v>
      </c>
      <c r="I3756" s="4">
        <v>2484</v>
      </c>
      <c r="J3756" t="s">
        <v>272</v>
      </c>
      <c r="K3756" t="s">
        <v>49</v>
      </c>
      <c r="L3756" s="4">
        <v>12.503632939408062</v>
      </c>
      <c r="M3756" s="1" t="s">
        <v>38</v>
      </c>
      <c r="N3756" s="11">
        <f t="shared" si="58"/>
        <v>5</v>
      </c>
    </row>
    <row r="3757" spans="1:14" ht="16" x14ac:dyDescent="0.2">
      <c r="A3757" s="3">
        <v>44545</v>
      </c>
      <c r="B3757" s="1" t="s">
        <v>3844</v>
      </c>
      <c r="C3757" t="s">
        <v>356</v>
      </c>
      <c r="D3757">
        <v>7</v>
      </c>
      <c r="E3757">
        <v>356</v>
      </c>
      <c r="F3757">
        <v>89</v>
      </c>
      <c r="G3757">
        <v>2492</v>
      </c>
      <c r="H3757" s="4">
        <v>623</v>
      </c>
      <c r="I3757" s="4">
        <v>1869</v>
      </c>
      <c r="J3757" t="s">
        <v>435</v>
      </c>
      <c r="K3757" t="s">
        <v>33</v>
      </c>
      <c r="L3757" s="4">
        <v>5.9872353338051019</v>
      </c>
      <c r="M3757" s="1" t="s">
        <v>34</v>
      </c>
      <c r="N3757" s="11">
        <f t="shared" si="58"/>
        <v>1</v>
      </c>
    </row>
    <row r="3758" spans="1:14" ht="16" x14ac:dyDescent="0.2">
      <c r="A3758" s="3">
        <v>44546</v>
      </c>
      <c r="B3758" s="1" t="s">
        <v>3845</v>
      </c>
      <c r="C3758" t="s">
        <v>75</v>
      </c>
      <c r="D3758">
        <v>16</v>
      </c>
      <c r="E3758">
        <v>76</v>
      </c>
      <c r="F3758">
        <v>19</v>
      </c>
      <c r="G3758">
        <v>1216</v>
      </c>
      <c r="H3758" s="4">
        <v>304</v>
      </c>
      <c r="I3758" s="4">
        <v>912</v>
      </c>
      <c r="J3758" t="s">
        <v>806</v>
      </c>
      <c r="K3758" t="s">
        <v>86</v>
      </c>
      <c r="L3758" s="4">
        <v>11.927799225928501</v>
      </c>
      <c r="M3758" s="1" t="s">
        <v>38</v>
      </c>
      <c r="N3758" s="11">
        <f t="shared" si="58"/>
        <v>5</v>
      </c>
    </row>
    <row r="3759" spans="1:14" ht="16" x14ac:dyDescent="0.2">
      <c r="A3759" s="3">
        <v>44547</v>
      </c>
      <c r="B3759" s="1" t="s">
        <v>3846</v>
      </c>
      <c r="C3759" t="s">
        <v>286</v>
      </c>
      <c r="D3759">
        <v>17</v>
      </c>
      <c r="E3759">
        <v>34</v>
      </c>
      <c r="F3759">
        <v>17</v>
      </c>
      <c r="G3759">
        <v>578</v>
      </c>
      <c r="H3759" s="4">
        <v>289</v>
      </c>
      <c r="I3759" s="4">
        <v>289</v>
      </c>
      <c r="J3759" t="s">
        <v>236</v>
      </c>
      <c r="K3759" t="s">
        <v>53</v>
      </c>
      <c r="L3759" s="4">
        <v>9.3014286057233697</v>
      </c>
      <c r="M3759" s="1" t="s">
        <v>38</v>
      </c>
      <c r="N3759" s="11">
        <f t="shared" si="58"/>
        <v>5</v>
      </c>
    </row>
    <row r="3760" spans="1:14" ht="16" x14ac:dyDescent="0.2">
      <c r="A3760" s="3">
        <v>44548</v>
      </c>
      <c r="B3760" s="1" t="s">
        <v>3847</v>
      </c>
      <c r="C3760" t="s">
        <v>209</v>
      </c>
      <c r="D3760">
        <v>13</v>
      </c>
      <c r="E3760">
        <v>150</v>
      </c>
      <c r="F3760">
        <v>75</v>
      </c>
      <c r="G3760">
        <v>1950</v>
      </c>
      <c r="H3760" s="4">
        <v>975</v>
      </c>
      <c r="I3760" s="4">
        <v>975</v>
      </c>
      <c r="J3760" t="s">
        <v>1343</v>
      </c>
      <c r="K3760" t="s">
        <v>49</v>
      </c>
      <c r="L3760" s="4">
        <v>9.1264071155960682</v>
      </c>
      <c r="M3760" s="1" t="s">
        <v>38</v>
      </c>
      <c r="N3760" s="11">
        <f t="shared" si="58"/>
        <v>5</v>
      </c>
    </row>
    <row r="3761" spans="1:14" ht="16" x14ac:dyDescent="0.2">
      <c r="A3761" s="3">
        <v>44549</v>
      </c>
      <c r="B3761" s="1" t="s">
        <v>3848</v>
      </c>
      <c r="C3761" t="s">
        <v>36</v>
      </c>
      <c r="D3761">
        <v>12</v>
      </c>
      <c r="E3761">
        <v>102</v>
      </c>
      <c r="F3761">
        <v>51</v>
      </c>
      <c r="G3761">
        <v>1224</v>
      </c>
      <c r="H3761" s="4">
        <v>612</v>
      </c>
      <c r="I3761" s="4">
        <v>612</v>
      </c>
      <c r="J3761" t="s">
        <v>691</v>
      </c>
      <c r="K3761" t="s">
        <v>33</v>
      </c>
      <c r="L3761" s="4">
        <v>10.248947386022252</v>
      </c>
      <c r="M3761" s="1" t="s">
        <v>54</v>
      </c>
      <c r="N3761" s="11">
        <f t="shared" si="58"/>
        <v>10</v>
      </c>
    </row>
    <row r="3762" spans="1:14" ht="16" x14ac:dyDescent="0.2">
      <c r="A3762" s="3">
        <v>44550</v>
      </c>
      <c r="B3762" s="1" t="s">
        <v>3849</v>
      </c>
      <c r="C3762" t="s">
        <v>145</v>
      </c>
      <c r="D3762">
        <v>15</v>
      </c>
      <c r="E3762">
        <v>207</v>
      </c>
      <c r="F3762">
        <v>69</v>
      </c>
      <c r="G3762">
        <v>3105</v>
      </c>
      <c r="H3762" s="4">
        <v>1035</v>
      </c>
      <c r="I3762" s="4">
        <v>2070</v>
      </c>
      <c r="J3762" t="s">
        <v>1138</v>
      </c>
      <c r="K3762" t="s">
        <v>64</v>
      </c>
      <c r="L3762" s="4">
        <v>13.601235361661526</v>
      </c>
      <c r="M3762" s="1" t="s">
        <v>34</v>
      </c>
      <c r="N3762" s="11">
        <f t="shared" si="58"/>
        <v>1</v>
      </c>
    </row>
    <row r="3763" spans="1:14" ht="16" x14ac:dyDescent="0.2">
      <c r="A3763" s="3">
        <v>44551</v>
      </c>
      <c r="B3763" s="1" t="s">
        <v>3850</v>
      </c>
      <c r="C3763" t="s">
        <v>583</v>
      </c>
      <c r="D3763">
        <v>14</v>
      </c>
      <c r="E3763">
        <v>57</v>
      </c>
      <c r="F3763">
        <v>19</v>
      </c>
      <c r="G3763">
        <v>798</v>
      </c>
      <c r="H3763" s="4">
        <v>266</v>
      </c>
      <c r="I3763" s="4">
        <v>532</v>
      </c>
      <c r="J3763" t="s">
        <v>704</v>
      </c>
      <c r="K3763" t="s">
        <v>86</v>
      </c>
      <c r="L3763" s="4">
        <v>12.699042739101285</v>
      </c>
      <c r="M3763" s="1" t="s">
        <v>38</v>
      </c>
      <c r="N3763" s="11">
        <f t="shared" si="58"/>
        <v>5</v>
      </c>
    </row>
    <row r="3764" spans="1:14" ht="16" x14ac:dyDescent="0.2">
      <c r="A3764" s="3">
        <v>44552</v>
      </c>
      <c r="B3764" s="1" t="s">
        <v>3851</v>
      </c>
      <c r="C3764" t="s">
        <v>583</v>
      </c>
      <c r="D3764">
        <v>16</v>
      </c>
      <c r="E3764">
        <v>57</v>
      </c>
      <c r="F3764">
        <v>19</v>
      </c>
      <c r="G3764">
        <v>912</v>
      </c>
      <c r="H3764" s="4">
        <v>304</v>
      </c>
      <c r="I3764" s="4">
        <v>608</v>
      </c>
      <c r="J3764" t="s">
        <v>531</v>
      </c>
      <c r="K3764" t="s">
        <v>58</v>
      </c>
      <c r="L3764" s="4">
        <v>14.064516999204997</v>
      </c>
      <c r="M3764" s="1" t="s">
        <v>54</v>
      </c>
      <c r="N3764" s="11">
        <f t="shared" si="58"/>
        <v>10</v>
      </c>
    </row>
    <row r="3765" spans="1:14" ht="16" x14ac:dyDescent="0.2">
      <c r="A3765" s="3">
        <v>44553</v>
      </c>
      <c r="B3765" s="1" t="s">
        <v>3852</v>
      </c>
      <c r="C3765" t="s">
        <v>105</v>
      </c>
      <c r="D3765">
        <v>19</v>
      </c>
      <c r="E3765">
        <v>201</v>
      </c>
      <c r="F3765">
        <v>67</v>
      </c>
      <c r="G3765">
        <v>3819</v>
      </c>
      <c r="H3765" s="4">
        <v>1273</v>
      </c>
      <c r="I3765" s="4">
        <v>2546</v>
      </c>
      <c r="J3765" t="s">
        <v>986</v>
      </c>
      <c r="K3765" t="s">
        <v>86</v>
      </c>
      <c r="L3765" s="4">
        <v>12.392787515215366</v>
      </c>
      <c r="M3765" s="1" t="s">
        <v>38</v>
      </c>
      <c r="N3765" s="11">
        <f t="shared" si="58"/>
        <v>5</v>
      </c>
    </row>
    <row r="3766" spans="1:14" ht="16" x14ac:dyDescent="0.2">
      <c r="A3766" s="3">
        <v>44554</v>
      </c>
      <c r="B3766" s="1" t="s">
        <v>3853</v>
      </c>
      <c r="C3766" t="s">
        <v>386</v>
      </c>
      <c r="D3766">
        <v>17</v>
      </c>
      <c r="E3766">
        <v>110</v>
      </c>
      <c r="F3766">
        <v>55</v>
      </c>
      <c r="G3766">
        <v>1870</v>
      </c>
      <c r="H3766" s="4">
        <v>935</v>
      </c>
      <c r="I3766" s="4">
        <v>935</v>
      </c>
      <c r="J3766" t="s">
        <v>752</v>
      </c>
      <c r="K3766" t="s">
        <v>49</v>
      </c>
      <c r="L3766" s="4">
        <v>11.862005526237752</v>
      </c>
      <c r="M3766" s="1" t="s">
        <v>38</v>
      </c>
      <c r="N3766" s="11">
        <f t="shared" si="58"/>
        <v>5</v>
      </c>
    </row>
    <row r="3767" spans="1:14" ht="16" x14ac:dyDescent="0.2">
      <c r="A3767" s="3">
        <v>44555</v>
      </c>
      <c r="B3767" s="1" t="s">
        <v>3667</v>
      </c>
      <c r="C3767" t="s">
        <v>547</v>
      </c>
      <c r="D3767">
        <v>6</v>
      </c>
      <c r="E3767">
        <v>300</v>
      </c>
      <c r="F3767">
        <v>75</v>
      </c>
      <c r="G3767">
        <v>1800</v>
      </c>
      <c r="H3767" s="4">
        <v>450</v>
      </c>
      <c r="I3767" s="4">
        <v>1350</v>
      </c>
      <c r="J3767" t="s">
        <v>216</v>
      </c>
      <c r="K3767" t="s">
        <v>58</v>
      </c>
      <c r="L3767" s="4">
        <v>15.556812309269255</v>
      </c>
      <c r="M3767" s="1" t="s">
        <v>54</v>
      </c>
      <c r="N3767" s="11">
        <f t="shared" si="58"/>
        <v>10</v>
      </c>
    </row>
    <row r="3768" spans="1:14" ht="16" x14ac:dyDescent="0.2">
      <c r="A3768" s="3">
        <v>44556</v>
      </c>
      <c r="B3768" s="1" t="s">
        <v>1882</v>
      </c>
      <c r="C3768" t="s">
        <v>51</v>
      </c>
      <c r="D3768">
        <v>7</v>
      </c>
      <c r="E3768">
        <v>160</v>
      </c>
      <c r="F3768">
        <v>80</v>
      </c>
      <c r="G3768">
        <v>1120</v>
      </c>
      <c r="H3768" s="4">
        <v>560</v>
      </c>
      <c r="I3768" s="4">
        <v>560</v>
      </c>
      <c r="J3768" t="s">
        <v>413</v>
      </c>
      <c r="K3768" t="s">
        <v>64</v>
      </c>
      <c r="L3768" s="4">
        <v>12.682358648534777</v>
      </c>
      <c r="M3768" s="1" t="s">
        <v>38</v>
      </c>
      <c r="N3768" s="11">
        <f t="shared" si="58"/>
        <v>5</v>
      </c>
    </row>
    <row r="3769" spans="1:14" ht="16" x14ac:dyDescent="0.2">
      <c r="A3769" s="3">
        <v>44557</v>
      </c>
      <c r="B3769" s="1" t="s">
        <v>3854</v>
      </c>
      <c r="C3769" t="s">
        <v>145</v>
      </c>
      <c r="D3769">
        <v>16</v>
      </c>
      <c r="E3769">
        <v>207</v>
      </c>
      <c r="F3769">
        <v>69</v>
      </c>
      <c r="G3769">
        <v>3312</v>
      </c>
      <c r="H3769" s="4">
        <v>1104</v>
      </c>
      <c r="I3769" s="4">
        <v>2208</v>
      </c>
      <c r="J3769" t="s">
        <v>264</v>
      </c>
      <c r="K3769" t="s">
        <v>42</v>
      </c>
      <c r="L3769" s="4">
        <v>12.514998090845811</v>
      </c>
      <c r="M3769" s="1" t="s">
        <v>38</v>
      </c>
      <c r="N3769" s="11">
        <f t="shared" si="58"/>
        <v>5</v>
      </c>
    </row>
    <row r="3770" spans="1:14" ht="16" x14ac:dyDescent="0.2">
      <c r="A3770" s="3">
        <v>44558</v>
      </c>
      <c r="B3770" s="1" t="s">
        <v>3855</v>
      </c>
      <c r="C3770" t="s">
        <v>503</v>
      </c>
      <c r="D3770">
        <v>2</v>
      </c>
      <c r="E3770">
        <v>50</v>
      </c>
      <c r="F3770">
        <v>25</v>
      </c>
      <c r="G3770">
        <v>100</v>
      </c>
      <c r="H3770" s="4">
        <v>50</v>
      </c>
      <c r="I3770" s="4">
        <v>50</v>
      </c>
      <c r="J3770" t="s">
        <v>423</v>
      </c>
      <c r="K3770" t="s">
        <v>86</v>
      </c>
      <c r="L3770" s="4">
        <v>10.813269600021069</v>
      </c>
      <c r="M3770" s="1" t="s">
        <v>34</v>
      </c>
      <c r="N3770" s="11">
        <f t="shared" si="58"/>
        <v>1</v>
      </c>
    </row>
    <row r="3771" spans="1:14" ht="16" x14ac:dyDescent="0.2">
      <c r="A3771" s="3">
        <v>44559</v>
      </c>
      <c r="B3771" s="1" t="s">
        <v>3840</v>
      </c>
      <c r="C3771" t="s">
        <v>375</v>
      </c>
      <c r="D3771">
        <v>6</v>
      </c>
      <c r="E3771">
        <v>360</v>
      </c>
      <c r="F3771">
        <v>90</v>
      </c>
      <c r="G3771">
        <v>2160</v>
      </c>
      <c r="H3771" s="4">
        <v>540</v>
      </c>
      <c r="I3771" s="4">
        <v>1620</v>
      </c>
      <c r="J3771" t="s">
        <v>603</v>
      </c>
      <c r="K3771" t="s">
        <v>64</v>
      </c>
      <c r="L3771" s="4">
        <v>11.072271050116964</v>
      </c>
      <c r="M3771" s="1" t="s">
        <v>38</v>
      </c>
      <c r="N3771" s="11">
        <f t="shared" si="58"/>
        <v>5</v>
      </c>
    </row>
    <row r="3772" spans="1:14" ht="16" x14ac:dyDescent="0.2">
      <c r="A3772" s="3">
        <v>44560</v>
      </c>
      <c r="B3772" s="1" t="s">
        <v>3694</v>
      </c>
      <c r="C3772" t="s">
        <v>47</v>
      </c>
      <c r="D3772">
        <v>5</v>
      </c>
      <c r="E3772">
        <v>231</v>
      </c>
      <c r="F3772">
        <v>77</v>
      </c>
      <c r="G3772">
        <v>1155</v>
      </c>
      <c r="H3772" s="4">
        <v>385</v>
      </c>
      <c r="I3772" s="4">
        <v>770</v>
      </c>
      <c r="J3772" t="s">
        <v>363</v>
      </c>
      <c r="K3772" t="s">
        <v>64</v>
      </c>
      <c r="L3772" s="4">
        <v>14.690198582365463</v>
      </c>
      <c r="M3772" s="1" t="s">
        <v>38</v>
      </c>
      <c r="N3772" s="11">
        <f t="shared" si="58"/>
        <v>5</v>
      </c>
    </row>
    <row r="3773" spans="1:14" ht="16" x14ac:dyDescent="0.2">
      <c r="A3773" s="3">
        <v>44561</v>
      </c>
      <c r="B3773" s="1" t="s">
        <v>3856</v>
      </c>
      <c r="C3773" t="s">
        <v>98</v>
      </c>
      <c r="D3773">
        <v>13</v>
      </c>
      <c r="E3773">
        <v>156</v>
      </c>
      <c r="F3773">
        <v>78</v>
      </c>
      <c r="G3773">
        <v>2028</v>
      </c>
      <c r="H3773" s="4">
        <v>1014</v>
      </c>
      <c r="I3773" s="4">
        <v>1014</v>
      </c>
      <c r="J3773" t="s">
        <v>270</v>
      </c>
      <c r="K3773" t="s">
        <v>42</v>
      </c>
      <c r="L3773" s="4">
        <v>12.661538237835474</v>
      </c>
      <c r="M3773" s="1" t="s">
        <v>38</v>
      </c>
      <c r="N3773" s="11">
        <f t="shared" si="58"/>
        <v>5</v>
      </c>
    </row>
    <row r="3774" spans="1:14" ht="16" x14ac:dyDescent="0.2">
      <c r="A3774" s="3">
        <v>44562</v>
      </c>
      <c r="B3774" s="1" t="s">
        <v>3857</v>
      </c>
      <c r="C3774" t="s">
        <v>261</v>
      </c>
      <c r="D3774">
        <v>20</v>
      </c>
      <c r="E3774">
        <v>92</v>
      </c>
      <c r="F3774">
        <v>46</v>
      </c>
      <c r="G3774">
        <v>1840</v>
      </c>
      <c r="H3774" s="4">
        <v>920</v>
      </c>
      <c r="I3774" s="4">
        <v>920</v>
      </c>
      <c r="J3774" t="s">
        <v>338</v>
      </c>
      <c r="K3774" t="s">
        <v>64</v>
      </c>
      <c r="L3774" s="4">
        <v>10.132922049221957</v>
      </c>
      <c r="M3774" s="1" t="s">
        <v>38</v>
      </c>
      <c r="N3774" s="11">
        <f t="shared" si="58"/>
        <v>5</v>
      </c>
    </row>
    <row r="3775" spans="1:14" ht="16" x14ac:dyDescent="0.2">
      <c r="A3775" s="3">
        <v>44563</v>
      </c>
      <c r="B3775" s="1" t="s">
        <v>3858</v>
      </c>
      <c r="C3775" t="s">
        <v>410</v>
      </c>
      <c r="D3775">
        <v>11</v>
      </c>
      <c r="E3775">
        <v>84</v>
      </c>
      <c r="F3775">
        <v>21</v>
      </c>
      <c r="G3775">
        <v>924</v>
      </c>
      <c r="H3775" s="4">
        <v>231</v>
      </c>
      <c r="I3775" s="4">
        <v>693</v>
      </c>
      <c r="J3775" t="s">
        <v>176</v>
      </c>
      <c r="K3775" t="s">
        <v>64</v>
      </c>
      <c r="L3775" s="4">
        <v>12.1334991293512</v>
      </c>
      <c r="M3775" s="1" t="s">
        <v>34</v>
      </c>
      <c r="N3775" s="11">
        <f t="shared" si="58"/>
        <v>1</v>
      </c>
    </row>
    <row r="3776" spans="1:14" ht="16" x14ac:dyDescent="0.2">
      <c r="A3776" s="3">
        <v>44564</v>
      </c>
      <c r="B3776" s="1" t="s">
        <v>3859</v>
      </c>
      <c r="C3776" t="s">
        <v>420</v>
      </c>
      <c r="D3776">
        <v>5</v>
      </c>
      <c r="E3776">
        <v>162</v>
      </c>
      <c r="F3776">
        <v>54</v>
      </c>
      <c r="G3776">
        <v>810</v>
      </c>
      <c r="H3776" s="4">
        <v>270</v>
      </c>
      <c r="I3776" s="4">
        <v>540</v>
      </c>
      <c r="J3776" t="s">
        <v>495</v>
      </c>
      <c r="K3776" t="s">
        <v>64</v>
      </c>
      <c r="L3776" s="4">
        <v>8.8878868765808274</v>
      </c>
      <c r="M3776" s="1" t="s">
        <v>38</v>
      </c>
      <c r="N3776" s="11">
        <f t="shared" si="58"/>
        <v>5</v>
      </c>
    </row>
    <row r="3777" spans="1:14" ht="16" x14ac:dyDescent="0.2">
      <c r="A3777" s="3">
        <v>44565</v>
      </c>
      <c r="B3777" s="1" t="s">
        <v>3860</v>
      </c>
      <c r="C3777" t="s">
        <v>93</v>
      </c>
      <c r="D3777">
        <v>7</v>
      </c>
      <c r="E3777">
        <v>204</v>
      </c>
      <c r="F3777">
        <v>51</v>
      </c>
      <c r="G3777">
        <v>1428</v>
      </c>
      <c r="H3777" s="4">
        <v>357</v>
      </c>
      <c r="I3777" s="4">
        <v>1071</v>
      </c>
      <c r="J3777" t="s">
        <v>376</v>
      </c>
      <c r="K3777" t="s">
        <v>86</v>
      </c>
      <c r="L3777" s="4">
        <v>11.655355879643379</v>
      </c>
      <c r="M3777" s="1" t="s">
        <v>38</v>
      </c>
      <c r="N3777" s="11">
        <f t="shared" si="58"/>
        <v>5</v>
      </c>
    </row>
    <row r="3778" spans="1:14" ht="16" x14ac:dyDescent="0.2">
      <c r="A3778" s="3">
        <v>44566</v>
      </c>
      <c r="B3778" s="1" t="s">
        <v>3861</v>
      </c>
      <c r="C3778" t="s">
        <v>286</v>
      </c>
      <c r="D3778">
        <v>19</v>
      </c>
      <c r="E3778">
        <v>34</v>
      </c>
      <c r="F3778">
        <v>17</v>
      </c>
      <c r="G3778">
        <v>646</v>
      </c>
      <c r="H3778" s="4">
        <v>323</v>
      </c>
      <c r="I3778" s="4">
        <v>323</v>
      </c>
      <c r="J3778" t="s">
        <v>1065</v>
      </c>
      <c r="K3778" t="s">
        <v>53</v>
      </c>
      <c r="L3778" s="4">
        <v>13.00553764131261</v>
      </c>
      <c r="M3778" s="1" t="s">
        <v>34</v>
      </c>
      <c r="N3778" s="11">
        <f t="shared" si="58"/>
        <v>1</v>
      </c>
    </row>
    <row r="3779" spans="1:14" ht="16" x14ac:dyDescent="0.2">
      <c r="A3779" s="3">
        <v>44567</v>
      </c>
      <c r="B3779" s="1" t="s">
        <v>3862</v>
      </c>
      <c r="C3779" t="s">
        <v>185</v>
      </c>
      <c r="D3779">
        <v>9</v>
      </c>
      <c r="E3779">
        <v>146</v>
      </c>
      <c r="F3779">
        <v>73</v>
      </c>
      <c r="G3779">
        <v>1314</v>
      </c>
      <c r="H3779" s="4">
        <v>657</v>
      </c>
      <c r="I3779" s="4">
        <v>657</v>
      </c>
      <c r="J3779" t="s">
        <v>205</v>
      </c>
      <c r="K3779" t="s">
        <v>33</v>
      </c>
      <c r="L3779" s="4">
        <v>12.007834550770397</v>
      </c>
      <c r="M3779" s="1" t="s">
        <v>34</v>
      </c>
      <c r="N3779" s="11">
        <f t="shared" ref="N3779:N3842" si="59">+IF(M3779="Dissatisfied",1,IF(M3779="Satisfied",10,5))</f>
        <v>1</v>
      </c>
    </row>
    <row r="3780" spans="1:14" ht="16" x14ac:dyDescent="0.2">
      <c r="A3780" s="3">
        <v>44568</v>
      </c>
      <c r="B3780" s="1" t="s">
        <v>3863</v>
      </c>
      <c r="C3780" t="s">
        <v>130</v>
      </c>
      <c r="D3780">
        <v>1</v>
      </c>
      <c r="E3780">
        <v>144</v>
      </c>
      <c r="F3780">
        <v>48</v>
      </c>
      <c r="G3780">
        <v>144</v>
      </c>
      <c r="H3780" s="4">
        <v>48</v>
      </c>
      <c r="I3780" s="4">
        <v>96</v>
      </c>
      <c r="J3780" t="s">
        <v>752</v>
      </c>
      <c r="K3780" t="s">
        <v>49</v>
      </c>
      <c r="L3780" s="4">
        <v>11.862005526237752</v>
      </c>
      <c r="M3780" s="1" t="s">
        <v>38</v>
      </c>
      <c r="N3780" s="11">
        <f t="shared" si="59"/>
        <v>5</v>
      </c>
    </row>
    <row r="3781" spans="1:14" ht="16" x14ac:dyDescent="0.2">
      <c r="A3781" s="3">
        <v>44569</v>
      </c>
      <c r="B3781" s="1" t="s">
        <v>3864</v>
      </c>
      <c r="C3781" t="s">
        <v>561</v>
      </c>
      <c r="D3781">
        <v>15</v>
      </c>
      <c r="E3781">
        <v>384</v>
      </c>
      <c r="F3781">
        <v>96</v>
      </c>
      <c r="G3781">
        <v>5760</v>
      </c>
      <c r="H3781" s="4">
        <v>1440</v>
      </c>
      <c r="I3781" s="4">
        <v>4320</v>
      </c>
      <c r="J3781" t="s">
        <v>1259</v>
      </c>
      <c r="K3781" t="s">
        <v>64</v>
      </c>
      <c r="L3781" s="4">
        <v>10.01033276255276</v>
      </c>
      <c r="M3781" s="1" t="s">
        <v>54</v>
      </c>
      <c r="N3781" s="11">
        <f t="shared" si="59"/>
        <v>10</v>
      </c>
    </row>
    <row r="3782" spans="1:14" ht="16" x14ac:dyDescent="0.2">
      <c r="A3782" s="3">
        <v>44570</v>
      </c>
      <c r="B3782" s="1" t="s">
        <v>3865</v>
      </c>
      <c r="C3782" t="s">
        <v>257</v>
      </c>
      <c r="D3782">
        <v>9</v>
      </c>
      <c r="E3782">
        <v>160</v>
      </c>
      <c r="F3782">
        <v>80</v>
      </c>
      <c r="G3782">
        <v>1440</v>
      </c>
      <c r="H3782" s="4">
        <v>720</v>
      </c>
      <c r="I3782" s="4">
        <v>720</v>
      </c>
      <c r="J3782" t="s">
        <v>1573</v>
      </c>
      <c r="K3782" t="s">
        <v>64</v>
      </c>
      <c r="L3782" s="4">
        <v>10.78374703625888</v>
      </c>
      <c r="M3782" s="1" t="s">
        <v>38</v>
      </c>
      <c r="N3782" s="11">
        <f t="shared" si="59"/>
        <v>5</v>
      </c>
    </row>
    <row r="3783" spans="1:14" ht="16" x14ac:dyDescent="0.2">
      <c r="A3783" s="3">
        <v>44571</v>
      </c>
      <c r="B3783" s="1" t="s">
        <v>3866</v>
      </c>
      <c r="C3783" t="s">
        <v>257</v>
      </c>
      <c r="D3783">
        <v>2</v>
      </c>
      <c r="E3783">
        <v>160</v>
      </c>
      <c r="F3783">
        <v>80</v>
      </c>
      <c r="G3783">
        <v>320</v>
      </c>
      <c r="H3783" s="4">
        <v>160</v>
      </c>
      <c r="I3783" s="4">
        <v>160</v>
      </c>
      <c r="J3783" t="s">
        <v>707</v>
      </c>
      <c r="K3783" t="s">
        <v>49</v>
      </c>
      <c r="L3783" s="4">
        <v>11.779256317174871</v>
      </c>
      <c r="M3783" s="1" t="s">
        <v>54</v>
      </c>
      <c r="N3783" s="11">
        <f t="shared" si="59"/>
        <v>10</v>
      </c>
    </row>
    <row r="3784" spans="1:14" ht="16" x14ac:dyDescent="0.2">
      <c r="A3784" s="3">
        <v>44572</v>
      </c>
      <c r="B3784" s="1" t="s">
        <v>3867</v>
      </c>
      <c r="C3784" t="s">
        <v>370</v>
      </c>
      <c r="D3784">
        <v>15</v>
      </c>
      <c r="E3784">
        <v>144</v>
      </c>
      <c r="F3784">
        <v>36</v>
      </c>
      <c r="G3784">
        <v>2160</v>
      </c>
      <c r="H3784" s="4">
        <v>540</v>
      </c>
      <c r="I3784" s="4">
        <v>1620</v>
      </c>
      <c r="J3784" t="s">
        <v>704</v>
      </c>
      <c r="K3784" t="s">
        <v>86</v>
      </c>
      <c r="L3784" s="4">
        <v>12.699042739101285</v>
      </c>
      <c r="M3784" s="1" t="s">
        <v>38</v>
      </c>
      <c r="N3784" s="11">
        <f t="shared" si="59"/>
        <v>5</v>
      </c>
    </row>
    <row r="3785" spans="1:14" ht="16" x14ac:dyDescent="0.2">
      <c r="A3785" s="3">
        <v>44573</v>
      </c>
      <c r="B3785" s="1" t="s">
        <v>3868</v>
      </c>
      <c r="C3785" t="s">
        <v>36</v>
      </c>
      <c r="D3785">
        <v>20</v>
      </c>
      <c r="E3785">
        <v>102</v>
      </c>
      <c r="F3785">
        <v>51</v>
      </c>
      <c r="G3785">
        <v>2040</v>
      </c>
      <c r="H3785" s="4">
        <v>1020</v>
      </c>
      <c r="I3785" s="4">
        <v>1020</v>
      </c>
      <c r="J3785" t="s">
        <v>41</v>
      </c>
      <c r="K3785" t="s">
        <v>42</v>
      </c>
      <c r="L3785" s="4">
        <v>9.3226775515721787</v>
      </c>
      <c r="M3785" s="1" t="s">
        <v>38</v>
      </c>
      <c r="N3785" s="11">
        <f t="shared" si="59"/>
        <v>5</v>
      </c>
    </row>
    <row r="3786" spans="1:14" ht="16" x14ac:dyDescent="0.2">
      <c r="A3786" s="3">
        <v>44574</v>
      </c>
      <c r="B3786" s="1" t="s">
        <v>3869</v>
      </c>
      <c r="C3786" t="s">
        <v>196</v>
      </c>
      <c r="D3786">
        <v>10</v>
      </c>
      <c r="E3786">
        <v>192</v>
      </c>
      <c r="F3786">
        <v>96</v>
      </c>
      <c r="G3786">
        <v>1920</v>
      </c>
      <c r="H3786" s="4">
        <v>960</v>
      </c>
      <c r="I3786" s="4">
        <v>960</v>
      </c>
      <c r="J3786" t="s">
        <v>557</v>
      </c>
      <c r="K3786" t="s">
        <v>64</v>
      </c>
      <c r="L3786" s="4">
        <v>10.037135914792184</v>
      </c>
      <c r="M3786" s="1" t="s">
        <v>38</v>
      </c>
      <c r="N3786" s="11">
        <f t="shared" si="59"/>
        <v>5</v>
      </c>
    </row>
    <row r="3787" spans="1:14" ht="16" x14ac:dyDescent="0.2">
      <c r="A3787" s="3">
        <v>44575</v>
      </c>
      <c r="B3787" s="1" t="s">
        <v>3870</v>
      </c>
      <c r="C3787" t="s">
        <v>69</v>
      </c>
      <c r="D3787">
        <v>10</v>
      </c>
      <c r="E3787">
        <v>184</v>
      </c>
      <c r="F3787">
        <v>92</v>
      </c>
      <c r="G3787">
        <v>1840</v>
      </c>
      <c r="H3787" s="4">
        <v>920</v>
      </c>
      <c r="I3787" s="4">
        <v>920</v>
      </c>
      <c r="J3787" t="s">
        <v>1379</v>
      </c>
      <c r="K3787" t="s">
        <v>86</v>
      </c>
      <c r="L3787" s="4">
        <v>14.157909724393564</v>
      </c>
      <c r="M3787" s="1" t="s">
        <v>54</v>
      </c>
      <c r="N3787" s="11">
        <f t="shared" si="59"/>
        <v>10</v>
      </c>
    </row>
    <row r="3788" spans="1:14" ht="16" x14ac:dyDescent="0.2">
      <c r="A3788" s="3">
        <v>44576</v>
      </c>
      <c r="B3788" s="1" t="s">
        <v>3871</v>
      </c>
      <c r="C3788" t="s">
        <v>255</v>
      </c>
      <c r="D3788">
        <v>13</v>
      </c>
      <c r="E3788">
        <v>140</v>
      </c>
      <c r="F3788">
        <v>70</v>
      </c>
      <c r="G3788">
        <v>1820</v>
      </c>
      <c r="H3788" s="4">
        <v>910</v>
      </c>
      <c r="I3788" s="4">
        <v>910</v>
      </c>
      <c r="J3788" t="s">
        <v>315</v>
      </c>
      <c r="K3788" t="s">
        <v>42</v>
      </c>
      <c r="L3788" s="4">
        <v>10.966283117837653</v>
      </c>
      <c r="M3788" s="1" t="s">
        <v>34</v>
      </c>
      <c r="N3788" s="11">
        <f t="shared" si="59"/>
        <v>1</v>
      </c>
    </row>
    <row r="3789" spans="1:14" ht="16" x14ac:dyDescent="0.2">
      <c r="A3789" s="3">
        <v>44577</v>
      </c>
      <c r="B3789" s="1" t="s">
        <v>3872</v>
      </c>
      <c r="C3789" t="s">
        <v>240</v>
      </c>
      <c r="D3789">
        <v>10</v>
      </c>
      <c r="E3789">
        <v>108</v>
      </c>
      <c r="F3789">
        <v>54</v>
      </c>
      <c r="G3789">
        <v>1080</v>
      </c>
      <c r="H3789" s="4">
        <v>540</v>
      </c>
      <c r="I3789" s="4">
        <v>540</v>
      </c>
      <c r="J3789" t="s">
        <v>216</v>
      </c>
      <c r="K3789" t="s">
        <v>58</v>
      </c>
      <c r="L3789" s="4">
        <v>15.556812309269255</v>
      </c>
      <c r="M3789" s="1" t="s">
        <v>38</v>
      </c>
      <c r="N3789" s="11">
        <f t="shared" si="59"/>
        <v>5</v>
      </c>
    </row>
    <row r="3790" spans="1:14" ht="16" x14ac:dyDescent="0.2">
      <c r="A3790" s="3">
        <v>44578</v>
      </c>
      <c r="B3790" s="1" t="s">
        <v>3873</v>
      </c>
      <c r="C3790" t="s">
        <v>255</v>
      </c>
      <c r="D3790">
        <v>11</v>
      </c>
      <c r="E3790">
        <v>140</v>
      </c>
      <c r="F3790">
        <v>70</v>
      </c>
      <c r="G3790">
        <v>1540</v>
      </c>
      <c r="H3790" s="4">
        <v>770</v>
      </c>
      <c r="I3790" s="4">
        <v>770</v>
      </c>
      <c r="J3790" t="s">
        <v>371</v>
      </c>
      <c r="K3790" t="s">
        <v>58</v>
      </c>
      <c r="L3790" s="4">
        <v>12.004541523616258</v>
      </c>
      <c r="M3790" s="1" t="s">
        <v>54</v>
      </c>
      <c r="N3790" s="11">
        <f t="shared" si="59"/>
        <v>10</v>
      </c>
    </row>
    <row r="3791" spans="1:14" ht="16" x14ac:dyDescent="0.2">
      <c r="A3791" s="3">
        <v>44579</v>
      </c>
      <c r="B3791" s="1" t="s">
        <v>3874</v>
      </c>
      <c r="C3791" t="s">
        <v>151</v>
      </c>
      <c r="D3791">
        <v>14</v>
      </c>
      <c r="E3791">
        <v>153</v>
      </c>
      <c r="F3791">
        <v>51</v>
      </c>
      <c r="G3791">
        <v>2142</v>
      </c>
      <c r="H3791" s="4">
        <v>714</v>
      </c>
      <c r="I3791" s="4">
        <v>1428</v>
      </c>
      <c r="J3791" t="s">
        <v>418</v>
      </c>
      <c r="K3791" t="s">
        <v>42</v>
      </c>
      <c r="L3791" s="4">
        <v>11.644564584314265</v>
      </c>
      <c r="M3791" s="1" t="s">
        <v>38</v>
      </c>
      <c r="N3791" s="11">
        <f t="shared" si="59"/>
        <v>5</v>
      </c>
    </row>
    <row r="3792" spans="1:14" ht="16" x14ac:dyDescent="0.2">
      <c r="A3792" s="3">
        <v>44580</v>
      </c>
      <c r="B3792" s="1" t="s">
        <v>3875</v>
      </c>
      <c r="C3792" t="s">
        <v>283</v>
      </c>
      <c r="D3792">
        <v>5</v>
      </c>
      <c r="E3792">
        <v>144</v>
      </c>
      <c r="F3792">
        <v>36</v>
      </c>
      <c r="G3792">
        <v>720</v>
      </c>
      <c r="H3792" s="4">
        <v>180</v>
      </c>
      <c r="I3792" s="4">
        <v>540</v>
      </c>
      <c r="J3792" t="s">
        <v>488</v>
      </c>
      <c r="K3792" t="s">
        <v>64</v>
      </c>
      <c r="L3792" s="4">
        <v>9.458617986208397</v>
      </c>
      <c r="M3792" s="1" t="s">
        <v>38</v>
      </c>
      <c r="N3792" s="11">
        <f t="shared" si="59"/>
        <v>5</v>
      </c>
    </row>
    <row r="3793" spans="1:14" ht="16" x14ac:dyDescent="0.2">
      <c r="A3793" s="3">
        <v>44581</v>
      </c>
      <c r="B3793" s="1" t="s">
        <v>3876</v>
      </c>
      <c r="C3793" t="s">
        <v>47</v>
      </c>
      <c r="D3793">
        <v>15</v>
      </c>
      <c r="E3793">
        <v>231</v>
      </c>
      <c r="F3793">
        <v>77</v>
      </c>
      <c r="G3793">
        <v>3465</v>
      </c>
      <c r="H3793" s="4">
        <v>1155</v>
      </c>
      <c r="I3793" s="4">
        <v>2310</v>
      </c>
      <c r="J3793" t="s">
        <v>1434</v>
      </c>
      <c r="K3793" t="s">
        <v>86</v>
      </c>
      <c r="L3793" s="4">
        <v>10.826646539963521</v>
      </c>
      <c r="M3793" s="1" t="s">
        <v>38</v>
      </c>
      <c r="N3793" s="11">
        <f t="shared" si="59"/>
        <v>5</v>
      </c>
    </row>
    <row r="3794" spans="1:14" ht="16" x14ac:dyDescent="0.2">
      <c r="A3794" s="3">
        <v>44582</v>
      </c>
      <c r="B3794" s="1" t="s">
        <v>3877</v>
      </c>
      <c r="C3794" t="s">
        <v>93</v>
      </c>
      <c r="D3794">
        <v>19</v>
      </c>
      <c r="E3794">
        <v>204</v>
      </c>
      <c r="F3794">
        <v>51</v>
      </c>
      <c r="G3794">
        <v>3876</v>
      </c>
      <c r="H3794" s="4">
        <v>969</v>
      </c>
      <c r="I3794" s="4">
        <v>2907</v>
      </c>
      <c r="J3794" t="s">
        <v>660</v>
      </c>
      <c r="K3794" t="s">
        <v>86</v>
      </c>
      <c r="L3794" s="4">
        <v>10.163794912095831</v>
      </c>
      <c r="M3794" s="1" t="s">
        <v>34</v>
      </c>
      <c r="N3794" s="11">
        <f t="shared" si="59"/>
        <v>1</v>
      </c>
    </row>
    <row r="3795" spans="1:14" ht="16" x14ac:dyDescent="0.2">
      <c r="A3795" s="3">
        <v>44583</v>
      </c>
      <c r="B3795" s="1" t="s">
        <v>3878</v>
      </c>
      <c r="C3795" t="s">
        <v>66</v>
      </c>
      <c r="D3795">
        <v>3</v>
      </c>
      <c r="E3795">
        <v>144</v>
      </c>
      <c r="F3795">
        <v>48</v>
      </c>
      <c r="G3795">
        <v>432</v>
      </c>
      <c r="H3795" s="4">
        <v>144</v>
      </c>
      <c r="I3795" s="4">
        <v>288</v>
      </c>
      <c r="J3795" t="s">
        <v>854</v>
      </c>
      <c r="K3795" t="s">
        <v>58</v>
      </c>
      <c r="L3795" s="4">
        <v>12.990345718839325</v>
      </c>
      <c r="M3795" s="1" t="s">
        <v>38</v>
      </c>
      <c r="N3795" s="11">
        <f t="shared" si="59"/>
        <v>5</v>
      </c>
    </row>
    <row r="3796" spans="1:14" ht="16" x14ac:dyDescent="0.2">
      <c r="A3796" s="3">
        <v>44584</v>
      </c>
      <c r="B3796" s="1" t="s">
        <v>3879</v>
      </c>
      <c r="C3796" t="s">
        <v>120</v>
      </c>
      <c r="D3796">
        <v>3</v>
      </c>
      <c r="E3796">
        <v>252</v>
      </c>
      <c r="F3796">
        <v>63</v>
      </c>
      <c r="G3796">
        <v>756</v>
      </c>
      <c r="H3796" s="4">
        <v>189</v>
      </c>
      <c r="I3796" s="4">
        <v>567</v>
      </c>
      <c r="J3796" t="s">
        <v>274</v>
      </c>
      <c r="K3796" t="s">
        <v>86</v>
      </c>
      <c r="L3796" s="4">
        <v>9.821882845934784</v>
      </c>
      <c r="M3796" s="1" t="s">
        <v>34</v>
      </c>
      <c r="N3796" s="11">
        <f t="shared" si="59"/>
        <v>1</v>
      </c>
    </row>
    <row r="3797" spans="1:14" ht="16" x14ac:dyDescent="0.2">
      <c r="A3797" s="3">
        <v>44585</v>
      </c>
      <c r="B3797" s="1" t="s">
        <v>3880</v>
      </c>
      <c r="C3797" t="s">
        <v>391</v>
      </c>
      <c r="D3797">
        <v>16</v>
      </c>
      <c r="E3797">
        <v>72</v>
      </c>
      <c r="F3797">
        <v>36</v>
      </c>
      <c r="G3797">
        <v>1152</v>
      </c>
      <c r="H3797" s="4">
        <v>576</v>
      </c>
      <c r="I3797" s="4">
        <v>576</v>
      </c>
      <c r="J3797" t="s">
        <v>335</v>
      </c>
      <c r="K3797" t="s">
        <v>53</v>
      </c>
      <c r="L3797" s="4">
        <v>12.148236977735172</v>
      </c>
      <c r="M3797" s="1" t="s">
        <v>38</v>
      </c>
      <c r="N3797" s="11">
        <f t="shared" si="59"/>
        <v>5</v>
      </c>
    </row>
    <row r="3798" spans="1:14" ht="16" x14ac:dyDescent="0.2">
      <c r="A3798" s="3">
        <v>44586</v>
      </c>
      <c r="B3798" s="1" t="s">
        <v>3881</v>
      </c>
      <c r="C3798" t="s">
        <v>328</v>
      </c>
      <c r="D3798">
        <v>4</v>
      </c>
      <c r="E3798">
        <v>124</v>
      </c>
      <c r="F3798">
        <v>62</v>
      </c>
      <c r="G3798">
        <v>496</v>
      </c>
      <c r="H3798" s="4">
        <v>248</v>
      </c>
      <c r="I3798" s="4">
        <v>248</v>
      </c>
      <c r="J3798" t="s">
        <v>392</v>
      </c>
      <c r="K3798" t="s">
        <v>49</v>
      </c>
      <c r="L3798" s="4">
        <v>12.456740895640767</v>
      </c>
      <c r="M3798" s="1" t="s">
        <v>34</v>
      </c>
      <c r="N3798" s="11">
        <f t="shared" si="59"/>
        <v>1</v>
      </c>
    </row>
    <row r="3799" spans="1:14" ht="16" x14ac:dyDescent="0.2">
      <c r="A3799" s="3">
        <v>44587</v>
      </c>
      <c r="B3799" s="1" t="s">
        <v>3882</v>
      </c>
      <c r="C3799" t="s">
        <v>218</v>
      </c>
      <c r="D3799">
        <v>6</v>
      </c>
      <c r="E3799">
        <v>264</v>
      </c>
      <c r="F3799">
        <v>88</v>
      </c>
      <c r="G3799">
        <v>1584</v>
      </c>
      <c r="H3799" s="4">
        <v>528</v>
      </c>
      <c r="I3799" s="4">
        <v>1056</v>
      </c>
      <c r="J3799" t="s">
        <v>295</v>
      </c>
      <c r="K3799" t="s">
        <v>42</v>
      </c>
      <c r="L3799" s="4">
        <v>14.906846445071711</v>
      </c>
      <c r="M3799" s="1" t="s">
        <v>38</v>
      </c>
      <c r="N3799" s="11">
        <f t="shared" si="59"/>
        <v>5</v>
      </c>
    </row>
    <row r="3800" spans="1:14" ht="16" x14ac:dyDescent="0.2">
      <c r="A3800" s="3">
        <v>44588</v>
      </c>
      <c r="B3800" s="1" t="s">
        <v>3883</v>
      </c>
      <c r="C3800" t="s">
        <v>257</v>
      </c>
      <c r="D3800">
        <v>10</v>
      </c>
      <c r="E3800">
        <v>160</v>
      </c>
      <c r="F3800">
        <v>80</v>
      </c>
      <c r="G3800">
        <v>1600</v>
      </c>
      <c r="H3800" s="4">
        <v>800</v>
      </c>
      <c r="I3800" s="4">
        <v>800</v>
      </c>
      <c r="J3800" t="s">
        <v>638</v>
      </c>
      <c r="K3800" t="s">
        <v>33</v>
      </c>
      <c r="L3800" s="4">
        <v>12.131375018945562</v>
      </c>
      <c r="M3800" s="1" t="s">
        <v>38</v>
      </c>
      <c r="N3800" s="11">
        <f t="shared" si="59"/>
        <v>5</v>
      </c>
    </row>
    <row r="3801" spans="1:14" ht="16" x14ac:dyDescent="0.2">
      <c r="A3801" s="3">
        <v>44589</v>
      </c>
      <c r="B3801" s="1" t="s">
        <v>566</v>
      </c>
      <c r="C3801" t="s">
        <v>297</v>
      </c>
      <c r="D3801">
        <v>3</v>
      </c>
      <c r="E3801">
        <v>108</v>
      </c>
      <c r="F3801">
        <v>36</v>
      </c>
      <c r="G3801">
        <v>324</v>
      </c>
      <c r="H3801" s="4">
        <v>108</v>
      </c>
      <c r="I3801" s="4">
        <v>216</v>
      </c>
      <c r="J3801" t="s">
        <v>274</v>
      </c>
      <c r="K3801" t="s">
        <v>86</v>
      </c>
      <c r="L3801" s="4">
        <v>9.821882845934784</v>
      </c>
      <c r="M3801" s="1" t="s">
        <v>54</v>
      </c>
      <c r="N3801" s="11">
        <f t="shared" si="59"/>
        <v>10</v>
      </c>
    </row>
    <row r="3802" spans="1:14" ht="16" x14ac:dyDescent="0.2">
      <c r="A3802" s="3">
        <v>44590</v>
      </c>
      <c r="B3802" s="1" t="s">
        <v>3884</v>
      </c>
      <c r="C3802" t="s">
        <v>81</v>
      </c>
      <c r="D3802">
        <v>15</v>
      </c>
      <c r="E3802">
        <v>166</v>
      </c>
      <c r="F3802">
        <v>83</v>
      </c>
      <c r="G3802">
        <v>2490</v>
      </c>
      <c r="H3802" s="4">
        <v>1245</v>
      </c>
      <c r="I3802" s="4">
        <v>1245</v>
      </c>
      <c r="J3802" t="s">
        <v>856</v>
      </c>
      <c r="K3802" t="s">
        <v>42</v>
      </c>
      <c r="L3802" s="4">
        <v>11.226611755437654</v>
      </c>
      <c r="M3802" s="1" t="s">
        <v>38</v>
      </c>
      <c r="N3802" s="11">
        <f t="shared" si="59"/>
        <v>5</v>
      </c>
    </row>
    <row r="3803" spans="1:14" ht="16" x14ac:dyDescent="0.2">
      <c r="A3803" s="3">
        <v>44591</v>
      </c>
      <c r="B3803" s="1" t="s">
        <v>3885</v>
      </c>
      <c r="C3803" t="s">
        <v>105</v>
      </c>
      <c r="D3803">
        <v>15</v>
      </c>
      <c r="E3803">
        <v>201</v>
      </c>
      <c r="F3803">
        <v>67</v>
      </c>
      <c r="G3803">
        <v>3015</v>
      </c>
      <c r="H3803" s="4">
        <v>1005</v>
      </c>
      <c r="I3803" s="4">
        <v>2010</v>
      </c>
      <c r="J3803" t="s">
        <v>179</v>
      </c>
      <c r="K3803" t="s">
        <v>53</v>
      </c>
      <c r="L3803" s="4">
        <v>11.36085047138285</v>
      </c>
      <c r="M3803" s="1" t="s">
        <v>38</v>
      </c>
      <c r="N3803" s="11">
        <f t="shared" si="59"/>
        <v>5</v>
      </c>
    </row>
    <row r="3804" spans="1:14" ht="16" x14ac:dyDescent="0.2">
      <c r="A3804" s="3">
        <v>44592</v>
      </c>
      <c r="B3804" s="1" t="s">
        <v>3886</v>
      </c>
      <c r="C3804" t="s">
        <v>317</v>
      </c>
      <c r="D3804">
        <v>15</v>
      </c>
      <c r="E3804">
        <v>352</v>
      </c>
      <c r="F3804">
        <v>88</v>
      </c>
      <c r="G3804">
        <v>5280</v>
      </c>
      <c r="H3804" s="4">
        <v>1320</v>
      </c>
      <c r="I3804" s="4">
        <v>3960</v>
      </c>
      <c r="J3804" t="s">
        <v>57</v>
      </c>
      <c r="K3804" t="s">
        <v>58</v>
      </c>
      <c r="L3804" s="4">
        <v>11.749993886708426</v>
      </c>
      <c r="M3804" s="1" t="s">
        <v>38</v>
      </c>
      <c r="N3804" s="11">
        <f t="shared" si="59"/>
        <v>5</v>
      </c>
    </row>
    <row r="3805" spans="1:14" ht="16" x14ac:dyDescent="0.2">
      <c r="A3805" s="3">
        <v>44593</v>
      </c>
      <c r="B3805" s="1" t="s">
        <v>3887</v>
      </c>
      <c r="C3805" t="s">
        <v>40</v>
      </c>
      <c r="D3805">
        <v>4</v>
      </c>
      <c r="E3805">
        <v>46</v>
      </c>
      <c r="F3805">
        <v>23</v>
      </c>
      <c r="G3805">
        <v>184</v>
      </c>
      <c r="H3805" s="4">
        <v>92</v>
      </c>
      <c r="I3805" s="4">
        <v>92</v>
      </c>
      <c r="J3805" t="s">
        <v>234</v>
      </c>
      <c r="K3805" t="s">
        <v>64</v>
      </c>
      <c r="L3805" s="4">
        <v>12.200533931675887</v>
      </c>
      <c r="M3805" s="1" t="s">
        <v>54</v>
      </c>
      <c r="N3805" s="11">
        <f t="shared" si="59"/>
        <v>10</v>
      </c>
    </row>
    <row r="3806" spans="1:14" ht="16" x14ac:dyDescent="0.2">
      <c r="A3806" s="3">
        <v>44594</v>
      </c>
      <c r="B3806" s="1" t="s">
        <v>3888</v>
      </c>
      <c r="C3806" t="s">
        <v>420</v>
      </c>
      <c r="D3806">
        <v>17</v>
      </c>
      <c r="E3806">
        <v>162</v>
      </c>
      <c r="F3806">
        <v>54</v>
      </c>
      <c r="G3806">
        <v>2754</v>
      </c>
      <c r="H3806" s="4">
        <v>918</v>
      </c>
      <c r="I3806" s="4">
        <v>1836</v>
      </c>
      <c r="J3806" t="s">
        <v>446</v>
      </c>
      <c r="K3806" t="s">
        <v>53</v>
      </c>
      <c r="L3806" s="4">
        <v>12.85215703546821</v>
      </c>
      <c r="M3806" s="1" t="s">
        <v>38</v>
      </c>
      <c r="N3806" s="11">
        <f t="shared" si="59"/>
        <v>5</v>
      </c>
    </row>
    <row r="3807" spans="1:14" ht="16" x14ac:dyDescent="0.2">
      <c r="A3807" s="3">
        <v>44595</v>
      </c>
      <c r="B3807" s="1" t="s">
        <v>3889</v>
      </c>
      <c r="C3807" t="s">
        <v>276</v>
      </c>
      <c r="D3807">
        <v>1</v>
      </c>
      <c r="E3807">
        <v>57</v>
      </c>
      <c r="F3807">
        <v>19</v>
      </c>
      <c r="G3807">
        <v>57</v>
      </c>
      <c r="H3807" s="4">
        <v>19</v>
      </c>
      <c r="I3807" s="4">
        <v>38</v>
      </c>
      <c r="J3807" t="s">
        <v>230</v>
      </c>
      <c r="K3807" t="s">
        <v>42</v>
      </c>
      <c r="L3807" s="4">
        <v>12.172922939334034</v>
      </c>
      <c r="M3807" s="1" t="s">
        <v>38</v>
      </c>
      <c r="N3807" s="11">
        <f t="shared" si="59"/>
        <v>5</v>
      </c>
    </row>
    <row r="3808" spans="1:14" ht="16" x14ac:dyDescent="0.2">
      <c r="A3808" s="3">
        <v>44596</v>
      </c>
      <c r="B3808" s="1" t="s">
        <v>1945</v>
      </c>
      <c r="C3808" t="s">
        <v>375</v>
      </c>
      <c r="D3808">
        <v>13</v>
      </c>
      <c r="E3808">
        <v>360</v>
      </c>
      <c r="F3808">
        <v>90</v>
      </c>
      <c r="G3808">
        <v>4680</v>
      </c>
      <c r="H3808" s="4">
        <v>1170</v>
      </c>
      <c r="I3808" s="4">
        <v>3510</v>
      </c>
      <c r="J3808" t="s">
        <v>962</v>
      </c>
      <c r="K3808" t="s">
        <v>86</v>
      </c>
      <c r="L3808" s="4">
        <v>10.968401424454578</v>
      </c>
      <c r="M3808" s="1" t="s">
        <v>38</v>
      </c>
      <c r="N3808" s="11">
        <f t="shared" si="59"/>
        <v>5</v>
      </c>
    </row>
    <row r="3809" spans="1:14" ht="16" x14ac:dyDescent="0.2">
      <c r="A3809" s="3">
        <v>44597</v>
      </c>
      <c r="B3809" s="1" t="s">
        <v>3890</v>
      </c>
      <c r="C3809" t="s">
        <v>607</v>
      </c>
      <c r="D3809">
        <v>3</v>
      </c>
      <c r="E3809">
        <v>225</v>
      </c>
      <c r="F3809">
        <v>75</v>
      </c>
      <c r="G3809">
        <v>675</v>
      </c>
      <c r="H3809" s="4">
        <v>225</v>
      </c>
      <c r="I3809" s="4">
        <v>450</v>
      </c>
      <c r="J3809" t="s">
        <v>1702</v>
      </c>
      <c r="K3809" t="s">
        <v>42</v>
      </c>
      <c r="L3809" s="4">
        <v>11.375127981841125</v>
      </c>
      <c r="M3809" s="1" t="s">
        <v>38</v>
      </c>
      <c r="N3809" s="11">
        <f t="shared" si="59"/>
        <v>5</v>
      </c>
    </row>
    <row r="3810" spans="1:14" ht="16" x14ac:dyDescent="0.2">
      <c r="A3810" s="3">
        <v>44598</v>
      </c>
      <c r="B3810" s="1" t="s">
        <v>3891</v>
      </c>
      <c r="C3810" t="s">
        <v>297</v>
      </c>
      <c r="D3810">
        <v>7</v>
      </c>
      <c r="E3810">
        <v>108</v>
      </c>
      <c r="F3810">
        <v>36</v>
      </c>
      <c r="G3810">
        <v>756</v>
      </c>
      <c r="H3810" s="4">
        <v>252</v>
      </c>
      <c r="I3810" s="4">
        <v>504</v>
      </c>
      <c r="J3810" t="s">
        <v>474</v>
      </c>
      <c r="K3810" t="s">
        <v>33</v>
      </c>
      <c r="L3810" s="4">
        <v>9.629298039722805</v>
      </c>
      <c r="M3810" s="1" t="s">
        <v>38</v>
      </c>
      <c r="N3810" s="11">
        <f t="shared" si="59"/>
        <v>5</v>
      </c>
    </row>
    <row r="3811" spans="1:14" ht="16" x14ac:dyDescent="0.2">
      <c r="A3811" s="3">
        <v>44599</v>
      </c>
      <c r="B3811" s="1" t="s">
        <v>3892</v>
      </c>
      <c r="C3811" t="s">
        <v>185</v>
      </c>
      <c r="D3811">
        <v>2</v>
      </c>
      <c r="E3811">
        <v>146</v>
      </c>
      <c r="F3811">
        <v>73</v>
      </c>
      <c r="G3811">
        <v>292</v>
      </c>
      <c r="H3811" s="4">
        <v>146</v>
      </c>
      <c r="I3811" s="4">
        <v>146</v>
      </c>
      <c r="J3811" t="s">
        <v>52</v>
      </c>
      <c r="K3811" t="s">
        <v>53</v>
      </c>
      <c r="L3811" s="4">
        <v>12.169266722245851</v>
      </c>
      <c r="M3811" s="1" t="s">
        <v>38</v>
      </c>
      <c r="N3811" s="11">
        <f t="shared" si="59"/>
        <v>5</v>
      </c>
    </row>
    <row r="3812" spans="1:14" ht="16" x14ac:dyDescent="0.2">
      <c r="A3812" s="3">
        <v>44600</v>
      </c>
      <c r="B3812" s="1" t="s">
        <v>3893</v>
      </c>
      <c r="C3812" t="s">
        <v>113</v>
      </c>
      <c r="D3812">
        <v>17</v>
      </c>
      <c r="E3812">
        <v>66</v>
      </c>
      <c r="F3812">
        <v>33</v>
      </c>
      <c r="G3812">
        <v>1122</v>
      </c>
      <c r="H3812" s="4">
        <v>561</v>
      </c>
      <c r="I3812" s="4">
        <v>561</v>
      </c>
      <c r="J3812" t="s">
        <v>219</v>
      </c>
      <c r="K3812" t="s">
        <v>49</v>
      </c>
      <c r="L3812" s="4">
        <v>13.697485557052493</v>
      </c>
      <c r="M3812" s="1" t="s">
        <v>54</v>
      </c>
      <c r="N3812" s="11">
        <f t="shared" si="59"/>
        <v>10</v>
      </c>
    </row>
    <row r="3813" spans="1:14" ht="16" x14ac:dyDescent="0.2">
      <c r="A3813" s="3">
        <v>44601</v>
      </c>
      <c r="B3813" s="1" t="s">
        <v>3894</v>
      </c>
      <c r="C3813" t="s">
        <v>130</v>
      </c>
      <c r="D3813">
        <v>8</v>
      </c>
      <c r="E3813">
        <v>144</v>
      </c>
      <c r="F3813">
        <v>48</v>
      </c>
      <c r="G3813">
        <v>1152</v>
      </c>
      <c r="H3813" s="4">
        <v>384</v>
      </c>
      <c r="I3813" s="4">
        <v>768</v>
      </c>
      <c r="J3813" t="s">
        <v>262</v>
      </c>
      <c r="K3813" t="s">
        <v>86</v>
      </c>
      <c r="L3813" s="4">
        <v>12.796588406005421</v>
      </c>
      <c r="M3813" s="1" t="s">
        <v>54</v>
      </c>
      <c r="N3813" s="11">
        <f t="shared" si="59"/>
        <v>10</v>
      </c>
    </row>
    <row r="3814" spans="1:14" ht="16" x14ac:dyDescent="0.2">
      <c r="A3814" s="3">
        <v>44602</v>
      </c>
      <c r="B3814" s="1" t="s">
        <v>3895</v>
      </c>
      <c r="C3814" t="s">
        <v>171</v>
      </c>
      <c r="D3814">
        <v>15</v>
      </c>
      <c r="E3814">
        <v>225</v>
      </c>
      <c r="F3814">
        <v>75</v>
      </c>
      <c r="G3814">
        <v>3375</v>
      </c>
      <c r="H3814" s="4">
        <v>1125</v>
      </c>
      <c r="I3814" s="4">
        <v>2250</v>
      </c>
      <c r="J3814" t="s">
        <v>616</v>
      </c>
      <c r="K3814" t="s">
        <v>49</v>
      </c>
      <c r="L3814" s="4">
        <v>13.466362789017223</v>
      </c>
      <c r="M3814" s="1" t="s">
        <v>34</v>
      </c>
      <c r="N3814" s="11">
        <f t="shared" si="59"/>
        <v>1</v>
      </c>
    </row>
    <row r="3815" spans="1:14" ht="16" x14ac:dyDescent="0.2">
      <c r="A3815" s="3">
        <v>44603</v>
      </c>
      <c r="B3815" s="1" t="s">
        <v>3896</v>
      </c>
      <c r="C3815" t="s">
        <v>544</v>
      </c>
      <c r="D3815">
        <v>11</v>
      </c>
      <c r="E3815">
        <v>267</v>
      </c>
      <c r="F3815">
        <v>89</v>
      </c>
      <c r="G3815">
        <v>2937</v>
      </c>
      <c r="H3815" s="4">
        <v>979</v>
      </c>
      <c r="I3815" s="4">
        <v>1958</v>
      </c>
      <c r="J3815" t="s">
        <v>495</v>
      </c>
      <c r="K3815" t="s">
        <v>64</v>
      </c>
      <c r="L3815" s="4">
        <v>8.8878868765808274</v>
      </c>
      <c r="M3815" s="1" t="s">
        <v>54</v>
      </c>
      <c r="N3815" s="11">
        <f t="shared" si="59"/>
        <v>10</v>
      </c>
    </row>
    <row r="3816" spans="1:14" ht="16" x14ac:dyDescent="0.2">
      <c r="A3816" s="3">
        <v>44604</v>
      </c>
      <c r="B3816" s="1" t="s">
        <v>3897</v>
      </c>
      <c r="C3816" t="s">
        <v>178</v>
      </c>
      <c r="D3816">
        <v>6</v>
      </c>
      <c r="E3816">
        <v>189</v>
      </c>
      <c r="F3816">
        <v>63</v>
      </c>
      <c r="G3816">
        <v>1134</v>
      </c>
      <c r="H3816" s="4">
        <v>378</v>
      </c>
      <c r="I3816" s="4">
        <v>756</v>
      </c>
      <c r="J3816" t="s">
        <v>79</v>
      </c>
      <c r="K3816" t="s">
        <v>64</v>
      </c>
      <c r="L3816" s="4">
        <v>12.163730387337393</v>
      </c>
      <c r="M3816" s="1" t="s">
        <v>38</v>
      </c>
      <c r="N3816" s="11">
        <f t="shared" si="59"/>
        <v>5</v>
      </c>
    </row>
    <row r="3817" spans="1:14" ht="16" x14ac:dyDescent="0.2">
      <c r="A3817" s="3">
        <v>44605</v>
      </c>
      <c r="B3817" s="1" t="s">
        <v>3898</v>
      </c>
      <c r="C3817" t="s">
        <v>154</v>
      </c>
      <c r="D3817">
        <v>10</v>
      </c>
      <c r="E3817">
        <v>308</v>
      </c>
      <c r="F3817">
        <v>77</v>
      </c>
      <c r="G3817">
        <v>3080</v>
      </c>
      <c r="H3817" s="4">
        <v>770</v>
      </c>
      <c r="I3817" s="4">
        <v>2310</v>
      </c>
      <c r="J3817" t="s">
        <v>862</v>
      </c>
      <c r="K3817" t="s">
        <v>58</v>
      </c>
      <c r="L3817" s="4">
        <v>13.827196127590291</v>
      </c>
      <c r="M3817" s="1" t="s">
        <v>34</v>
      </c>
      <c r="N3817" s="11">
        <f t="shared" si="59"/>
        <v>1</v>
      </c>
    </row>
    <row r="3818" spans="1:14" ht="16" x14ac:dyDescent="0.2">
      <c r="A3818" s="3">
        <v>44606</v>
      </c>
      <c r="B3818" s="1" t="s">
        <v>3899</v>
      </c>
      <c r="C3818" t="s">
        <v>394</v>
      </c>
      <c r="D3818">
        <v>17</v>
      </c>
      <c r="E3818">
        <v>58</v>
      </c>
      <c r="F3818">
        <v>29</v>
      </c>
      <c r="G3818">
        <v>986</v>
      </c>
      <c r="H3818" s="4">
        <v>493</v>
      </c>
      <c r="I3818" s="4">
        <v>493</v>
      </c>
      <c r="J3818" t="s">
        <v>440</v>
      </c>
      <c r="K3818" t="s">
        <v>33</v>
      </c>
      <c r="L3818" s="4">
        <v>10.408704992688252</v>
      </c>
      <c r="M3818" s="1" t="s">
        <v>38</v>
      </c>
      <c r="N3818" s="11">
        <f t="shared" si="59"/>
        <v>5</v>
      </c>
    </row>
    <row r="3819" spans="1:14" ht="16" x14ac:dyDescent="0.2">
      <c r="A3819" s="3">
        <v>44607</v>
      </c>
      <c r="B3819" s="1" t="s">
        <v>3900</v>
      </c>
      <c r="C3819" t="s">
        <v>779</v>
      </c>
      <c r="D3819">
        <v>9</v>
      </c>
      <c r="E3819">
        <v>120</v>
      </c>
      <c r="F3819">
        <v>30</v>
      </c>
      <c r="G3819">
        <v>1080</v>
      </c>
      <c r="H3819" s="4">
        <v>270</v>
      </c>
      <c r="I3819" s="4">
        <v>810</v>
      </c>
      <c r="J3819" t="s">
        <v>361</v>
      </c>
      <c r="K3819" t="s">
        <v>64</v>
      </c>
      <c r="L3819" s="4">
        <v>13.092530646074781</v>
      </c>
      <c r="M3819" s="1" t="s">
        <v>38</v>
      </c>
      <c r="N3819" s="11">
        <f t="shared" si="59"/>
        <v>5</v>
      </c>
    </row>
    <row r="3820" spans="1:14" ht="16" x14ac:dyDescent="0.2">
      <c r="A3820" s="3">
        <v>44608</v>
      </c>
      <c r="B3820" s="1" t="s">
        <v>3901</v>
      </c>
      <c r="C3820" t="s">
        <v>779</v>
      </c>
      <c r="D3820">
        <v>12</v>
      </c>
      <c r="E3820">
        <v>120</v>
      </c>
      <c r="F3820">
        <v>30</v>
      </c>
      <c r="G3820">
        <v>1440</v>
      </c>
      <c r="H3820" s="4">
        <v>360</v>
      </c>
      <c r="I3820" s="4">
        <v>1080</v>
      </c>
      <c r="J3820" t="s">
        <v>305</v>
      </c>
      <c r="K3820" t="s">
        <v>86</v>
      </c>
      <c r="L3820" s="4">
        <v>10.317615395419679</v>
      </c>
      <c r="M3820" s="1" t="s">
        <v>34</v>
      </c>
      <c r="N3820" s="11">
        <f t="shared" si="59"/>
        <v>1</v>
      </c>
    </row>
    <row r="3821" spans="1:14" ht="16" x14ac:dyDescent="0.2">
      <c r="A3821" s="3">
        <v>44609</v>
      </c>
      <c r="B3821" s="1" t="s">
        <v>3902</v>
      </c>
      <c r="C3821" t="s">
        <v>266</v>
      </c>
      <c r="D3821">
        <v>7</v>
      </c>
      <c r="E3821">
        <v>50</v>
      </c>
      <c r="F3821">
        <v>25</v>
      </c>
      <c r="G3821">
        <v>350</v>
      </c>
      <c r="H3821" s="4">
        <v>175</v>
      </c>
      <c r="I3821" s="4">
        <v>175</v>
      </c>
      <c r="J3821" t="s">
        <v>253</v>
      </c>
      <c r="K3821" t="s">
        <v>53</v>
      </c>
      <c r="L3821" s="4">
        <v>13.918153610259502</v>
      </c>
      <c r="M3821" s="1" t="s">
        <v>38</v>
      </c>
      <c r="N3821" s="11">
        <f t="shared" si="59"/>
        <v>5</v>
      </c>
    </row>
    <row r="3822" spans="1:14" ht="16" x14ac:dyDescent="0.2">
      <c r="A3822" s="3">
        <v>44610</v>
      </c>
      <c r="B3822" s="1" t="s">
        <v>3903</v>
      </c>
      <c r="C3822" t="s">
        <v>101</v>
      </c>
      <c r="D3822">
        <v>5</v>
      </c>
      <c r="E3822">
        <v>50</v>
      </c>
      <c r="F3822">
        <v>25</v>
      </c>
      <c r="G3822">
        <v>250</v>
      </c>
      <c r="H3822" s="4">
        <v>125</v>
      </c>
      <c r="I3822" s="4">
        <v>125</v>
      </c>
      <c r="J3822" t="s">
        <v>1129</v>
      </c>
      <c r="K3822" t="s">
        <v>33</v>
      </c>
      <c r="L3822" s="4">
        <v>10.585251392347548</v>
      </c>
      <c r="M3822" s="1" t="s">
        <v>54</v>
      </c>
      <c r="N3822" s="11">
        <f t="shared" si="59"/>
        <v>10</v>
      </c>
    </row>
    <row r="3823" spans="1:14" ht="16" x14ac:dyDescent="0.2">
      <c r="A3823" s="3">
        <v>44611</v>
      </c>
      <c r="B3823" s="1" t="s">
        <v>3904</v>
      </c>
      <c r="C3823" t="s">
        <v>88</v>
      </c>
      <c r="D3823">
        <v>7</v>
      </c>
      <c r="E3823">
        <v>210</v>
      </c>
      <c r="F3823">
        <v>70</v>
      </c>
      <c r="G3823">
        <v>1470</v>
      </c>
      <c r="H3823" s="4">
        <v>490</v>
      </c>
      <c r="I3823" s="4">
        <v>980</v>
      </c>
      <c r="J3823" t="s">
        <v>1414</v>
      </c>
      <c r="K3823" t="s">
        <v>42</v>
      </c>
      <c r="L3823" s="4">
        <v>8.6625575824723242</v>
      </c>
      <c r="M3823" s="1" t="s">
        <v>38</v>
      </c>
      <c r="N3823" s="11">
        <f t="shared" si="59"/>
        <v>5</v>
      </c>
    </row>
    <row r="3824" spans="1:14" ht="16" x14ac:dyDescent="0.2">
      <c r="A3824" s="3">
        <v>44612</v>
      </c>
      <c r="B3824" s="1" t="s">
        <v>3905</v>
      </c>
      <c r="C3824" t="s">
        <v>78</v>
      </c>
      <c r="D3824">
        <v>18</v>
      </c>
      <c r="E3824">
        <v>94</v>
      </c>
      <c r="F3824">
        <v>47</v>
      </c>
      <c r="G3824">
        <v>1692</v>
      </c>
      <c r="H3824" s="4">
        <v>846</v>
      </c>
      <c r="I3824" s="4">
        <v>846</v>
      </c>
      <c r="J3824" t="s">
        <v>629</v>
      </c>
      <c r="K3824" t="s">
        <v>53</v>
      </c>
      <c r="L3824" s="4">
        <v>9.8892508156549788</v>
      </c>
      <c r="M3824" s="1" t="s">
        <v>38</v>
      </c>
      <c r="N3824" s="11">
        <f t="shared" si="59"/>
        <v>5</v>
      </c>
    </row>
    <row r="3825" spans="1:14" ht="16" x14ac:dyDescent="0.2">
      <c r="A3825" s="3">
        <v>44613</v>
      </c>
      <c r="B3825" s="1" t="s">
        <v>3906</v>
      </c>
      <c r="C3825" t="s">
        <v>171</v>
      </c>
      <c r="D3825">
        <v>19</v>
      </c>
      <c r="E3825">
        <v>225</v>
      </c>
      <c r="F3825">
        <v>75</v>
      </c>
      <c r="G3825">
        <v>4275</v>
      </c>
      <c r="H3825" s="4">
        <v>1425</v>
      </c>
      <c r="I3825" s="4">
        <v>2850</v>
      </c>
      <c r="J3825" t="s">
        <v>121</v>
      </c>
      <c r="K3825" t="s">
        <v>64</v>
      </c>
      <c r="L3825" s="4">
        <v>14.16303548174143</v>
      </c>
      <c r="M3825" s="1" t="s">
        <v>38</v>
      </c>
      <c r="N3825" s="11">
        <f t="shared" si="59"/>
        <v>5</v>
      </c>
    </row>
    <row r="3826" spans="1:14" ht="16" x14ac:dyDescent="0.2">
      <c r="A3826" s="3">
        <v>44614</v>
      </c>
      <c r="B3826" s="1" t="s">
        <v>3907</v>
      </c>
      <c r="C3826" t="s">
        <v>312</v>
      </c>
      <c r="D3826">
        <v>4</v>
      </c>
      <c r="E3826">
        <v>240</v>
      </c>
      <c r="F3826">
        <v>80</v>
      </c>
      <c r="G3826">
        <v>960</v>
      </c>
      <c r="H3826" s="4">
        <v>320</v>
      </c>
      <c r="I3826" s="4">
        <v>640</v>
      </c>
      <c r="J3826" t="s">
        <v>892</v>
      </c>
      <c r="K3826" t="s">
        <v>33</v>
      </c>
      <c r="L3826" s="4">
        <v>13.062292798511226</v>
      </c>
      <c r="M3826" s="1" t="s">
        <v>34</v>
      </c>
      <c r="N3826" s="11">
        <f t="shared" si="59"/>
        <v>1</v>
      </c>
    </row>
    <row r="3827" spans="1:14" ht="16" x14ac:dyDescent="0.2">
      <c r="A3827" s="3">
        <v>44615</v>
      </c>
      <c r="B3827" s="1" t="s">
        <v>3908</v>
      </c>
      <c r="C3827" t="s">
        <v>40</v>
      </c>
      <c r="D3827">
        <v>15</v>
      </c>
      <c r="E3827">
        <v>46</v>
      </c>
      <c r="F3827">
        <v>23</v>
      </c>
      <c r="G3827">
        <v>690</v>
      </c>
      <c r="H3827" s="4">
        <v>345</v>
      </c>
      <c r="I3827" s="4">
        <v>345</v>
      </c>
      <c r="J3827" t="s">
        <v>962</v>
      </c>
      <c r="K3827" t="s">
        <v>86</v>
      </c>
      <c r="L3827" s="4">
        <v>10.968401424454578</v>
      </c>
      <c r="M3827" s="1" t="s">
        <v>38</v>
      </c>
      <c r="N3827" s="11">
        <f t="shared" si="59"/>
        <v>5</v>
      </c>
    </row>
    <row r="3828" spans="1:14" ht="16" x14ac:dyDescent="0.2">
      <c r="A3828" s="3">
        <v>44616</v>
      </c>
      <c r="B3828" s="1" t="s">
        <v>3909</v>
      </c>
      <c r="C3828" t="s">
        <v>523</v>
      </c>
      <c r="D3828">
        <v>7</v>
      </c>
      <c r="E3828">
        <v>92</v>
      </c>
      <c r="F3828">
        <v>46</v>
      </c>
      <c r="G3828">
        <v>644</v>
      </c>
      <c r="H3828" s="4">
        <v>322</v>
      </c>
      <c r="I3828" s="4">
        <v>322</v>
      </c>
      <c r="J3828" t="s">
        <v>216</v>
      </c>
      <c r="K3828" t="s">
        <v>58</v>
      </c>
      <c r="L3828" s="4">
        <v>15.556812309269255</v>
      </c>
      <c r="M3828" s="1" t="s">
        <v>54</v>
      </c>
      <c r="N3828" s="11">
        <f t="shared" si="59"/>
        <v>10</v>
      </c>
    </row>
    <row r="3829" spans="1:14" ht="16" x14ac:dyDescent="0.2">
      <c r="A3829" s="3">
        <v>44617</v>
      </c>
      <c r="B3829" s="1" t="s">
        <v>3910</v>
      </c>
      <c r="C3829" t="s">
        <v>201</v>
      </c>
      <c r="D3829">
        <v>5</v>
      </c>
      <c r="E3829">
        <v>30</v>
      </c>
      <c r="F3829">
        <v>15</v>
      </c>
      <c r="G3829">
        <v>150</v>
      </c>
      <c r="H3829" s="4">
        <v>75</v>
      </c>
      <c r="I3829" s="4">
        <v>75</v>
      </c>
      <c r="J3829" t="s">
        <v>962</v>
      </c>
      <c r="K3829" t="s">
        <v>86</v>
      </c>
      <c r="L3829" s="4">
        <v>10.968401424454578</v>
      </c>
      <c r="M3829" s="1" t="s">
        <v>38</v>
      </c>
      <c r="N3829" s="11">
        <f t="shared" si="59"/>
        <v>5</v>
      </c>
    </row>
    <row r="3830" spans="1:14" ht="16" x14ac:dyDescent="0.2">
      <c r="A3830" s="3">
        <v>44618</v>
      </c>
      <c r="B3830" s="1" t="s">
        <v>3911</v>
      </c>
      <c r="C3830" t="s">
        <v>115</v>
      </c>
      <c r="D3830">
        <v>5</v>
      </c>
      <c r="E3830">
        <v>81</v>
      </c>
      <c r="F3830">
        <v>27</v>
      </c>
      <c r="G3830">
        <v>405</v>
      </c>
      <c r="H3830" s="4">
        <v>135</v>
      </c>
      <c r="I3830" s="4">
        <v>270</v>
      </c>
      <c r="J3830" t="s">
        <v>321</v>
      </c>
      <c r="K3830" t="s">
        <v>42</v>
      </c>
      <c r="L3830" s="4">
        <v>7.7337149713827413</v>
      </c>
      <c r="M3830" s="1" t="s">
        <v>38</v>
      </c>
      <c r="N3830" s="11">
        <f t="shared" si="59"/>
        <v>5</v>
      </c>
    </row>
    <row r="3831" spans="1:14" ht="16" x14ac:dyDescent="0.2">
      <c r="A3831" s="3">
        <v>44619</v>
      </c>
      <c r="B3831" s="1" t="s">
        <v>3912</v>
      </c>
      <c r="C3831" t="s">
        <v>391</v>
      </c>
      <c r="D3831">
        <v>14</v>
      </c>
      <c r="E3831">
        <v>72</v>
      </c>
      <c r="F3831">
        <v>36</v>
      </c>
      <c r="G3831">
        <v>1008</v>
      </c>
      <c r="H3831" s="4">
        <v>504</v>
      </c>
      <c r="I3831" s="4">
        <v>504</v>
      </c>
      <c r="J3831" t="s">
        <v>85</v>
      </c>
      <c r="K3831" t="s">
        <v>86</v>
      </c>
      <c r="L3831" s="4">
        <v>11.631646244583138</v>
      </c>
      <c r="M3831" s="1" t="s">
        <v>54</v>
      </c>
      <c r="N3831" s="11">
        <f t="shared" si="59"/>
        <v>10</v>
      </c>
    </row>
    <row r="3832" spans="1:14" ht="16" x14ac:dyDescent="0.2">
      <c r="A3832" s="3">
        <v>44620</v>
      </c>
      <c r="B3832" s="1" t="s">
        <v>3913</v>
      </c>
      <c r="C3832" t="s">
        <v>56</v>
      </c>
      <c r="D3832">
        <v>10</v>
      </c>
      <c r="E3832">
        <v>38</v>
      </c>
      <c r="F3832">
        <v>19</v>
      </c>
      <c r="G3832">
        <v>380</v>
      </c>
      <c r="H3832" s="4">
        <v>190</v>
      </c>
      <c r="I3832" s="4">
        <v>190</v>
      </c>
      <c r="J3832" t="s">
        <v>453</v>
      </c>
      <c r="K3832" t="s">
        <v>42</v>
      </c>
      <c r="L3832" s="4">
        <v>13.104576594826185</v>
      </c>
      <c r="M3832" s="1" t="s">
        <v>38</v>
      </c>
      <c r="N3832" s="11">
        <f t="shared" si="59"/>
        <v>5</v>
      </c>
    </row>
    <row r="3833" spans="1:14" ht="16" x14ac:dyDescent="0.2">
      <c r="A3833" s="3">
        <v>44621</v>
      </c>
      <c r="B3833" s="1" t="s">
        <v>3914</v>
      </c>
      <c r="C3833" t="s">
        <v>240</v>
      </c>
      <c r="D3833">
        <v>14</v>
      </c>
      <c r="E3833">
        <v>108</v>
      </c>
      <c r="F3833">
        <v>54</v>
      </c>
      <c r="G3833">
        <v>1512</v>
      </c>
      <c r="H3833" s="4">
        <v>756</v>
      </c>
      <c r="I3833" s="4">
        <v>756</v>
      </c>
      <c r="J3833" t="s">
        <v>786</v>
      </c>
      <c r="K3833" t="s">
        <v>86</v>
      </c>
      <c r="L3833" s="4">
        <v>13.095446915421235</v>
      </c>
      <c r="M3833" s="1" t="s">
        <v>34</v>
      </c>
      <c r="N3833" s="11">
        <f t="shared" si="59"/>
        <v>1</v>
      </c>
    </row>
    <row r="3834" spans="1:14" ht="16" x14ac:dyDescent="0.2">
      <c r="A3834" s="3">
        <v>44622</v>
      </c>
      <c r="B3834" s="1" t="s">
        <v>2880</v>
      </c>
      <c r="C3834" t="s">
        <v>201</v>
      </c>
      <c r="D3834">
        <v>11</v>
      </c>
      <c r="E3834">
        <v>30</v>
      </c>
      <c r="F3834">
        <v>15</v>
      </c>
      <c r="G3834">
        <v>330</v>
      </c>
      <c r="H3834" s="4">
        <v>165</v>
      </c>
      <c r="I3834" s="4">
        <v>165</v>
      </c>
      <c r="J3834" t="s">
        <v>564</v>
      </c>
      <c r="K3834" t="s">
        <v>53</v>
      </c>
      <c r="L3834" s="4">
        <v>11.563724686003232</v>
      </c>
      <c r="M3834" s="1" t="s">
        <v>38</v>
      </c>
      <c r="N3834" s="11">
        <f t="shared" si="59"/>
        <v>5</v>
      </c>
    </row>
    <row r="3835" spans="1:14" ht="16" x14ac:dyDescent="0.2">
      <c r="A3835" s="3">
        <v>44623</v>
      </c>
      <c r="B3835" s="1" t="s">
        <v>3915</v>
      </c>
      <c r="C3835" t="s">
        <v>209</v>
      </c>
      <c r="D3835">
        <v>10</v>
      </c>
      <c r="E3835">
        <v>150</v>
      </c>
      <c r="F3835">
        <v>75</v>
      </c>
      <c r="G3835">
        <v>1500</v>
      </c>
      <c r="H3835" s="4">
        <v>750</v>
      </c>
      <c r="I3835" s="4">
        <v>750</v>
      </c>
      <c r="J3835" t="s">
        <v>96</v>
      </c>
      <c r="K3835" t="s">
        <v>64</v>
      </c>
      <c r="L3835" s="4">
        <v>12.072414596936037</v>
      </c>
      <c r="M3835" s="1" t="s">
        <v>34</v>
      </c>
      <c r="N3835" s="11">
        <f t="shared" si="59"/>
        <v>1</v>
      </c>
    </row>
    <row r="3836" spans="1:14" ht="16" x14ac:dyDescent="0.2">
      <c r="A3836" s="3">
        <v>44624</v>
      </c>
      <c r="B3836" s="1" t="s">
        <v>3916</v>
      </c>
      <c r="C3836" t="s">
        <v>304</v>
      </c>
      <c r="D3836">
        <v>5</v>
      </c>
      <c r="E3836">
        <v>116</v>
      </c>
      <c r="F3836">
        <v>29</v>
      </c>
      <c r="G3836">
        <v>580</v>
      </c>
      <c r="H3836" s="4">
        <v>145</v>
      </c>
      <c r="I3836" s="4">
        <v>435</v>
      </c>
      <c r="J3836" t="s">
        <v>962</v>
      </c>
      <c r="K3836" t="s">
        <v>86</v>
      </c>
      <c r="L3836" s="4">
        <v>10.968401424454578</v>
      </c>
      <c r="M3836" s="1" t="s">
        <v>38</v>
      </c>
      <c r="N3836" s="11">
        <f t="shared" si="59"/>
        <v>5</v>
      </c>
    </row>
    <row r="3837" spans="1:14" ht="16" x14ac:dyDescent="0.2">
      <c r="A3837" s="3">
        <v>44625</v>
      </c>
      <c r="B3837" s="1" t="s">
        <v>3917</v>
      </c>
      <c r="C3837" t="s">
        <v>171</v>
      </c>
      <c r="D3837">
        <v>15</v>
      </c>
      <c r="E3837">
        <v>225</v>
      </c>
      <c r="F3837">
        <v>75</v>
      </c>
      <c r="G3837">
        <v>3375</v>
      </c>
      <c r="H3837" s="4">
        <v>1125</v>
      </c>
      <c r="I3837" s="4">
        <v>2250</v>
      </c>
      <c r="J3837" t="s">
        <v>236</v>
      </c>
      <c r="K3837" t="s">
        <v>53</v>
      </c>
      <c r="L3837" s="4">
        <v>9.3014286057233697</v>
      </c>
      <c r="M3837" s="1" t="s">
        <v>54</v>
      </c>
      <c r="N3837" s="11">
        <f t="shared" si="59"/>
        <v>10</v>
      </c>
    </row>
    <row r="3838" spans="1:14" ht="16" x14ac:dyDescent="0.2">
      <c r="A3838" s="3">
        <v>44626</v>
      </c>
      <c r="B3838" s="1" t="s">
        <v>3918</v>
      </c>
      <c r="C3838" t="s">
        <v>547</v>
      </c>
      <c r="D3838">
        <v>1</v>
      </c>
      <c r="E3838">
        <v>300</v>
      </c>
      <c r="F3838">
        <v>75</v>
      </c>
      <c r="G3838">
        <v>300</v>
      </c>
      <c r="H3838" s="4">
        <v>75</v>
      </c>
      <c r="I3838" s="4">
        <v>225</v>
      </c>
      <c r="J3838" t="s">
        <v>713</v>
      </c>
      <c r="K3838" t="s">
        <v>42</v>
      </c>
      <c r="L3838" s="4">
        <v>10.956589836772277</v>
      </c>
      <c r="M3838" s="1" t="s">
        <v>54</v>
      </c>
      <c r="N3838" s="11">
        <f t="shared" si="59"/>
        <v>10</v>
      </c>
    </row>
    <row r="3839" spans="1:14" ht="16" x14ac:dyDescent="0.2">
      <c r="A3839" s="3">
        <v>44627</v>
      </c>
      <c r="B3839" s="1" t="s">
        <v>3919</v>
      </c>
      <c r="C3839" t="s">
        <v>47</v>
      </c>
      <c r="D3839">
        <v>10</v>
      </c>
      <c r="E3839">
        <v>231</v>
      </c>
      <c r="F3839">
        <v>77</v>
      </c>
      <c r="G3839">
        <v>2310</v>
      </c>
      <c r="H3839" s="4">
        <v>770</v>
      </c>
      <c r="I3839" s="4">
        <v>1540</v>
      </c>
      <c r="J3839" t="s">
        <v>249</v>
      </c>
      <c r="K3839" t="s">
        <v>49</v>
      </c>
      <c r="L3839" s="4">
        <v>12.699346182652626</v>
      </c>
      <c r="M3839" s="1" t="s">
        <v>38</v>
      </c>
      <c r="N3839" s="11">
        <f t="shared" si="59"/>
        <v>5</v>
      </c>
    </row>
    <row r="3840" spans="1:14" ht="16" x14ac:dyDescent="0.2">
      <c r="A3840" s="3">
        <v>44628</v>
      </c>
      <c r="B3840" s="1" t="s">
        <v>3920</v>
      </c>
      <c r="C3840" t="s">
        <v>487</v>
      </c>
      <c r="D3840">
        <v>1</v>
      </c>
      <c r="E3840">
        <v>264</v>
      </c>
      <c r="F3840">
        <v>88</v>
      </c>
      <c r="G3840">
        <v>264</v>
      </c>
      <c r="H3840" s="4">
        <v>88</v>
      </c>
      <c r="I3840" s="4">
        <v>176</v>
      </c>
      <c r="J3840" t="s">
        <v>482</v>
      </c>
      <c r="K3840" t="s">
        <v>42</v>
      </c>
      <c r="L3840" s="4">
        <v>11.311040680082275</v>
      </c>
      <c r="M3840" s="1" t="s">
        <v>38</v>
      </c>
      <c r="N3840" s="11">
        <f t="shared" si="59"/>
        <v>5</v>
      </c>
    </row>
    <row r="3841" spans="1:14" ht="16" x14ac:dyDescent="0.2">
      <c r="A3841" s="3">
        <v>44629</v>
      </c>
      <c r="B3841" s="1" t="s">
        <v>3921</v>
      </c>
      <c r="C3841" t="s">
        <v>66</v>
      </c>
      <c r="D3841">
        <v>16</v>
      </c>
      <c r="E3841">
        <v>144</v>
      </c>
      <c r="F3841">
        <v>48</v>
      </c>
      <c r="G3841">
        <v>2304</v>
      </c>
      <c r="H3841" s="4">
        <v>768</v>
      </c>
      <c r="I3841" s="4">
        <v>1536</v>
      </c>
      <c r="J3841" t="s">
        <v>611</v>
      </c>
      <c r="K3841" t="s">
        <v>58</v>
      </c>
      <c r="L3841" s="4">
        <v>7.8974070387684714</v>
      </c>
      <c r="M3841" s="1" t="s">
        <v>38</v>
      </c>
      <c r="N3841" s="11">
        <f t="shared" si="59"/>
        <v>5</v>
      </c>
    </row>
    <row r="3842" spans="1:14" ht="16" x14ac:dyDescent="0.2">
      <c r="A3842" s="3">
        <v>44630</v>
      </c>
      <c r="B3842" s="1" t="s">
        <v>3922</v>
      </c>
      <c r="C3842" t="s">
        <v>185</v>
      </c>
      <c r="D3842">
        <v>17</v>
      </c>
      <c r="E3842">
        <v>146</v>
      </c>
      <c r="F3842">
        <v>73</v>
      </c>
      <c r="G3842">
        <v>2482</v>
      </c>
      <c r="H3842" s="4">
        <v>1241</v>
      </c>
      <c r="I3842" s="4">
        <v>1241</v>
      </c>
      <c r="J3842" t="s">
        <v>686</v>
      </c>
      <c r="K3842" t="s">
        <v>86</v>
      </c>
      <c r="L3842" s="4">
        <v>8.1595626482464514</v>
      </c>
      <c r="M3842" s="1" t="s">
        <v>38</v>
      </c>
      <c r="N3842" s="11">
        <f t="shared" si="59"/>
        <v>5</v>
      </c>
    </row>
    <row r="3843" spans="1:14" ht="16" x14ac:dyDescent="0.2">
      <c r="A3843" s="3">
        <v>44631</v>
      </c>
      <c r="B3843" s="1" t="s">
        <v>3923</v>
      </c>
      <c r="C3843" t="s">
        <v>257</v>
      </c>
      <c r="D3843">
        <v>15</v>
      </c>
      <c r="E3843">
        <v>160</v>
      </c>
      <c r="F3843">
        <v>80</v>
      </c>
      <c r="G3843">
        <v>2400</v>
      </c>
      <c r="H3843" s="4">
        <v>1200</v>
      </c>
      <c r="I3843" s="4">
        <v>1200</v>
      </c>
      <c r="J3843" t="s">
        <v>643</v>
      </c>
      <c r="K3843" t="s">
        <v>33</v>
      </c>
      <c r="L3843" s="4">
        <v>12.275875773922367</v>
      </c>
      <c r="M3843" s="1" t="s">
        <v>38</v>
      </c>
      <c r="N3843" s="11">
        <f t="shared" ref="N3843:N3906" si="60">+IF(M3843="Dissatisfied",1,IF(M3843="Satisfied",10,5))</f>
        <v>5</v>
      </c>
    </row>
    <row r="3844" spans="1:14" ht="16" x14ac:dyDescent="0.2">
      <c r="A3844" s="3">
        <v>44632</v>
      </c>
      <c r="B3844" s="1" t="s">
        <v>3924</v>
      </c>
      <c r="C3844" t="s">
        <v>31</v>
      </c>
      <c r="D3844">
        <v>16</v>
      </c>
      <c r="E3844">
        <v>280</v>
      </c>
      <c r="F3844">
        <v>70</v>
      </c>
      <c r="G3844">
        <v>4480</v>
      </c>
      <c r="H3844" s="4">
        <v>1120</v>
      </c>
      <c r="I3844" s="4">
        <v>3360</v>
      </c>
      <c r="J3844" t="s">
        <v>539</v>
      </c>
      <c r="K3844" t="s">
        <v>49</v>
      </c>
      <c r="L3844" s="4">
        <v>10.954865572729823</v>
      </c>
      <c r="M3844" s="1" t="s">
        <v>38</v>
      </c>
      <c r="N3844" s="11">
        <f t="shared" si="60"/>
        <v>5</v>
      </c>
    </row>
    <row r="3845" spans="1:14" ht="16" x14ac:dyDescent="0.2">
      <c r="A3845" s="3">
        <v>44633</v>
      </c>
      <c r="B3845" s="1" t="s">
        <v>3925</v>
      </c>
      <c r="C3845" t="s">
        <v>304</v>
      </c>
      <c r="D3845">
        <v>13</v>
      </c>
      <c r="E3845">
        <v>116</v>
      </c>
      <c r="F3845">
        <v>29</v>
      </c>
      <c r="G3845">
        <v>1508</v>
      </c>
      <c r="H3845" s="4">
        <v>377</v>
      </c>
      <c r="I3845" s="4">
        <v>1131</v>
      </c>
      <c r="J3845" t="s">
        <v>1202</v>
      </c>
      <c r="K3845" t="s">
        <v>58</v>
      </c>
      <c r="L3845" s="4">
        <v>10.524491192521829</v>
      </c>
      <c r="M3845" s="1" t="s">
        <v>38</v>
      </c>
      <c r="N3845" s="11">
        <f t="shared" si="60"/>
        <v>5</v>
      </c>
    </row>
    <row r="3846" spans="1:14" ht="16" x14ac:dyDescent="0.2">
      <c r="A3846" s="3">
        <v>44634</v>
      </c>
      <c r="B3846" s="1" t="s">
        <v>3926</v>
      </c>
      <c r="C3846" t="s">
        <v>105</v>
      </c>
      <c r="D3846">
        <v>15</v>
      </c>
      <c r="E3846">
        <v>201</v>
      </c>
      <c r="F3846">
        <v>67</v>
      </c>
      <c r="G3846">
        <v>3015</v>
      </c>
      <c r="H3846" s="4">
        <v>1005</v>
      </c>
      <c r="I3846" s="4">
        <v>2010</v>
      </c>
      <c r="J3846" t="s">
        <v>1702</v>
      </c>
      <c r="K3846" t="s">
        <v>42</v>
      </c>
      <c r="L3846" s="4">
        <v>11.375127981841125</v>
      </c>
      <c r="M3846" s="1" t="s">
        <v>34</v>
      </c>
      <c r="N3846" s="11">
        <f t="shared" si="60"/>
        <v>1</v>
      </c>
    </row>
    <row r="3847" spans="1:14" ht="16" x14ac:dyDescent="0.2">
      <c r="A3847" s="3">
        <v>44635</v>
      </c>
      <c r="B3847" s="1" t="s">
        <v>3927</v>
      </c>
      <c r="C3847" t="s">
        <v>592</v>
      </c>
      <c r="D3847">
        <v>8</v>
      </c>
      <c r="E3847">
        <v>312</v>
      </c>
      <c r="F3847">
        <v>78</v>
      </c>
      <c r="G3847">
        <v>2496</v>
      </c>
      <c r="H3847" s="4">
        <v>624</v>
      </c>
      <c r="I3847" s="4">
        <v>1872</v>
      </c>
      <c r="J3847" t="s">
        <v>446</v>
      </c>
      <c r="K3847" t="s">
        <v>53</v>
      </c>
      <c r="L3847" s="4">
        <v>12.85215703546821</v>
      </c>
      <c r="M3847" s="1" t="s">
        <v>38</v>
      </c>
      <c r="N3847" s="11">
        <f t="shared" si="60"/>
        <v>5</v>
      </c>
    </row>
    <row r="3848" spans="1:14" ht="16" x14ac:dyDescent="0.2">
      <c r="A3848" s="3">
        <v>44636</v>
      </c>
      <c r="B3848" s="1" t="s">
        <v>3928</v>
      </c>
      <c r="C3848" t="s">
        <v>255</v>
      </c>
      <c r="D3848">
        <v>20</v>
      </c>
      <c r="E3848">
        <v>140</v>
      </c>
      <c r="F3848">
        <v>70</v>
      </c>
      <c r="G3848">
        <v>2800</v>
      </c>
      <c r="H3848" s="4">
        <v>1400</v>
      </c>
      <c r="I3848" s="4">
        <v>1400</v>
      </c>
      <c r="J3848" t="s">
        <v>1129</v>
      </c>
      <c r="K3848" t="s">
        <v>33</v>
      </c>
      <c r="L3848" s="4">
        <v>10.585251392347548</v>
      </c>
      <c r="M3848" s="1" t="s">
        <v>34</v>
      </c>
      <c r="N3848" s="11">
        <f t="shared" si="60"/>
        <v>1</v>
      </c>
    </row>
    <row r="3849" spans="1:14" ht="16" x14ac:dyDescent="0.2">
      <c r="A3849" s="3">
        <v>44637</v>
      </c>
      <c r="B3849" s="1" t="s">
        <v>3929</v>
      </c>
      <c r="C3849" t="s">
        <v>607</v>
      </c>
      <c r="D3849">
        <v>5</v>
      </c>
      <c r="E3849">
        <v>225</v>
      </c>
      <c r="F3849">
        <v>75</v>
      </c>
      <c r="G3849">
        <v>1125</v>
      </c>
      <c r="H3849" s="4">
        <v>375</v>
      </c>
      <c r="I3849" s="4">
        <v>750</v>
      </c>
      <c r="J3849" t="s">
        <v>371</v>
      </c>
      <c r="K3849" t="s">
        <v>58</v>
      </c>
      <c r="L3849" s="4">
        <v>12.004541523616258</v>
      </c>
      <c r="M3849" s="1" t="s">
        <v>38</v>
      </c>
      <c r="N3849" s="11">
        <f t="shared" si="60"/>
        <v>5</v>
      </c>
    </row>
    <row r="3850" spans="1:14" ht="16" x14ac:dyDescent="0.2">
      <c r="A3850" s="3">
        <v>44638</v>
      </c>
      <c r="B3850" s="1" t="s">
        <v>3930</v>
      </c>
      <c r="C3850" t="s">
        <v>188</v>
      </c>
      <c r="D3850">
        <v>9</v>
      </c>
      <c r="E3850">
        <v>368</v>
      </c>
      <c r="F3850">
        <v>92</v>
      </c>
      <c r="G3850">
        <v>3312</v>
      </c>
      <c r="H3850" s="4">
        <v>828</v>
      </c>
      <c r="I3850" s="4">
        <v>2484</v>
      </c>
      <c r="J3850" t="s">
        <v>517</v>
      </c>
      <c r="K3850" t="s">
        <v>86</v>
      </c>
      <c r="L3850" s="4">
        <v>13.57003172959007</v>
      </c>
      <c r="M3850" s="1" t="s">
        <v>38</v>
      </c>
      <c r="N3850" s="11">
        <f t="shared" si="60"/>
        <v>5</v>
      </c>
    </row>
    <row r="3851" spans="1:14" ht="16" x14ac:dyDescent="0.2">
      <c r="A3851" s="3">
        <v>44639</v>
      </c>
      <c r="B3851" s="1" t="s">
        <v>3931</v>
      </c>
      <c r="C3851" t="s">
        <v>62</v>
      </c>
      <c r="D3851">
        <v>1</v>
      </c>
      <c r="E3851">
        <v>80</v>
      </c>
      <c r="F3851">
        <v>20</v>
      </c>
      <c r="G3851">
        <v>80</v>
      </c>
      <c r="H3851" s="4">
        <v>20</v>
      </c>
      <c r="I3851" s="4">
        <v>60</v>
      </c>
      <c r="J3851" t="s">
        <v>1560</v>
      </c>
      <c r="K3851" t="s">
        <v>86</v>
      </c>
      <c r="L3851" s="4">
        <v>14.412865837260112</v>
      </c>
      <c r="M3851" s="1" t="s">
        <v>38</v>
      </c>
      <c r="N3851" s="11">
        <f t="shared" si="60"/>
        <v>5</v>
      </c>
    </row>
    <row r="3852" spans="1:14" ht="16" x14ac:dyDescent="0.2">
      <c r="A3852" s="3">
        <v>44640</v>
      </c>
      <c r="B3852" s="1" t="s">
        <v>3919</v>
      </c>
      <c r="C3852" t="s">
        <v>193</v>
      </c>
      <c r="D3852">
        <v>12</v>
      </c>
      <c r="E3852">
        <v>348</v>
      </c>
      <c r="F3852">
        <v>87</v>
      </c>
      <c r="G3852">
        <v>4176</v>
      </c>
      <c r="H3852" s="4">
        <v>1044</v>
      </c>
      <c r="I3852" s="4">
        <v>3132</v>
      </c>
      <c r="J3852" t="s">
        <v>490</v>
      </c>
      <c r="K3852" t="s">
        <v>64</v>
      </c>
      <c r="L3852" s="4">
        <v>11.249825090458803</v>
      </c>
      <c r="M3852" s="1" t="s">
        <v>54</v>
      </c>
      <c r="N3852" s="11">
        <f t="shared" si="60"/>
        <v>10</v>
      </c>
    </row>
    <row r="3853" spans="1:14" ht="16" x14ac:dyDescent="0.2">
      <c r="A3853" s="3">
        <v>44641</v>
      </c>
      <c r="B3853" s="1" t="s">
        <v>3932</v>
      </c>
      <c r="C3853" t="s">
        <v>157</v>
      </c>
      <c r="D3853">
        <v>12</v>
      </c>
      <c r="E3853">
        <v>50</v>
      </c>
      <c r="F3853">
        <v>25</v>
      </c>
      <c r="G3853">
        <v>600</v>
      </c>
      <c r="H3853" s="4">
        <v>300</v>
      </c>
      <c r="I3853" s="4">
        <v>300</v>
      </c>
      <c r="J3853" t="s">
        <v>1138</v>
      </c>
      <c r="K3853" t="s">
        <v>64</v>
      </c>
      <c r="L3853" s="4">
        <v>13.601235361661526</v>
      </c>
      <c r="M3853" s="1" t="s">
        <v>34</v>
      </c>
      <c r="N3853" s="11">
        <f t="shared" si="60"/>
        <v>1</v>
      </c>
    </row>
    <row r="3854" spans="1:14" ht="16" x14ac:dyDescent="0.2">
      <c r="A3854" s="3">
        <v>44642</v>
      </c>
      <c r="B3854" s="1" t="s">
        <v>3933</v>
      </c>
      <c r="C3854" t="s">
        <v>88</v>
      </c>
      <c r="D3854">
        <v>7</v>
      </c>
      <c r="E3854">
        <v>210</v>
      </c>
      <c r="F3854">
        <v>70</v>
      </c>
      <c r="G3854">
        <v>1470</v>
      </c>
      <c r="H3854" s="4">
        <v>490</v>
      </c>
      <c r="I3854" s="4">
        <v>980</v>
      </c>
      <c r="J3854" t="s">
        <v>741</v>
      </c>
      <c r="K3854" t="s">
        <v>42</v>
      </c>
      <c r="L3854" s="4">
        <v>14.817898176328208</v>
      </c>
      <c r="M3854" s="1" t="s">
        <v>54</v>
      </c>
      <c r="N3854" s="11">
        <f t="shared" si="60"/>
        <v>10</v>
      </c>
    </row>
    <row r="3855" spans="1:14" ht="16" x14ac:dyDescent="0.2">
      <c r="A3855" s="3">
        <v>44643</v>
      </c>
      <c r="B3855" s="1" t="s">
        <v>3934</v>
      </c>
      <c r="C3855" t="s">
        <v>93</v>
      </c>
      <c r="D3855">
        <v>13</v>
      </c>
      <c r="E3855">
        <v>204</v>
      </c>
      <c r="F3855">
        <v>51</v>
      </c>
      <c r="G3855">
        <v>2652</v>
      </c>
      <c r="H3855" s="4">
        <v>663</v>
      </c>
      <c r="I3855" s="4">
        <v>1989</v>
      </c>
      <c r="J3855" t="s">
        <v>819</v>
      </c>
      <c r="K3855" t="s">
        <v>86</v>
      </c>
      <c r="L3855" s="4">
        <v>12.155895475340943</v>
      </c>
      <c r="M3855" s="1" t="s">
        <v>38</v>
      </c>
      <c r="N3855" s="11">
        <f t="shared" si="60"/>
        <v>5</v>
      </c>
    </row>
    <row r="3856" spans="1:14" ht="16" x14ac:dyDescent="0.2">
      <c r="A3856" s="3">
        <v>44644</v>
      </c>
      <c r="B3856" s="1" t="s">
        <v>3935</v>
      </c>
      <c r="C3856" t="s">
        <v>297</v>
      </c>
      <c r="D3856">
        <v>7</v>
      </c>
      <c r="E3856">
        <v>108</v>
      </c>
      <c r="F3856">
        <v>36</v>
      </c>
      <c r="G3856">
        <v>756</v>
      </c>
      <c r="H3856" s="4">
        <v>252</v>
      </c>
      <c r="I3856" s="4">
        <v>504</v>
      </c>
      <c r="J3856" t="s">
        <v>933</v>
      </c>
      <c r="K3856" t="s">
        <v>58</v>
      </c>
      <c r="L3856" s="4">
        <v>11.130819205617987</v>
      </c>
      <c r="M3856" s="1" t="s">
        <v>38</v>
      </c>
      <c r="N3856" s="11">
        <f t="shared" si="60"/>
        <v>5</v>
      </c>
    </row>
    <row r="3857" spans="1:14" ht="16" x14ac:dyDescent="0.2">
      <c r="A3857" s="3">
        <v>44645</v>
      </c>
      <c r="B3857" s="1" t="s">
        <v>3936</v>
      </c>
      <c r="C3857" t="s">
        <v>145</v>
      </c>
      <c r="D3857">
        <v>18</v>
      </c>
      <c r="E3857">
        <v>207</v>
      </c>
      <c r="F3857">
        <v>69</v>
      </c>
      <c r="G3857">
        <v>3726</v>
      </c>
      <c r="H3857" s="4">
        <v>1242</v>
      </c>
      <c r="I3857" s="4">
        <v>2484</v>
      </c>
      <c r="J3857" t="s">
        <v>406</v>
      </c>
      <c r="K3857" t="s">
        <v>58</v>
      </c>
      <c r="L3857" s="4">
        <v>11.082295381980092</v>
      </c>
      <c r="M3857" s="1" t="s">
        <v>38</v>
      </c>
      <c r="N3857" s="11">
        <f t="shared" si="60"/>
        <v>5</v>
      </c>
    </row>
    <row r="3858" spans="1:14" ht="16" x14ac:dyDescent="0.2">
      <c r="A3858" s="3">
        <v>44646</v>
      </c>
      <c r="B3858" s="1" t="s">
        <v>3937</v>
      </c>
      <c r="C3858" t="s">
        <v>356</v>
      </c>
      <c r="D3858">
        <v>9</v>
      </c>
      <c r="E3858">
        <v>356</v>
      </c>
      <c r="F3858">
        <v>89</v>
      </c>
      <c r="G3858">
        <v>3204</v>
      </c>
      <c r="H3858" s="4">
        <v>801</v>
      </c>
      <c r="I3858" s="4">
        <v>2403</v>
      </c>
      <c r="J3858" t="s">
        <v>774</v>
      </c>
      <c r="K3858" t="s">
        <v>49</v>
      </c>
      <c r="L3858" s="4">
        <v>13.392447352247808</v>
      </c>
      <c r="M3858" s="1" t="s">
        <v>38</v>
      </c>
      <c r="N3858" s="11">
        <f t="shared" si="60"/>
        <v>5</v>
      </c>
    </row>
    <row r="3859" spans="1:14" ht="16" x14ac:dyDescent="0.2">
      <c r="A3859" s="3">
        <v>44647</v>
      </c>
      <c r="B3859" s="1" t="s">
        <v>3938</v>
      </c>
      <c r="C3859" t="s">
        <v>386</v>
      </c>
      <c r="D3859">
        <v>8</v>
      </c>
      <c r="E3859">
        <v>110</v>
      </c>
      <c r="F3859">
        <v>55</v>
      </c>
      <c r="G3859">
        <v>880</v>
      </c>
      <c r="H3859" s="4">
        <v>440</v>
      </c>
      <c r="I3859" s="4">
        <v>440</v>
      </c>
      <c r="J3859" t="s">
        <v>181</v>
      </c>
      <c r="K3859" t="s">
        <v>53</v>
      </c>
      <c r="L3859" s="4">
        <v>11.727497850343074</v>
      </c>
      <c r="M3859" s="1" t="s">
        <v>34</v>
      </c>
      <c r="N3859" s="11">
        <f t="shared" si="60"/>
        <v>1</v>
      </c>
    </row>
    <row r="3860" spans="1:14" ht="16" x14ac:dyDescent="0.2">
      <c r="A3860" s="3">
        <v>44648</v>
      </c>
      <c r="B3860" s="1" t="s">
        <v>3939</v>
      </c>
      <c r="C3860" t="s">
        <v>193</v>
      </c>
      <c r="D3860">
        <v>10</v>
      </c>
      <c r="E3860">
        <v>348</v>
      </c>
      <c r="F3860">
        <v>87</v>
      </c>
      <c r="G3860">
        <v>3480</v>
      </c>
      <c r="H3860" s="4">
        <v>870</v>
      </c>
      <c r="I3860" s="4">
        <v>2610</v>
      </c>
      <c r="J3860" t="s">
        <v>137</v>
      </c>
      <c r="K3860" t="s">
        <v>42</v>
      </c>
      <c r="L3860" s="4">
        <v>11.410471033945758</v>
      </c>
      <c r="M3860" s="1" t="s">
        <v>38</v>
      </c>
      <c r="N3860" s="11">
        <f t="shared" si="60"/>
        <v>5</v>
      </c>
    </row>
    <row r="3861" spans="1:14" ht="16" x14ac:dyDescent="0.2">
      <c r="A3861" s="3">
        <v>44649</v>
      </c>
      <c r="B3861" s="1" t="s">
        <v>3940</v>
      </c>
      <c r="C3861" t="s">
        <v>261</v>
      </c>
      <c r="D3861">
        <v>5</v>
      </c>
      <c r="E3861">
        <v>92</v>
      </c>
      <c r="F3861">
        <v>46</v>
      </c>
      <c r="G3861">
        <v>460</v>
      </c>
      <c r="H3861" s="4">
        <v>230</v>
      </c>
      <c r="I3861" s="4">
        <v>230</v>
      </c>
      <c r="J3861" t="s">
        <v>545</v>
      </c>
      <c r="K3861" t="s">
        <v>53</v>
      </c>
      <c r="L3861" s="4">
        <v>10.112765954734209</v>
      </c>
      <c r="M3861" s="1" t="s">
        <v>38</v>
      </c>
      <c r="N3861" s="11">
        <f t="shared" si="60"/>
        <v>5</v>
      </c>
    </row>
    <row r="3862" spans="1:14" ht="16" x14ac:dyDescent="0.2">
      <c r="A3862" s="3">
        <v>44650</v>
      </c>
      <c r="B3862" s="1" t="s">
        <v>3941</v>
      </c>
      <c r="C3862" t="s">
        <v>320</v>
      </c>
      <c r="D3862">
        <v>14</v>
      </c>
      <c r="E3862">
        <v>280</v>
      </c>
      <c r="F3862">
        <v>70</v>
      </c>
      <c r="G3862">
        <v>3920</v>
      </c>
      <c r="H3862" s="4">
        <v>980</v>
      </c>
      <c r="I3862" s="4">
        <v>2940</v>
      </c>
      <c r="J3862" t="s">
        <v>161</v>
      </c>
      <c r="K3862" t="s">
        <v>33</v>
      </c>
      <c r="L3862" s="4">
        <v>14.370283356317486</v>
      </c>
      <c r="M3862" s="1" t="s">
        <v>54</v>
      </c>
      <c r="N3862" s="11">
        <f t="shared" si="60"/>
        <v>10</v>
      </c>
    </row>
    <row r="3863" spans="1:14" ht="16" x14ac:dyDescent="0.2">
      <c r="A3863" s="3">
        <v>44651</v>
      </c>
      <c r="B3863" s="1" t="s">
        <v>3942</v>
      </c>
      <c r="C3863" t="s">
        <v>93</v>
      </c>
      <c r="D3863">
        <v>1</v>
      </c>
      <c r="E3863">
        <v>204</v>
      </c>
      <c r="F3863">
        <v>51</v>
      </c>
      <c r="G3863">
        <v>204</v>
      </c>
      <c r="H3863" s="4">
        <v>51</v>
      </c>
      <c r="I3863" s="4">
        <v>153</v>
      </c>
      <c r="J3863" t="s">
        <v>938</v>
      </c>
      <c r="K3863" t="s">
        <v>33</v>
      </c>
      <c r="L3863" s="4">
        <v>13.397308081757757</v>
      </c>
      <c r="M3863" s="1" t="s">
        <v>54</v>
      </c>
      <c r="N3863" s="11">
        <f t="shared" si="60"/>
        <v>10</v>
      </c>
    </row>
    <row r="3864" spans="1:14" ht="16" x14ac:dyDescent="0.2">
      <c r="A3864" s="3">
        <v>44652</v>
      </c>
      <c r="B3864" s="1" t="s">
        <v>3943</v>
      </c>
      <c r="C3864" t="s">
        <v>110</v>
      </c>
      <c r="D3864">
        <v>4</v>
      </c>
      <c r="E3864">
        <v>144</v>
      </c>
      <c r="F3864">
        <v>36</v>
      </c>
      <c r="G3864">
        <v>576</v>
      </c>
      <c r="H3864" s="4">
        <v>144</v>
      </c>
      <c r="I3864" s="4">
        <v>432</v>
      </c>
      <c r="J3864" t="s">
        <v>450</v>
      </c>
      <c r="K3864" t="s">
        <v>49</v>
      </c>
      <c r="L3864" s="4">
        <v>13.332534707865639</v>
      </c>
      <c r="M3864" s="1" t="s">
        <v>54</v>
      </c>
      <c r="N3864" s="11">
        <f t="shared" si="60"/>
        <v>10</v>
      </c>
    </row>
    <row r="3865" spans="1:14" ht="16" x14ac:dyDescent="0.2">
      <c r="A3865" s="3">
        <v>44653</v>
      </c>
      <c r="B3865" s="1" t="s">
        <v>2019</v>
      </c>
      <c r="C3865" t="s">
        <v>193</v>
      </c>
      <c r="D3865">
        <v>10</v>
      </c>
      <c r="E3865">
        <v>348</v>
      </c>
      <c r="F3865">
        <v>87</v>
      </c>
      <c r="G3865">
        <v>3480</v>
      </c>
      <c r="H3865" s="4">
        <v>870</v>
      </c>
      <c r="I3865" s="4">
        <v>2610</v>
      </c>
      <c r="J3865" t="s">
        <v>338</v>
      </c>
      <c r="K3865" t="s">
        <v>64</v>
      </c>
      <c r="L3865" s="4">
        <v>10.132922049221957</v>
      </c>
      <c r="M3865" s="1" t="s">
        <v>34</v>
      </c>
      <c r="N3865" s="11">
        <f t="shared" si="60"/>
        <v>1</v>
      </c>
    </row>
    <row r="3866" spans="1:14" ht="16" x14ac:dyDescent="0.2">
      <c r="A3866" s="3">
        <v>44654</v>
      </c>
      <c r="B3866" s="1" t="s">
        <v>3944</v>
      </c>
      <c r="C3866" t="s">
        <v>78</v>
      </c>
      <c r="D3866">
        <v>17</v>
      </c>
      <c r="E3866">
        <v>94</v>
      </c>
      <c r="F3866">
        <v>47</v>
      </c>
      <c r="G3866">
        <v>1598</v>
      </c>
      <c r="H3866" s="4">
        <v>799</v>
      </c>
      <c r="I3866" s="4">
        <v>799</v>
      </c>
      <c r="J3866" t="s">
        <v>1042</v>
      </c>
      <c r="K3866" t="s">
        <v>58</v>
      </c>
      <c r="L3866" s="4">
        <v>10.588336269016523</v>
      </c>
      <c r="M3866" s="1" t="s">
        <v>54</v>
      </c>
      <c r="N3866" s="11">
        <f t="shared" si="60"/>
        <v>10</v>
      </c>
    </row>
    <row r="3867" spans="1:14" ht="16" x14ac:dyDescent="0.2">
      <c r="A3867" s="3">
        <v>44655</v>
      </c>
      <c r="B3867" s="1" t="s">
        <v>3945</v>
      </c>
      <c r="C3867" t="s">
        <v>178</v>
      </c>
      <c r="D3867">
        <v>4</v>
      </c>
      <c r="E3867">
        <v>189</v>
      </c>
      <c r="F3867">
        <v>63</v>
      </c>
      <c r="G3867">
        <v>756</v>
      </c>
      <c r="H3867" s="4">
        <v>252</v>
      </c>
      <c r="I3867" s="4">
        <v>504</v>
      </c>
      <c r="J3867" t="s">
        <v>121</v>
      </c>
      <c r="K3867" t="s">
        <v>64</v>
      </c>
      <c r="L3867" s="4">
        <v>14.16303548174143</v>
      </c>
      <c r="M3867" s="1" t="s">
        <v>34</v>
      </c>
      <c r="N3867" s="11">
        <f t="shared" si="60"/>
        <v>1</v>
      </c>
    </row>
    <row r="3868" spans="1:14" ht="16" x14ac:dyDescent="0.2">
      <c r="A3868" s="3">
        <v>44656</v>
      </c>
      <c r="B3868" s="1" t="s">
        <v>3946</v>
      </c>
      <c r="C3868" t="s">
        <v>154</v>
      </c>
      <c r="D3868">
        <v>16</v>
      </c>
      <c r="E3868">
        <v>308</v>
      </c>
      <c r="F3868">
        <v>77</v>
      </c>
      <c r="G3868">
        <v>4928</v>
      </c>
      <c r="H3868" s="4">
        <v>1232</v>
      </c>
      <c r="I3868" s="4">
        <v>3696</v>
      </c>
      <c r="J3868" t="s">
        <v>733</v>
      </c>
      <c r="K3868" t="s">
        <v>53</v>
      </c>
      <c r="L3868" s="4">
        <v>16.148992525516267</v>
      </c>
      <c r="M3868" s="1" t="s">
        <v>38</v>
      </c>
      <c r="N3868" s="11">
        <f t="shared" si="60"/>
        <v>5</v>
      </c>
    </row>
    <row r="3869" spans="1:14" ht="16" x14ac:dyDescent="0.2">
      <c r="A3869" s="3">
        <v>44657</v>
      </c>
      <c r="B3869" s="1" t="s">
        <v>3947</v>
      </c>
      <c r="C3869" t="s">
        <v>425</v>
      </c>
      <c r="D3869">
        <v>7</v>
      </c>
      <c r="E3869">
        <v>352</v>
      </c>
      <c r="F3869">
        <v>88</v>
      </c>
      <c r="G3869">
        <v>2464</v>
      </c>
      <c r="H3869" s="4">
        <v>616</v>
      </c>
      <c r="I3869" s="4">
        <v>1848</v>
      </c>
      <c r="J3869" t="s">
        <v>653</v>
      </c>
      <c r="K3869" t="s">
        <v>86</v>
      </c>
      <c r="L3869" s="4">
        <v>12.869841591513939</v>
      </c>
      <c r="M3869" s="1" t="s">
        <v>54</v>
      </c>
      <c r="N3869" s="11">
        <f t="shared" si="60"/>
        <v>10</v>
      </c>
    </row>
    <row r="3870" spans="1:14" ht="16" x14ac:dyDescent="0.2">
      <c r="A3870" s="3">
        <v>44658</v>
      </c>
      <c r="B3870" s="1" t="s">
        <v>3948</v>
      </c>
      <c r="C3870" t="s">
        <v>139</v>
      </c>
      <c r="D3870">
        <v>15</v>
      </c>
      <c r="E3870">
        <v>320</v>
      </c>
      <c r="F3870">
        <v>80</v>
      </c>
      <c r="G3870">
        <v>4800</v>
      </c>
      <c r="H3870" s="4">
        <v>1200</v>
      </c>
      <c r="I3870" s="4">
        <v>3600</v>
      </c>
      <c r="J3870" t="s">
        <v>236</v>
      </c>
      <c r="K3870" t="s">
        <v>53</v>
      </c>
      <c r="L3870" s="4">
        <v>9.3014286057233697</v>
      </c>
      <c r="M3870" s="1" t="s">
        <v>38</v>
      </c>
      <c r="N3870" s="11">
        <f t="shared" si="60"/>
        <v>5</v>
      </c>
    </row>
    <row r="3871" spans="1:14" ht="16" x14ac:dyDescent="0.2">
      <c r="A3871" s="3">
        <v>44659</v>
      </c>
      <c r="B3871" s="1" t="s">
        <v>3949</v>
      </c>
      <c r="C3871" t="s">
        <v>487</v>
      </c>
      <c r="D3871">
        <v>2</v>
      </c>
      <c r="E3871">
        <v>264</v>
      </c>
      <c r="F3871">
        <v>88</v>
      </c>
      <c r="G3871">
        <v>528</v>
      </c>
      <c r="H3871" s="4">
        <v>176</v>
      </c>
      <c r="I3871" s="4">
        <v>352</v>
      </c>
      <c r="J3871" t="s">
        <v>492</v>
      </c>
      <c r="K3871" t="s">
        <v>33</v>
      </c>
      <c r="L3871" s="4">
        <v>11.799431383856128</v>
      </c>
      <c r="M3871" s="1" t="s">
        <v>54</v>
      </c>
      <c r="N3871" s="11">
        <f t="shared" si="60"/>
        <v>10</v>
      </c>
    </row>
    <row r="3872" spans="1:14" ht="16" x14ac:dyDescent="0.2">
      <c r="A3872" s="3">
        <v>44660</v>
      </c>
      <c r="B3872" s="1" t="s">
        <v>3950</v>
      </c>
      <c r="C3872" t="s">
        <v>93</v>
      </c>
      <c r="D3872">
        <v>10</v>
      </c>
      <c r="E3872">
        <v>204</v>
      </c>
      <c r="F3872">
        <v>51</v>
      </c>
      <c r="G3872">
        <v>2040</v>
      </c>
      <c r="H3872" s="4">
        <v>510</v>
      </c>
      <c r="I3872" s="4">
        <v>1530</v>
      </c>
      <c r="J3872" t="s">
        <v>528</v>
      </c>
      <c r="K3872" t="s">
        <v>33</v>
      </c>
      <c r="L3872" s="4">
        <v>11.003496633574638</v>
      </c>
      <c r="M3872" s="1" t="s">
        <v>38</v>
      </c>
      <c r="N3872" s="11">
        <f t="shared" si="60"/>
        <v>5</v>
      </c>
    </row>
    <row r="3873" spans="1:14" ht="16" x14ac:dyDescent="0.2">
      <c r="A3873" s="3">
        <v>44661</v>
      </c>
      <c r="B3873" s="1" t="s">
        <v>3951</v>
      </c>
      <c r="C3873" t="s">
        <v>142</v>
      </c>
      <c r="D3873">
        <v>18</v>
      </c>
      <c r="E3873">
        <v>210</v>
      </c>
      <c r="F3873">
        <v>70</v>
      </c>
      <c r="G3873">
        <v>3780</v>
      </c>
      <c r="H3873" s="4">
        <v>1260</v>
      </c>
      <c r="I3873" s="4">
        <v>2520</v>
      </c>
      <c r="J3873" t="s">
        <v>567</v>
      </c>
      <c r="K3873" t="s">
        <v>49</v>
      </c>
      <c r="L3873" s="4">
        <v>12.147202500273634</v>
      </c>
      <c r="M3873" s="1" t="s">
        <v>38</v>
      </c>
      <c r="N3873" s="11">
        <f t="shared" si="60"/>
        <v>5</v>
      </c>
    </row>
    <row r="3874" spans="1:14" ht="16" x14ac:dyDescent="0.2">
      <c r="A3874" s="3">
        <v>44662</v>
      </c>
      <c r="B3874" s="1" t="s">
        <v>3952</v>
      </c>
      <c r="C3874" t="s">
        <v>62</v>
      </c>
      <c r="D3874">
        <v>14</v>
      </c>
      <c r="E3874">
        <v>80</v>
      </c>
      <c r="F3874">
        <v>20</v>
      </c>
      <c r="G3874">
        <v>1120</v>
      </c>
      <c r="H3874" s="4">
        <v>280</v>
      </c>
      <c r="I3874" s="4">
        <v>840</v>
      </c>
      <c r="J3874" t="s">
        <v>387</v>
      </c>
      <c r="K3874" t="s">
        <v>86</v>
      </c>
      <c r="L3874" s="4">
        <v>15.60430546146185</v>
      </c>
      <c r="M3874" s="1" t="s">
        <v>34</v>
      </c>
      <c r="N3874" s="11">
        <f t="shared" si="60"/>
        <v>1</v>
      </c>
    </row>
    <row r="3875" spans="1:14" ht="16" x14ac:dyDescent="0.2">
      <c r="A3875" s="3">
        <v>44663</v>
      </c>
      <c r="B3875" s="1" t="s">
        <v>3953</v>
      </c>
      <c r="C3875" t="s">
        <v>391</v>
      </c>
      <c r="D3875">
        <v>7</v>
      </c>
      <c r="E3875">
        <v>72</v>
      </c>
      <c r="F3875">
        <v>36</v>
      </c>
      <c r="G3875">
        <v>504</v>
      </c>
      <c r="H3875" s="4">
        <v>252</v>
      </c>
      <c r="I3875" s="4">
        <v>252</v>
      </c>
      <c r="J3875" t="s">
        <v>315</v>
      </c>
      <c r="K3875" t="s">
        <v>42</v>
      </c>
      <c r="L3875" s="4">
        <v>10.966283117837653</v>
      </c>
      <c r="M3875" s="1" t="s">
        <v>38</v>
      </c>
      <c r="N3875" s="11">
        <f t="shared" si="60"/>
        <v>5</v>
      </c>
    </row>
    <row r="3876" spans="1:14" ht="16" x14ac:dyDescent="0.2">
      <c r="A3876" s="3">
        <v>44664</v>
      </c>
      <c r="B3876" s="1" t="s">
        <v>3954</v>
      </c>
      <c r="C3876" t="s">
        <v>425</v>
      </c>
      <c r="D3876">
        <v>16</v>
      </c>
      <c r="E3876">
        <v>352</v>
      </c>
      <c r="F3876">
        <v>88</v>
      </c>
      <c r="G3876">
        <v>5632</v>
      </c>
      <c r="H3876" s="4">
        <v>1408</v>
      </c>
      <c r="I3876" s="4">
        <v>4224</v>
      </c>
      <c r="J3876" t="s">
        <v>169</v>
      </c>
      <c r="K3876" t="s">
        <v>33</v>
      </c>
      <c r="L3876" s="4">
        <v>15.121383064708469</v>
      </c>
      <c r="M3876" s="1" t="s">
        <v>38</v>
      </c>
      <c r="N3876" s="11">
        <f t="shared" si="60"/>
        <v>5</v>
      </c>
    </row>
    <row r="3877" spans="1:14" ht="16" x14ac:dyDescent="0.2">
      <c r="A3877" s="3">
        <v>44665</v>
      </c>
      <c r="B3877" s="1" t="s">
        <v>3955</v>
      </c>
      <c r="C3877" t="s">
        <v>255</v>
      </c>
      <c r="D3877">
        <v>5</v>
      </c>
      <c r="E3877">
        <v>140</v>
      </c>
      <c r="F3877">
        <v>70</v>
      </c>
      <c r="G3877">
        <v>700</v>
      </c>
      <c r="H3877" s="4">
        <v>350</v>
      </c>
      <c r="I3877" s="4">
        <v>350</v>
      </c>
      <c r="J3877" t="s">
        <v>882</v>
      </c>
      <c r="K3877" t="s">
        <v>64</v>
      </c>
      <c r="L3877" s="4">
        <v>12.701325659159139</v>
      </c>
      <c r="M3877" s="1" t="s">
        <v>54</v>
      </c>
      <c r="N3877" s="11">
        <f t="shared" si="60"/>
        <v>10</v>
      </c>
    </row>
    <row r="3878" spans="1:14" ht="16" x14ac:dyDescent="0.2">
      <c r="A3878" s="3">
        <v>44666</v>
      </c>
      <c r="B3878" s="1" t="s">
        <v>3956</v>
      </c>
      <c r="C3878" t="s">
        <v>312</v>
      </c>
      <c r="D3878">
        <v>12</v>
      </c>
      <c r="E3878">
        <v>240</v>
      </c>
      <c r="F3878">
        <v>80</v>
      </c>
      <c r="G3878">
        <v>2880</v>
      </c>
      <c r="H3878" s="4">
        <v>960</v>
      </c>
      <c r="I3878" s="4">
        <v>1920</v>
      </c>
      <c r="J3878" t="s">
        <v>382</v>
      </c>
      <c r="K3878" t="s">
        <v>49</v>
      </c>
      <c r="L3878" s="4">
        <v>12.299779975023837</v>
      </c>
      <c r="M3878" s="1" t="s">
        <v>54</v>
      </c>
      <c r="N3878" s="11">
        <f t="shared" si="60"/>
        <v>10</v>
      </c>
    </row>
    <row r="3879" spans="1:14" ht="16" x14ac:dyDescent="0.2">
      <c r="A3879" s="3">
        <v>44667</v>
      </c>
      <c r="B3879" s="1" t="s">
        <v>3957</v>
      </c>
      <c r="C3879" t="s">
        <v>115</v>
      </c>
      <c r="D3879">
        <v>13</v>
      </c>
      <c r="E3879">
        <v>81</v>
      </c>
      <c r="F3879">
        <v>27</v>
      </c>
      <c r="G3879">
        <v>1053</v>
      </c>
      <c r="H3879" s="4">
        <v>351</v>
      </c>
      <c r="I3879" s="4">
        <v>702</v>
      </c>
      <c r="J3879" t="s">
        <v>99</v>
      </c>
      <c r="K3879" t="s">
        <v>86</v>
      </c>
      <c r="L3879" s="4">
        <v>15.140903556171683</v>
      </c>
      <c r="M3879" s="1" t="s">
        <v>38</v>
      </c>
      <c r="N3879" s="11">
        <f t="shared" si="60"/>
        <v>5</v>
      </c>
    </row>
    <row r="3880" spans="1:14" ht="16" x14ac:dyDescent="0.2">
      <c r="A3880" s="3">
        <v>44668</v>
      </c>
      <c r="B3880" s="1" t="s">
        <v>3958</v>
      </c>
      <c r="C3880" t="s">
        <v>420</v>
      </c>
      <c r="D3880">
        <v>11</v>
      </c>
      <c r="E3880">
        <v>162</v>
      </c>
      <c r="F3880">
        <v>54</v>
      </c>
      <c r="G3880">
        <v>1782</v>
      </c>
      <c r="H3880" s="4">
        <v>594</v>
      </c>
      <c r="I3880" s="4">
        <v>1188</v>
      </c>
      <c r="J3880" t="s">
        <v>450</v>
      </c>
      <c r="K3880" t="s">
        <v>49</v>
      </c>
      <c r="L3880" s="4">
        <v>13.332534707865639</v>
      </c>
      <c r="M3880" s="1" t="s">
        <v>54</v>
      </c>
      <c r="N3880" s="11">
        <f t="shared" si="60"/>
        <v>10</v>
      </c>
    </row>
    <row r="3881" spans="1:14" ht="16" x14ac:dyDescent="0.2">
      <c r="A3881" s="3">
        <v>44669</v>
      </c>
      <c r="B3881" s="1" t="s">
        <v>3959</v>
      </c>
      <c r="C3881" t="s">
        <v>304</v>
      </c>
      <c r="D3881">
        <v>16</v>
      </c>
      <c r="E3881">
        <v>116</v>
      </c>
      <c r="F3881">
        <v>29</v>
      </c>
      <c r="G3881">
        <v>1856</v>
      </c>
      <c r="H3881" s="4">
        <v>464</v>
      </c>
      <c r="I3881" s="4">
        <v>1392</v>
      </c>
      <c r="J3881" t="s">
        <v>305</v>
      </c>
      <c r="K3881" t="s">
        <v>86</v>
      </c>
      <c r="L3881" s="4">
        <v>10.317615395419679</v>
      </c>
      <c r="M3881" s="1" t="s">
        <v>54</v>
      </c>
      <c r="N3881" s="11">
        <f t="shared" si="60"/>
        <v>10</v>
      </c>
    </row>
    <row r="3882" spans="1:14" ht="16" x14ac:dyDescent="0.2">
      <c r="A3882" s="3">
        <v>44670</v>
      </c>
      <c r="B3882" s="1" t="s">
        <v>3960</v>
      </c>
      <c r="C3882" t="s">
        <v>255</v>
      </c>
      <c r="D3882">
        <v>10</v>
      </c>
      <c r="E3882">
        <v>140</v>
      </c>
      <c r="F3882">
        <v>70</v>
      </c>
      <c r="G3882">
        <v>1400</v>
      </c>
      <c r="H3882" s="4">
        <v>700</v>
      </c>
      <c r="I3882" s="4">
        <v>700</v>
      </c>
      <c r="J3882" t="s">
        <v>359</v>
      </c>
      <c r="K3882" t="s">
        <v>64</v>
      </c>
      <c r="L3882" s="4">
        <v>11.970975110943924</v>
      </c>
      <c r="M3882" s="1" t="s">
        <v>38</v>
      </c>
      <c r="N3882" s="11">
        <f t="shared" si="60"/>
        <v>5</v>
      </c>
    </row>
    <row r="3883" spans="1:14" ht="16" x14ac:dyDescent="0.2">
      <c r="A3883" s="3">
        <v>44671</v>
      </c>
      <c r="B3883" s="1" t="s">
        <v>3961</v>
      </c>
      <c r="C3883" t="s">
        <v>503</v>
      </c>
      <c r="D3883">
        <v>2</v>
      </c>
      <c r="E3883">
        <v>50</v>
      </c>
      <c r="F3883">
        <v>25</v>
      </c>
      <c r="G3883">
        <v>100</v>
      </c>
      <c r="H3883" s="4">
        <v>50</v>
      </c>
      <c r="I3883" s="4">
        <v>50</v>
      </c>
      <c r="J3883" t="s">
        <v>106</v>
      </c>
      <c r="K3883" t="s">
        <v>42</v>
      </c>
      <c r="L3883" s="4">
        <v>13.717776078041958</v>
      </c>
      <c r="M3883" s="1" t="s">
        <v>38</v>
      </c>
      <c r="N3883" s="11">
        <f t="shared" si="60"/>
        <v>5</v>
      </c>
    </row>
    <row r="3884" spans="1:14" ht="16" x14ac:dyDescent="0.2">
      <c r="A3884" s="3">
        <v>44672</v>
      </c>
      <c r="B3884" s="1" t="s">
        <v>3962</v>
      </c>
      <c r="C3884" t="s">
        <v>544</v>
      </c>
      <c r="D3884">
        <v>12</v>
      </c>
      <c r="E3884">
        <v>267</v>
      </c>
      <c r="F3884">
        <v>89</v>
      </c>
      <c r="G3884">
        <v>3204</v>
      </c>
      <c r="H3884" s="4">
        <v>1068</v>
      </c>
      <c r="I3884" s="4">
        <v>2136</v>
      </c>
      <c r="J3884" t="s">
        <v>611</v>
      </c>
      <c r="K3884" t="s">
        <v>58</v>
      </c>
      <c r="L3884" s="4">
        <v>7.8974070387684714</v>
      </c>
      <c r="M3884" s="1" t="s">
        <v>54</v>
      </c>
      <c r="N3884" s="11">
        <f t="shared" si="60"/>
        <v>10</v>
      </c>
    </row>
    <row r="3885" spans="1:14" ht="16" x14ac:dyDescent="0.2">
      <c r="A3885" s="3">
        <v>44673</v>
      </c>
      <c r="B3885" s="1" t="s">
        <v>3963</v>
      </c>
      <c r="C3885" t="s">
        <v>93</v>
      </c>
      <c r="D3885">
        <v>19</v>
      </c>
      <c r="E3885">
        <v>204</v>
      </c>
      <c r="F3885">
        <v>51</v>
      </c>
      <c r="G3885">
        <v>3876</v>
      </c>
      <c r="H3885" s="4">
        <v>969</v>
      </c>
      <c r="I3885" s="4">
        <v>2907</v>
      </c>
      <c r="J3885" t="s">
        <v>940</v>
      </c>
      <c r="K3885" t="s">
        <v>86</v>
      </c>
      <c r="L3885" s="4">
        <v>9.2053706474810433</v>
      </c>
      <c r="M3885" s="1" t="s">
        <v>38</v>
      </c>
      <c r="N3885" s="11">
        <f t="shared" si="60"/>
        <v>5</v>
      </c>
    </row>
    <row r="3886" spans="1:14" ht="16" x14ac:dyDescent="0.2">
      <c r="A3886" s="3">
        <v>44674</v>
      </c>
      <c r="B3886" s="1" t="s">
        <v>3964</v>
      </c>
      <c r="C3886" t="s">
        <v>779</v>
      </c>
      <c r="D3886">
        <v>3</v>
      </c>
      <c r="E3886">
        <v>120</v>
      </c>
      <c r="F3886">
        <v>30</v>
      </c>
      <c r="G3886">
        <v>360</v>
      </c>
      <c r="H3886" s="4">
        <v>90</v>
      </c>
      <c r="I3886" s="4">
        <v>270</v>
      </c>
      <c r="J3886" t="s">
        <v>213</v>
      </c>
      <c r="K3886" t="s">
        <v>58</v>
      </c>
      <c r="L3886" s="4">
        <v>10.980884286450312</v>
      </c>
      <c r="M3886" s="1" t="s">
        <v>54</v>
      </c>
      <c r="N3886" s="11">
        <f t="shared" si="60"/>
        <v>10</v>
      </c>
    </row>
    <row r="3887" spans="1:14" ht="16" x14ac:dyDescent="0.2">
      <c r="A3887" s="3">
        <v>44675</v>
      </c>
      <c r="B3887" s="1" t="s">
        <v>3965</v>
      </c>
      <c r="C3887" t="s">
        <v>91</v>
      </c>
      <c r="D3887">
        <v>9</v>
      </c>
      <c r="E3887">
        <v>300</v>
      </c>
      <c r="F3887">
        <v>75</v>
      </c>
      <c r="G3887">
        <v>2700</v>
      </c>
      <c r="H3887" s="4">
        <v>675</v>
      </c>
      <c r="I3887" s="4">
        <v>2025</v>
      </c>
      <c r="J3887" t="s">
        <v>57</v>
      </c>
      <c r="K3887" t="s">
        <v>58</v>
      </c>
      <c r="L3887" s="4">
        <v>11.749993886708426</v>
      </c>
      <c r="M3887" s="1" t="s">
        <v>54</v>
      </c>
      <c r="N3887" s="11">
        <f t="shared" si="60"/>
        <v>10</v>
      </c>
    </row>
    <row r="3888" spans="1:14" ht="16" x14ac:dyDescent="0.2">
      <c r="A3888" s="3">
        <v>44676</v>
      </c>
      <c r="B3888" s="1" t="s">
        <v>3966</v>
      </c>
      <c r="C3888" t="s">
        <v>252</v>
      </c>
      <c r="D3888">
        <v>3</v>
      </c>
      <c r="E3888">
        <v>252</v>
      </c>
      <c r="F3888">
        <v>63</v>
      </c>
      <c r="G3888">
        <v>756</v>
      </c>
      <c r="H3888" s="4">
        <v>189</v>
      </c>
      <c r="I3888" s="4">
        <v>567</v>
      </c>
      <c r="J3888" t="s">
        <v>442</v>
      </c>
      <c r="K3888" t="s">
        <v>58</v>
      </c>
      <c r="L3888" s="4">
        <v>16.429355109701351</v>
      </c>
      <c r="M3888" s="1" t="s">
        <v>38</v>
      </c>
      <c r="N3888" s="11">
        <f t="shared" si="60"/>
        <v>5</v>
      </c>
    </row>
    <row r="3889" spans="1:14" ht="16" x14ac:dyDescent="0.2">
      <c r="A3889" s="3">
        <v>44677</v>
      </c>
      <c r="B3889" s="1" t="s">
        <v>3967</v>
      </c>
      <c r="C3889" t="s">
        <v>160</v>
      </c>
      <c r="D3889">
        <v>16</v>
      </c>
      <c r="E3889">
        <v>132</v>
      </c>
      <c r="F3889">
        <v>33</v>
      </c>
      <c r="G3889">
        <v>2112</v>
      </c>
      <c r="H3889" s="4">
        <v>528</v>
      </c>
      <c r="I3889" s="4">
        <v>1584</v>
      </c>
      <c r="J3889" t="s">
        <v>455</v>
      </c>
      <c r="K3889" t="s">
        <v>53</v>
      </c>
      <c r="L3889" s="4">
        <v>13.574227261506472</v>
      </c>
      <c r="M3889" s="1" t="s">
        <v>38</v>
      </c>
      <c r="N3889" s="11">
        <f t="shared" si="60"/>
        <v>5</v>
      </c>
    </row>
    <row r="3890" spans="1:14" ht="16" x14ac:dyDescent="0.2">
      <c r="A3890" s="3">
        <v>44678</v>
      </c>
      <c r="B3890" s="1" t="s">
        <v>3968</v>
      </c>
      <c r="C3890" t="s">
        <v>178</v>
      </c>
      <c r="D3890">
        <v>11</v>
      </c>
      <c r="E3890">
        <v>189</v>
      </c>
      <c r="F3890">
        <v>63</v>
      </c>
      <c r="G3890">
        <v>2079</v>
      </c>
      <c r="H3890" s="4">
        <v>693</v>
      </c>
      <c r="I3890" s="4">
        <v>1386</v>
      </c>
      <c r="J3890" t="s">
        <v>161</v>
      </c>
      <c r="K3890" t="s">
        <v>33</v>
      </c>
      <c r="L3890" s="4">
        <v>14.370283356317486</v>
      </c>
      <c r="M3890" s="1" t="s">
        <v>38</v>
      </c>
      <c r="N3890" s="11">
        <f t="shared" si="60"/>
        <v>5</v>
      </c>
    </row>
    <row r="3891" spans="1:14" ht="16" x14ac:dyDescent="0.2">
      <c r="A3891" s="3">
        <v>44679</v>
      </c>
      <c r="B3891" s="1" t="s">
        <v>3969</v>
      </c>
      <c r="C3891" t="s">
        <v>487</v>
      </c>
      <c r="D3891">
        <v>16</v>
      </c>
      <c r="E3891">
        <v>264</v>
      </c>
      <c r="F3891">
        <v>88</v>
      </c>
      <c r="G3891">
        <v>4224</v>
      </c>
      <c r="H3891" s="4">
        <v>1408</v>
      </c>
      <c r="I3891" s="4">
        <v>2816</v>
      </c>
      <c r="J3891" t="s">
        <v>1107</v>
      </c>
      <c r="K3891" t="s">
        <v>53</v>
      </c>
      <c r="L3891" s="4">
        <v>10.28240320324797</v>
      </c>
      <c r="M3891" s="1" t="s">
        <v>54</v>
      </c>
      <c r="N3891" s="11">
        <f t="shared" si="60"/>
        <v>10</v>
      </c>
    </row>
    <row r="3892" spans="1:14" ht="16" x14ac:dyDescent="0.2">
      <c r="A3892" s="3">
        <v>44680</v>
      </c>
      <c r="B3892" s="1" t="s">
        <v>3970</v>
      </c>
      <c r="C3892" t="s">
        <v>178</v>
      </c>
      <c r="D3892">
        <v>7</v>
      </c>
      <c r="E3892">
        <v>189</v>
      </c>
      <c r="F3892">
        <v>63</v>
      </c>
      <c r="G3892">
        <v>1323</v>
      </c>
      <c r="H3892" s="4">
        <v>441</v>
      </c>
      <c r="I3892" s="4">
        <v>882</v>
      </c>
      <c r="J3892" t="s">
        <v>108</v>
      </c>
      <c r="K3892" t="s">
        <v>64</v>
      </c>
      <c r="L3892" s="4">
        <v>9.7467096260695598</v>
      </c>
      <c r="M3892" s="1" t="s">
        <v>38</v>
      </c>
      <c r="N3892" s="11">
        <f t="shared" si="60"/>
        <v>5</v>
      </c>
    </row>
    <row r="3893" spans="1:14" ht="16" x14ac:dyDescent="0.2">
      <c r="A3893" s="3">
        <v>44681</v>
      </c>
      <c r="B3893" s="1" t="s">
        <v>3971</v>
      </c>
      <c r="C3893" t="s">
        <v>283</v>
      </c>
      <c r="D3893">
        <v>4</v>
      </c>
      <c r="E3893">
        <v>144</v>
      </c>
      <c r="F3893">
        <v>36</v>
      </c>
      <c r="G3893">
        <v>576</v>
      </c>
      <c r="H3893" s="4">
        <v>144</v>
      </c>
      <c r="I3893" s="4">
        <v>432</v>
      </c>
      <c r="J3893" t="s">
        <v>1195</v>
      </c>
      <c r="K3893" t="s">
        <v>33</v>
      </c>
      <c r="L3893" s="4">
        <v>11.971065679104063</v>
      </c>
      <c r="M3893" s="1" t="s">
        <v>38</v>
      </c>
      <c r="N3893" s="11">
        <f t="shared" si="60"/>
        <v>5</v>
      </c>
    </row>
    <row r="3894" spans="1:14" ht="16" x14ac:dyDescent="0.2">
      <c r="A3894" s="3">
        <v>44682</v>
      </c>
      <c r="B3894" s="1" t="s">
        <v>3972</v>
      </c>
      <c r="C3894" t="s">
        <v>105</v>
      </c>
      <c r="D3894">
        <v>6</v>
      </c>
      <c r="E3894">
        <v>201</v>
      </c>
      <c r="F3894">
        <v>67</v>
      </c>
      <c r="G3894">
        <v>1206</v>
      </c>
      <c r="H3894" s="4">
        <v>402</v>
      </c>
      <c r="I3894" s="4">
        <v>804</v>
      </c>
      <c r="J3894" t="s">
        <v>1434</v>
      </c>
      <c r="K3894" t="s">
        <v>86</v>
      </c>
      <c r="L3894" s="4">
        <v>10.826646539963521</v>
      </c>
      <c r="M3894" s="1" t="s">
        <v>54</v>
      </c>
      <c r="N3894" s="11">
        <f t="shared" si="60"/>
        <v>10</v>
      </c>
    </row>
    <row r="3895" spans="1:14" ht="16" x14ac:dyDescent="0.2">
      <c r="A3895" s="3">
        <v>44683</v>
      </c>
      <c r="B3895" s="1" t="s">
        <v>2019</v>
      </c>
      <c r="C3895" t="s">
        <v>209</v>
      </c>
      <c r="D3895">
        <v>3</v>
      </c>
      <c r="E3895">
        <v>150</v>
      </c>
      <c r="F3895">
        <v>75</v>
      </c>
      <c r="G3895">
        <v>450</v>
      </c>
      <c r="H3895" s="4">
        <v>225</v>
      </c>
      <c r="I3895" s="4">
        <v>225</v>
      </c>
      <c r="J3895" t="s">
        <v>1434</v>
      </c>
      <c r="K3895" t="s">
        <v>86</v>
      </c>
      <c r="L3895" s="4">
        <v>10.826646539963521</v>
      </c>
      <c r="M3895" s="1" t="s">
        <v>38</v>
      </c>
      <c r="N3895" s="11">
        <f t="shared" si="60"/>
        <v>5</v>
      </c>
    </row>
    <row r="3896" spans="1:14" ht="16" x14ac:dyDescent="0.2">
      <c r="A3896" s="3">
        <v>44684</v>
      </c>
      <c r="B3896" s="1" t="s">
        <v>3973</v>
      </c>
      <c r="C3896" t="s">
        <v>304</v>
      </c>
      <c r="D3896">
        <v>18</v>
      </c>
      <c r="E3896">
        <v>116</v>
      </c>
      <c r="F3896">
        <v>29</v>
      </c>
      <c r="G3896">
        <v>2088</v>
      </c>
      <c r="H3896" s="4">
        <v>522</v>
      </c>
      <c r="I3896" s="4">
        <v>1566</v>
      </c>
      <c r="J3896" t="s">
        <v>397</v>
      </c>
      <c r="K3896" t="s">
        <v>49</v>
      </c>
      <c r="L3896" s="4">
        <v>9.4239783062860578</v>
      </c>
      <c r="M3896" s="1" t="s">
        <v>34</v>
      </c>
      <c r="N3896" s="11">
        <f t="shared" si="60"/>
        <v>1</v>
      </c>
    </row>
    <row r="3897" spans="1:14" ht="16" x14ac:dyDescent="0.2">
      <c r="A3897" s="3">
        <v>44685</v>
      </c>
      <c r="B3897" s="1" t="s">
        <v>3974</v>
      </c>
      <c r="C3897" t="s">
        <v>243</v>
      </c>
      <c r="D3897">
        <v>18</v>
      </c>
      <c r="E3897">
        <v>90</v>
      </c>
      <c r="F3897">
        <v>45</v>
      </c>
      <c r="G3897">
        <v>1620</v>
      </c>
      <c r="H3897" s="4">
        <v>810</v>
      </c>
      <c r="I3897" s="4">
        <v>810</v>
      </c>
      <c r="J3897" t="s">
        <v>875</v>
      </c>
      <c r="K3897" t="s">
        <v>58</v>
      </c>
      <c r="L3897" s="4">
        <v>11.485823039755857</v>
      </c>
      <c r="M3897" s="1" t="s">
        <v>34</v>
      </c>
      <c r="N3897" s="11">
        <f t="shared" si="60"/>
        <v>1</v>
      </c>
    </row>
    <row r="3898" spans="1:14" ht="16" x14ac:dyDescent="0.2">
      <c r="A3898" s="3">
        <v>44686</v>
      </c>
      <c r="B3898" s="1" t="s">
        <v>3975</v>
      </c>
      <c r="C3898" t="s">
        <v>178</v>
      </c>
      <c r="D3898">
        <v>16</v>
      </c>
      <c r="E3898">
        <v>189</v>
      </c>
      <c r="F3898">
        <v>63</v>
      </c>
      <c r="G3898">
        <v>3024</v>
      </c>
      <c r="H3898" s="4">
        <v>1008</v>
      </c>
      <c r="I3898" s="4">
        <v>2016</v>
      </c>
      <c r="J3898" t="s">
        <v>713</v>
      </c>
      <c r="K3898" t="s">
        <v>42</v>
      </c>
      <c r="L3898" s="4">
        <v>10.956589836772277</v>
      </c>
      <c r="M3898" s="1" t="s">
        <v>34</v>
      </c>
      <c r="N3898" s="11">
        <f t="shared" si="60"/>
        <v>1</v>
      </c>
    </row>
    <row r="3899" spans="1:14" ht="16" x14ac:dyDescent="0.2">
      <c r="A3899" s="3">
        <v>44687</v>
      </c>
      <c r="B3899" s="1" t="s">
        <v>3976</v>
      </c>
      <c r="C3899" t="s">
        <v>31</v>
      </c>
      <c r="D3899">
        <v>15</v>
      </c>
      <c r="E3899">
        <v>280</v>
      </c>
      <c r="F3899">
        <v>70</v>
      </c>
      <c r="G3899">
        <v>4200</v>
      </c>
      <c r="H3899" s="4">
        <v>1050</v>
      </c>
      <c r="I3899" s="4">
        <v>3150</v>
      </c>
      <c r="J3899" t="s">
        <v>440</v>
      </c>
      <c r="K3899" t="s">
        <v>33</v>
      </c>
      <c r="L3899" s="4">
        <v>10.408704992688252</v>
      </c>
      <c r="M3899" s="1" t="s">
        <v>54</v>
      </c>
      <c r="N3899" s="11">
        <f t="shared" si="60"/>
        <v>10</v>
      </c>
    </row>
    <row r="3900" spans="1:14" ht="16" x14ac:dyDescent="0.2">
      <c r="A3900" s="3">
        <v>44688</v>
      </c>
      <c r="B3900" s="1" t="s">
        <v>3975</v>
      </c>
      <c r="C3900" t="s">
        <v>204</v>
      </c>
      <c r="D3900">
        <v>13</v>
      </c>
      <c r="E3900">
        <v>57</v>
      </c>
      <c r="F3900">
        <v>19</v>
      </c>
      <c r="G3900">
        <v>741</v>
      </c>
      <c r="H3900" s="4">
        <v>247</v>
      </c>
      <c r="I3900" s="4">
        <v>494</v>
      </c>
      <c r="J3900" t="s">
        <v>752</v>
      </c>
      <c r="K3900" t="s">
        <v>49</v>
      </c>
      <c r="L3900" s="4">
        <v>11.862005526237752</v>
      </c>
      <c r="M3900" s="1" t="s">
        <v>38</v>
      </c>
      <c r="N3900" s="11">
        <f t="shared" si="60"/>
        <v>5</v>
      </c>
    </row>
    <row r="3901" spans="1:14" ht="16" x14ac:dyDescent="0.2">
      <c r="A3901" s="3">
        <v>44689</v>
      </c>
      <c r="B3901" s="1" t="s">
        <v>3977</v>
      </c>
      <c r="C3901" t="s">
        <v>196</v>
      </c>
      <c r="D3901">
        <v>7</v>
      </c>
      <c r="E3901">
        <v>192</v>
      </c>
      <c r="F3901">
        <v>96</v>
      </c>
      <c r="G3901">
        <v>1344</v>
      </c>
      <c r="H3901" s="4">
        <v>672</v>
      </c>
      <c r="I3901" s="4">
        <v>672</v>
      </c>
      <c r="J3901" t="s">
        <v>121</v>
      </c>
      <c r="K3901" t="s">
        <v>64</v>
      </c>
      <c r="L3901" s="4">
        <v>14.16303548174143</v>
      </c>
      <c r="M3901" s="1" t="s">
        <v>38</v>
      </c>
      <c r="N3901" s="11">
        <f t="shared" si="60"/>
        <v>5</v>
      </c>
    </row>
    <row r="3902" spans="1:14" ht="16" x14ac:dyDescent="0.2">
      <c r="A3902" s="3">
        <v>44690</v>
      </c>
      <c r="B3902" s="1" t="s">
        <v>3978</v>
      </c>
      <c r="C3902" t="s">
        <v>286</v>
      </c>
      <c r="D3902">
        <v>20</v>
      </c>
      <c r="E3902">
        <v>34</v>
      </c>
      <c r="F3902">
        <v>17</v>
      </c>
      <c r="G3902">
        <v>680</v>
      </c>
      <c r="H3902" s="4">
        <v>340</v>
      </c>
      <c r="I3902" s="4">
        <v>340</v>
      </c>
      <c r="J3902" t="s">
        <v>653</v>
      </c>
      <c r="K3902" t="s">
        <v>86</v>
      </c>
      <c r="L3902" s="4">
        <v>12.869841591513939</v>
      </c>
      <c r="M3902" s="1" t="s">
        <v>34</v>
      </c>
      <c r="N3902" s="11">
        <f t="shared" si="60"/>
        <v>1</v>
      </c>
    </row>
    <row r="3903" spans="1:14" ht="16" x14ac:dyDescent="0.2">
      <c r="A3903" s="3">
        <v>44691</v>
      </c>
      <c r="B3903" s="1" t="s">
        <v>3959</v>
      </c>
      <c r="C3903" t="s">
        <v>130</v>
      </c>
      <c r="D3903">
        <v>16</v>
      </c>
      <c r="E3903">
        <v>144</v>
      </c>
      <c r="F3903">
        <v>48</v>
      </c>
      <c r="G3903">
        <v>2304</v>
      </c>
      <c r="H3903" s="4">
        <v>768</v>
      </c>
      <c r="I3903" s="4">
        <v>1536</v>
      </c>
      <c r="J3903" t="s">
        <v>738</v>
      </c>
      <c r="K3903" t="s">
        <v>33</v>
      </c>
      <c r="L3903" s="4">
        <v>12.985332015423809</v>
      </c>
      <c r="M3903" s="1" t="s">
        <v>54</v>
      </c>
      <c r="N3903" s="11">
        <f t="shared" si="60"/>
        <v>10</v>
      </c>
    </row>
    <row r="3904" spans="1:14" ht="16" x14ac:dyDescent="0.2">
      <c r="A3904" s="3">
        <v>44692</v>
      </c>
      <c r="B3904" s="1" t="s">
        <v>3979</v>
      </c>
      <c r="C3904" t="s">
        <v>188</v>
      </c>
      <c r="D3904">
        <v>11</v>
      </c>
      <c r="E3904">
        <v>368</v>
      </c>
      <c r="F3904">
        <v>92</v>
      </c>
      <c r="G3904">
        <v>4048</v>
      </c>
      <c r="H3904" s="4">
        <v>1012</v>
      </c>
      <c r="I3904" s="4">
        <v>3036</v>
      </c>
      <c r="J3904" t="s">
        <v>576</v>
      </c>
      <c r="K3904" t="s">
        <v>33</v>
      </c>
      <c r="L3904" s="4">
        <v>11.769937929618399</v>
      </c>
      <c r="M3904" s="1" t="s">
        <v>34</v>
      </c>
      <c r="N3904" s="11">
        <f t="shared" si="60"/>
        <v>1</v>
      </c>
    </row>
    <row r="3905" spans="1:14" ht="16" x14ac:dyDescent="0.2">
      <c r="A3905" s="3">
        <v>44693</v>
      </c>
      <c r="B3905" s="1" t="s">
        <v>3980</v>
      </c>
      <c r="C3905" t="s">
        <v>84</v>
      </c>
      <c r="D3905">
        <v>17</v>
      </c>
      <c r="E3905">
        <v>126</v>
      </c>
      <c r="F3905">
        <v>42</v>
      </c>
      <c r="G3905">
        <v>2142</v>
      </c>
      <c r="H3905" s="4">
        <v>714</v>
      </c>
      <c r="I3905" s="4">
        <v>1428</v>
      </c>
      <c r="J3905" t="s">
        <v>643</v>
      </c>
      <c r="K3905" t="s">
        <v>33</v>
      </c>
      <c r="L3905" s="4">
        <v>12.275875773922367</v>
      </c>
      <c r="M3905" s="1" t="s">
        <v>54</v>
      </c>
      <c r="N3905" s="11">
        <f t="shared" si="60"/>
        <v>10</v>
      </c>
    </row>
    <row r="3906" spans="1:14" ht="16" x14ac:dyDescent="0.2">
      <c r="A3906" s="3">
        <v>44694</v>
      </c>
      <c r="B3906" s="1" t="s">
        <v>3981</v>
      </c>
      <c r="C3906" t="s">
        <v>299</v>
      </c>
      <c r="D3906">
        <v>16</v>
      </c>
      <c r="E3906">
        <v>225</v>
      </c>
      <c r="F3906">
        <v>75</v>
      </c>
      <c r="G3906">
        <v>3600</v>
      </c>
      <c r="H3906" s="4">
        <v>1200</v>
      </c>
      <c r="I3906" s="4">
        <v>2400</v>
      </c>
      <c r="J3906" t="s">
        <v>351</v>
      </c>
      <c r="K3906" t="s">
        <v>33</v>
      </c>
      <c r="L3906" s="4">
        <v>11.070908141213383</v>
      </c>
      <c r="M3906" s="1" t="s">
        <v>38</v>
      </c>
      <c r="N3906" s="11">
        <f t="shared" si="60"/>
        <v>5</v>
      </c>
    </row>
    <row r="3907" spans="1:14" ht="16" x14ac:dyDescent="0.2">
      <c r="A3907" s="3">
        <v>44695</v>
      </c>
      <c r="B3907" s="1" t="s">
        <v>3982</v>
      </c>
      <c r="C3907" t="s">
        <v>259</v>
      </c>
      <c r="D3907">
        <v>9</v>
      </c>
      <c r="E3907">
        <v>270</v>
      </c>
      <c r="F3907">
        <v>90</v>
      </c>
      <c r="G3907">
        <v>2430</v>
      </c>
      <c r="H3907" s="4">
        <v>810</v>
      </c>
      <c r="I3907" s="4">
        <v>1620</v>
      </c>
      <c r="J3907" t="s">
        <v>96</v>
      </c>
      <c r="K3907" t="s">
        <v>64</v>
      </c>
      <c r="L3907" s="4">
        <v>12.072414596936037</v>
      </c>
      <c r="M3907" s="1" t="s">
        <v>38</v>
      </c>
      <c r="N3907" s="11">
        <f t="shared" ref="N3907:N3970" si="61">+IF(M3907="Dissatisfied",1,IF(M3907="Satisfied",10,5))</f>
        <v>5</v>
      </c>
    </row>
    <row r="3908" spans="1:14" ht="16" x14ac:dyDescent="0.2">
      <c r="A3908" s="3">
        <v>44696</v>
      </c>
      <c r="B3908" s="1" t="s">
        <v>3983</v>
      </c>
      <c r="C3908" t="s">
        <v>340</v>
      </c>
      <c r="D3908">
        <v>17</v>
      </c>
      <c r="E3908">
        <v>180</v>
      </c>
      <c r="F3908">
        <v>45</v>
      </c>
      <c r="G3908">
        <v>3060</v>
      </c>
      <c r="H3908" s="4">
        <v>765</v>
      </c>
      <c r="I3908" s="4">
        <v>2295</v>
      </c>
      <c r="J3908" t="s">
        <v>329</v>
      </c>
      <c r="K3908" t="s">
        <v>33</v>
      </c>
      <c r="L3908" s="4">
        <v>12.545140403858928</v>
      </c>
      <c r="M3908" s="1" t="s">
        <v>34</v>
      </c>
      <c r="N3908" s="11">
        <f t="shared" si="61"/>
        <v>1</v>
      </c>
    </row>
    <row r="3909" spans="1:14" ht="16" x14ac:dyDescent="0.2">
      <c r="A3909" s="3">
        <v>44697</v>
      </c>
      <c r="B3909" s="1" t="s">
        <v>3984</v>
      </c>
      <c r="C3909" t="s">
        <v>105</v>
      </c>
      <c r="D3909">
        <v>1</v>
      </c>
      <c r="E3909">
        <v>201</v>
      </c>
      <c r="F3909">
        <v>67</v>
      </c>
      <c r="G3909">
        <v>201</v>
      </c>
      <c r="H3909" s="4">
        <v>67</v>
      </c>
      <c r="I3909" s="4">
        <v>134</v>
      </c>
      <c r="J3909" t="s">
        <v>613</v>
      </c>
      <c r="K3909" t="s">
        <v>86</v>
      </c>
      <c r="L3909" s="4">
        <v>8.8169309002713945</v>
      </c>
      <c r="M3909" s="1" t="s">
        <v>54</v>
      </c>
      <c r="N3909" s="11">
        <f t="shared" si="61"/>
        <v>10</v>
      </c>
    </row>
    <row r="3910" spans="1:14" ht="16" x14ac:dyDescent="0.2">
      <c r="A3910" s="3">
        <v>44698</v>
      </c>
      <c r="B3910" s="1" t="s">
        <v>3985</v>
      </c>
      <c r="C3910" t="s">
        <v>178</v>
      </c>
      <c r="D3910">
        <v>7</v>
      </c>
      <c r="E3910">
        <v>189</v>
      </c>
      <c r="F3910">
        <v>63</v>
      </c>
      <c r="G3910">
        <v>1323</v>
      </c>
      <c r="H3910" s="4">
        <v>441</v>
      </c>
      <c r="I3910" s="4">
        <v>882</v>
      </c>
      <c r="J3910" t="s">
        <v>665</v>
      </c>
      <c r="K3910" t="s">
        <v>33</v>
      </c>
      <c r="L3910" s="4">
        <v>6.9183250411917196</v>
      </c>
      <c r="M3910" s="1" t="s">
        <v>54</v>
      </c>
      <c r="N3910" s="11">
        <f t="shared" si="61"/>
        <v>10</v>
      </c>
    </row>
    <row r="3911" spans="1:14" ht="16" x14ac:dyDescent="0.2">
      <c r="A3911" s="3">
        <v>44699</v>
      </c>
      <c r="B3911" s="1" t="s">
        <v>1533</v>
      </c>
      <c r="C3911" t="s">
        <v>255</v>
      </c>
      <c r="D3911">
        <v>9</v>
      </c>
      <c r="E3911">
        <v>140</v>
      </c>
      <c r="F3911">
        <v>70</v>
      </c>
      <c r="G3911">
        <v>1260</v>
      </c>
      <c r="H3911" s="4">
        <v>630</v>
      </c>
      <c r="I3911" s="4">
        <v>630</v>
      </c>
      <c r="J3911" t="s">
        <v>111</v>
      </c>
      <c r="K3911" t="s">
        <v>53</v>
      </c>
      <c r="L3911" s="4">
        <v>13.407340878370247</v>
      </c>
      <c r="M3911" s="1" t="s">
        <v>38</v>
      </c>
      <c r="N3911" s="11">
        <f t="shared" si="61"/>
        <v>5</v>
      </c>
    </row>
    <row r="3912" spans="1:14" ht="16" x14ac:dyDescent="0.2">
      <c r="A3912" s="3">
        <v>44700</v>
      </c>
      <c r="B3912" s="1" t="s">
        <v>3986</v>
      </c>
      <c r="C3912" t="s">
        <v>101</v>
      </c>
      <c r="D3912">
        <v>10</v>
      </c>
      <c r="E3912">
        <v>50</v>
      </c>
      <c r="F3912">
        <v>25</v>
      </c>
      <c r="G3912">
        <v>500</v>
      </c>
      <c r="H3912" s="4">
        <v>250</v>
      </c>
      <c r="I3912" s="4">
        <v>250</v>
      </c>
      <c r="J3912" t="s">
        <v>89</v>
      </c>
      <c r="K3912" t="s">
        <v>64</v>
      </c>
      <c r="L3912" s="4">
        <v>12.865074657680612</v>
      </c>
      <c r="M3912" s="1" t="s">
        <v>54</v>
      </c>
      <c r="N3912" s="11">
        <f t="shared" si="61"/>
        <v>10</v>
      </c>
    </row>
    <row r="3913" spans="1:14" ht="16" x14ac:dyDescent="0.2">
      <c r="A3913" s="3">
        <v>44701</v>
      </c>
      <c r="B3913" s="1" t="s">
        <v>3987</v>
      </c>
      <c r="C3913" t="s">
        <v>299</v>
      </c>
      <c r="D3913">
        <v>9</v>
      </c>
      <c r="E3913">
        <v>225</v>
      </c>
      <c r="F3913">
        <v>75</v>
      </c>
      <c r="G3913">
        <v>2025</v>
      </c>
      <c r="H3913" s="4">
        <v>675</v>
      </c>
      <c r="I3913" s="4">
        <v>1350</v>
      </c>
      <c r="J3913" t="s">
        <v>890</v>
      </c>
      <c r="K3913" t="s">
        <v>86</v>
      </c>
      <c r="L3913" s="4">
        <v>15.856807810268592</v>
      </c>
      <c r="M3913" s="1" t="s">
        <v>38</v>
      </c>
      <c r="N3913" s="11">
        <f t="shared" si="61"/>
        <v>5</v>
      </c>
    </row>
    <row r="3914" spans="1:14" ht="16" x14ac:dyDescent="0.2">
      <c r="A3914" s="3">
        <v>44702</v>
      </c>
      <c r="B3914" s="1" t="s">
        <v>3988</v>
      </c>
      <c r="C3914" t="s">
        <v>196</v>
      </c>
      <c r="D3914">
        <v>18</v>
      </c>
      <c r="E3914">
        <v>192</v>
      </c>
      <c r="F3914">
        <v>96</v>
      </c>
      <c r="G3914">
        <v>3456</v>
      </c>
      <c r="H3914" s="4">
        <v>1728</v>
      </c>
      <c r="I3914" s="4">
        <v>1728</v>
      </c>
      <c r="J3914" t="s">
        <v>678</v>
      </c>
      <c r="K3914" t="s">
        <v>86</v>
      </c>
      <c r="L3914" s="4">
        <v>12.460490918487697</v>
      </c>
      <c r="M3914" s="1" t="s">
        <v>38</v>
      </c>
      <c r="N3914" s="11">
        <f t="shared" si="61"/>
        <v>5</v>
      </c>
    </row>
    <row r="3915" spans="1:14" ht="16" x14ac:dyDescent="0.2">
      <c r="A3915" s="3">
        <v>44703</v>
      </c>
      <c r="B3915" s="1" t="s">
        <v>3989</v>
      </c>
      <c r="C3915" t="s">
        <v>583</v>
      </c>
      <c r="D3915">
        <v>7</v>
      </c>
      <c r="E3915">
        <v>57</v>
      </c>
      <c r="F3915">
        <v>19</v>
      </c>
      <c r="G3915">
        <v>399</v>
      </c>
      <c r="H3915" s="4">
        <v>133</v>
      </c>
      <c r="I3915" s="4">
        <v>266</v>
      </c>
      <c r="J3915" t="s">
        <v>455</v>
      </c>
      <c r="K3915" t="s">
        <v>53</v>
      </c>
      <c r="L3915" s="4">
        <v>13.574227261506472</v>
      </c>
      <c r="M3915" s="1" t="s">
        <v>34</v>
      </c>
      <c r="N3915" s="11">
        <f t="shared" si="61"/>
        <v>1</v>
      </c>
    </row>
    <row r="3916" spans="1:14" ht="16" x14ac:dyDescent="0.2">
      <c r="A3916" s="3">
        <v>44704</v>
      </c>
      <c r="B3916" s="1" t="s">
        <v>3990</v>
      </c>
      <c r="C3916" t="s">
        <v>44</v>
      </c>
      <c r="D3916">
        <v>11</v>
      </c>
      <c r="E3916">
        <v>114</v>
      </c>
      <c r="F3916">
        <v>57</v>
      </c>
      <c r="G3916">
        <v>1254</v>
      </c>
      <c r="H3916" s="4">
        <v>627</v>
      </c>
      <c r="I3916" s="4">
        <v>627</v>
      </c>
      <c r="J3916" t="s">
        <v>236</v>
      </c>
      <c r="K3916" t="s">
        <v>53</v>
      </c>
      <c r="L3916" s="4">
        <v>9.3014286057233697</v>
      </c>
      <c r="M3916" s="1" t="s">
        <v>34</v>
      </c>
      <c r="N3916" s="11">
        <f t="shared" si="61"/>
        <v>1</v>
      </c>
    </row>
    <row r="3917" spans="1:14" ht="16" x14ac:dyDescent="0.2">
      <c r="A3917" s="3">
        <v>44705</v>
      </c>
      <c r="B3917" s="1" t="s">
        <v>3991</v>
      </c>
      <c r="C3917" t="s">
        <v>431</v>
      </c>
      <c r="D3917">
        <v>19</v>
      </c>
      <c r="E3917">
        <v>356</v>
      </c>
      <c r="F3917">
        <v>89</v>
      </c>
      <c r="G3917">
        <v>6764</v>
      </c>
      <c r="H3917" s="4">
        <v>1691</v>
      </c>
      <c r="I3917" s="4">
        <v>5073</v>
      </c>
      <c r="J3917" t="s">
        <v>123</v>
      </c>
      <c r="K3917" t="s">
        <v>53</v>
      </c>
      <c r="L3917" s="4">
        <v>10.42743035829395</v>
      </c>
      <c r="M3917" s="1" t="s">
        <v>38</v>
      </c>
      <c r="N3917" s="11">
        <f t="shared" si="61"/>
        <v>5</v>
      </c>
    </row>
    <row r="3918" spans="1:14" ht="16" x14ac:dyDescent="0.2">
      <c r="A3918" s="3">
        <v>44706</v>
      </c>
      <c r="B3918" s="1" t="s">
        <v>3992</v>
      </c>
      <c r="C3918" t="s">
        <v>105</v>
      </c>
      <c r="D3918">
        <v>2</v>
      </c>
      <c r="E3918">
        <v>201</v>
      </c>
      <c r="F3918">
        <v>67</v>
      </c>
      <c r="G3918">
        <v>402</v>
      </c>
      <c r="H3918" s="4">
        <v>134</v>
      </c>
      <c r="I3918" s="4">
        <v>268</v>
      </c>
      <c r="J3918" t="s">
        <v>199</v>
      </c>
      <c r="K3918" t="s">
        <v>86</v>
      </c>
      <c r="L3918" s="4">
        <v>13.890275354050972</v>
      </c>
      <c r="M3918" s="1" t="s">
        <v>38</v>
      </c>
      <c r="N3918" s="11">
        <f t="shared" si="61"/>
        <v>5</v>
      </c>
    </row>
    <row r="3919" spans="1:14" ht="16" x14ac:dyDescent="0.2">
      <c r="A3919" s="3">
        <v>44707</v>
      </c>
      <c r="B3919" s="1" t="s">
        <v>3993</v>
      </c>
      <c r="C3919" t="s">
        <v>317</v>
      </c>
      <c r="D3919">
        <v>8</v>
      </c>
      <c r="E3919">
        <v>352</v>
      </c>
      <c r="F3919">
        <v>88</v>
      </c>
      <c r="G3919">
        <v>2816</v>
      </c>
      <c r="H3919" s="4">
        <v>704</v>
      </c>
      <c r="I3919" s="4">
        <v>2112</v>
      </c>
      <c r="J3919" t="s">
        <v>806</v>
      </c>
      <c r="K3919" t="s">
        <v>86</v>
      </c>
      <c r="L3919" s="4">
        <v>11.927799225928501</v>
      </c>
      <c r="M3919" s="1" t="s">
        <v>38</v>
      </c>
      <c r="N3919" s="11">
        <f t="shared" si="61"/>
        <v>5</v>
      </c>
    </row>
    <row r="3920" spans="1:14" ht="16" x14ac:dyDescent="0.2">
      <c r="A3920" s="3">
        <v>44708</v>
      </c>
      <c r="B3920" s="1" t="s">
        <v>3994</v>
      </c>
      <c r="C3920" t="s">
        <v>44</v>
      </c>
      <c r="D3920">
        <v>1</v>
      </c>
      <c r="E3920">
        <v>114</v>
      </c>
      <c r="F3920">
        <v>57</v>
      </c>
      <c r="G3920">
        <v>114</v>
      </c>
      <c r="H3920" s="4">
        <v>57</v>
      </c>
      <c r="I3920" s="4">
        <v>57</v>
      </c>
      <c r="J3920" t="s">
        <v>384</v>
      </c>
      <c r="K3920" t="s">
        <v>33</v>
      </c>
      <c r="L3920" s="4">
        <v>11.687634894637348</v>
      </c>
      <c r="M3920" s="1" t="s">
        <v>38</v>
      </c>
      <c r="N3920" s="11">
        <f t="shared" si="61"/>
        <v>5</v>
      </c>
    </row>
    <row r="3921" spans="1:14" ht="16" x14ac:dyDescent="0.2">
      <c r="A3921" s="3">
        <v>44709</v>
      </c>
      <c r="B3921" s="1" t="s">
        <v>3995</v>
      </c>
      <c r="C3921" t="s">
        <v>391</v>
      </c>
      <c r="D3921">
        <v>11</v>
      </c>
      <c r="E3921">
        <v>72</v>
      </c>
      <c r="F3921">
        <v>36</v>
      </c>
      <c r="G3921">
        <v>792</v>
      </c>
      <c r="H3921" s="4">
        <v>396</v>
      </c>
      <c r="I3921" s="4">
        <v>396</v>
      </c>
      <c r="J3921" t="s">
        <v>660</v>
      </c>
      <c r="K3921" t="s">
        <v>86</v>
      </c>
      <c r="L3921" s="4">
        <v>10.163794912095831</v>
      </c>
      <c r="M3921" s="1" t="s">
        <v>38</v>
      </c>
      <c r="N3921" s="11">
        <f t="shared" si="61"/>
        <v>5</v>
      </c>
    </row>
    <row r="3922" spans="1:14" ht="16" x14ac:dyDescent="0.2">
      <c r="A3922" s="3">
        <v>44710</v>
      </c>
      <c r="B3922" s="1" t="s">
        <v>3996</v>
      </c>
      <c r="C3922" t="s">
        <v>243</v>
      </c>
      <c r="D3922">
        <v>4</v>
      </c>
      <c r="E3922">
        <v>90</v>
      </c>
      <c r="F3922">
        <v>45</v>
      </c>
      <c r="G3922">
        <v>360</v>
      </c>
      <c r="H3922" s="4">
        <v>180</v>
      </c>
      <c r="I3922" s="4">
        <v>180</v>
      </c>
      <c r="J3922" t="s">
        <v>213</v>
      </c>
      <c r="K3922" t="s">
        <v>58</v>
      </c>
      <c r="L3922" s="4">
        <v>10.980884286450312</v>
      </c>
      <c r="M3922" s="1" t="s">
        <v>38</v>
      </c>
      <c r="N3922" s="11">
        <f t="shared" si="61"/>
        <v>5</v>
      </c>
    </row>
    <row r="3923" spans="1:14" ht="16" x14ac:dyDescent="0.2">
      <c r="A3923" s="3">
        <v>44711</v>
      </c>
      <c r="B3923" s="1" t="s">
        <v>3997</v>
      </c>
      <c r="C3923" t="s">
        <v>288</v>
      </c>
      <c r="D3923">
        <v>13</v>
      </c>
      <c r="E3923">
        <v>48</v>
      </c>
      <c r="F3923">
        <v>24</v>
      </c>
      <c r="G3923">
        <v>624</v>
      </c>
      <c r="H3923" s="4">
        <v>312</v>
      </c>
      <c r="I3923" s="4">
        <v>312</v>
      </c>
      <c r="J3923" t="s">
        <v>531</v>
      </c>
      <c r="K3923" t="s">
        <v>58</v>
      </c>
      <c r="L3923" s="4">
        <v>14.064516999204997</v>
      </c>
      <c r="M3923" s="1" t="s">
        <v>34</v>
      </c>
      <c r="N3923" s="11">
        <f t="shared" si="61"/>
        <v>1</v>
      </c>
    </row>
    <row r="3924" spans="1:14" ht="16" x14ac:dyDescent="0.2">
      <c r="A3924" s="3">
        <v>44712</v>
      </c>
      <c r="B3924" s="1" t="s">
        <v>3998</v>
      </c>
      <c r="C3924" t="s">
        <v>47</v>
      </c>
      <c r="D3924">
        <v>9</v>
      </c>
      <c r="E3924">
        <v>231</v>
      </c>
      <c r="F3924">
        <v>77</v>
      </c>
      <c r="G3924">
        <v>2079</v>
      </c>
      <c r="H3924" s="4">
        <v>693</v>
      </c>
      <c r="I3924" s="4">
        <v>1386</v>
      </c>
      <c r="J3924" t="s">
        <v>923</v>
      </c>
      <c r="K3924" t="s">
        <v>42</v>
      </c>
      <c r="L3924" s="4">
        <v>12.502346728827876</v>
      </c>
      <c r="M3924" s="1" t="s">
        <v>38</v>
      </c>
      <c r="N3924" s="11">
        <f t="shared" si="61"/>
        <v>5</v>
      </c>
    </row>
    <row r="3925" spans="1:14" ht="16" x14ac:dyDescent="0.2">
      <c r="A3925" s="3">
        <v>44713</v>
      </c>
      <c r="B3925" s="1" t="s">
        <v>3999</v>
      </c>
      <c r="C3925" t="s">
        <v>340</v>
      </c>
      <c r="D3925">
        <v>16</v>
      </c>
      <c r="E3925">
        <v>180</v>
      </c>
      <c r="F3925">
        <v>45</v>
      </c>
      <c r="G3925">
        <v>2880</v>
      </c>
      <c r="H3925" s="4">
        <v>720</v>
      </c>
      <c r="I3925" s="4">
        <v>2160</v>
      </c>
      <c r="J3925" t="s">
        <v>230</v>
      </c>
      <c r="K3925" t="s">
        <v>42</v>
      </c>
      <c r="L3925" s="4">
        <v>12.172922939334034</v>
      </c>
      <c r="M3925" s="1" t="s">
        <v>38</v>
      </c>
      <c r="N3925" s="11">
        <f t="shared" si="61"/>
        <v>5</v>
      </c>
    </row>
    <row r="3926" spans="1:14" ht="16" x14ac:dyDescent="0.2">
      <c r="A3926" s="3">
        <v>44714</v>
      </c>
      <c r="B3926" s="1" t="s">
        <v>4000</v>
      </c>
      <c r="C3926" t="s">
        <v>93</v>
      </c>
      <c r="D3926">
        <v>20</v>
      </c>
      <c r="E3926">
        <v>204</v>
      </c>
      <c r="F3926">
        <v>51</v>
      </c>
      <c r="G3926">
        <v>4080</v>
      </c>
      <c r="H3926" s="4">
        <v>1020</v>
      </c>
      <c r="I3926" s="4">
        <v>3060</v>
      </c>
      <c r="J3926" t="s">
        <v>548</v>
      </c>
      <c r="K3926" t="s">
        <v>53</v>
      </c>
      <c r="L3926" s="4">
        <v>16.695690968264284</v>
      </c>
      <c r="M3926" s="1" t="s">
        <v>38</v>
      </c>
      <c r="N3926" s="11">
        <f t="shared" si="61"/>
        <v>5</v>
      </c>
    </row>
    <row r="3927" spans="1:14" ht="16" x14ac:dyDescent="0.2">
      <c r="A3927" s="3">
        <v>44715</v>
      </c>
      <c r="B3927" s="1" t="s">
        <v>4001</v>
      </c>
      <c r="C3927" t="s">
        <v>56</v>
      </c>
      <c r="D3927">
        <v>6</v>
      </c>
      <c r="E3927">
        <v>38</v>
      </c>
      <c r="F3927">
        <v>19</v>
      </c>
      <c r="G3927">
        <v>228</v>
      </c>
      <c r="H3927" s="4">
        <v>114</v>
      </c>
      <c r="I3927" s="4">
        <v>114</v>
      </c>
      <c r="J3927" t="s">
        <v>225</v>
      </c>
      <c r="K3927" t="s">
        <v>33</v>
      </c>
      <c r="L3927" s="4">
        <v>11.083482342133532</v>
      </c>
      <c r="M3927" s="1" t="s">
        <v>34</v>
      </c>
      <c r="N3927" s="11">
        <f t="shared" si="61"/>
        <v>1</v>
      </c>
    </row>
    <row r="3928" spans="1:14" ht="16" x14ac:dyDescent="0.2">
      <c r="A3928" s="3">
        <v>44716</v>
      </c>
      <c r="B3928" s="1" t="s">
        <v>4002</v>
      </c>
      <c r="C3928" t="s">
        <v>136</v>
      </c>
      <c r="D3928">
        <v>7</v>
      </c>
      <c r="E3928">
        <v>154</v>
      </c>
      <c r="F3928">
        <v>77</v>
      </c>
      <c r="G3928">
        <v>1078</v>
      </c>
      <c r="H3928" s="4">
        <v>539</v>
      </c>
      <c r="I3928" s="4">
        <v>539</v>
      </c>
      <c r="J3928" t="s">
        <v>413</v>
      </c>
      <c r="K3928" t="s">
        <v>64</v>
      </c>
      <c r="L3928" s="4">
        <v>12.682358648534777</v>
      </c>
      <c r="M3928" s="1" t="s">
        <v>54</v>
      </c>
      <c r="N3928" s="11">
        <f t="shared" si="61"/>
        <v>10</v>
      </c>
    </row>
    <row r="3929" spans="1:14" ht="16" x14ac:dyDescent="0.2">
      <c r="A3929" s="3">
        <v>44717</v>
      </c>
      <c r="B3929" s="1" t="s">
        <v>4003</v>
      </c>
      <c r="C3929" t="s">
        <v>431</v>
      </c>
      <c r="D3929">
        <v>10</v>
      </c>
      <c r="E3929">
        <v>356</v>
      </c>
      <c r="F3929">
        <v>89</v>
      </c>
      <c r="G3929">
        <v>3560</v>
      </c>
      <c r="H3929" s="4">
        <v>890</v>
      </c>
      <c r="I3929" s="4">
        <v>2670</v>
      </c>
      <c r="J3929" t="s">
        <v>686</v>
      </c>
      <c r="K3929" t="s">
        <v>86</v>
      </c>
      <c r="L3929" s="4">
        <v>8.1595626482464514</v>
      </c>
      <c r="M3929" s="1" t="s">
        <v>38</v>
      </c>
      <c r="N3929" s="11">
        <f t="shared" si="61"/>
        <v>5</v>
      </c>
    </row>
    <row r="3930" spans="1:14" ht="16" x14ac:dyDescent="0.2">
      <c r="A3930" s="3">
        <v>44718</v>
      </c>
      <c r="B3930" s="1" t="s">
        <v>4004</v>
      </c>
      <c r="C3930" t="s">
        <v>110</v>
      </c>
      <c r="D3930">
        <v>14</v>
      </c>
      <c r="E3930">
        <v>144</v>
      </c>
      <c r="F3930">
        <v>36</v>
      </c>
      <c r="G3930">
        <v>2016</v>
      </c>
      <c r="H3930" s="4">
        <v>504</v>
      </c>
      <c r="I3930" s="4">
        <v>1512</v>
      </c>
      <c r="J3930" t="s">
        <v>498</v>
      </c>
      <c r="K3930" t="s">
        <v>58</v>
      </c>
      <c r="L3930" s="4">
        <v>8.0758315802191021</v>
      </c>
      <c r="M3930" s="1" t="s">
        <v>38</v>
      </c>
      <c r="N3930" s="11">
        <f t="shared" si="61"/>
        <v>5</v>
      </c>
    </row>
    <row r="3931" spans="1:14" ht="16" x14ac:dyDescent="0.2">
      <c r="A3931" s="3">
        <v>44719</v>
      </c>
      <c r="B3931" s="1" t="s">
        <v>4005</v>
      </c>
      <c r="C3931" t="s">
        <v>544</v>
      </c>
      <c r="D3931">
        <v>5</v>
      </c>
      <c r="E3931">
        <v>267</v>
      </c>
      <c r="F3931">
        <v>89</v>
      </c>
      <c r="G3931">
        <v>1335</v>
      </c>
      <c r="H3931" s="4">
        <v>445</v>
      </c>
      <c r="I3931" s="4">
        <v>890</v>
      </c>
      <c r="J3931" t="s">
        <v>329</v>
      </c>
      <c r="K3931" t="s">
        <v>33</v>
      </c>
      <c r="L3931" s="4">
        <v>12.545140403858928</v>
      </c>
      <c r="M3931" s="1" t="s">
        <v>38</v>
      </c>
      <c r="N3931" s="11">
        <f t="shared" si="61"/>
        <v>5</v>
      </c>
    </row>
    <row r="3932" spans="1:14" ht="16" x14ac:dyDescent="0.2">
      <c r="A3932" s="3">
        <v>44720</v>
      </c>
      <c r="B3932" s="1" t="s">
        <v>4006</v>
      </c>
      <c r="C3932" t="s">
        <v>178</v>
      </c>
      <c r="D3932">
        <v>7</v>
      </c>
      <c r="E3932">
        <v>189</v>
      </c>
      <c r="F3932">
        <v>63</v>
      </c>
      <c r="G3932">
        <v>1323</v>
      </c>
      <c r="H3932" s="4">
        <v>441</v>
      </c>
      <c r="I3932" s="4">
        <v>882</v>
      </c>
      <c r="J3932" t="s">
        <v>108</v>
      </c>
      <c r="K3932" t="s">
        <v>64</v>
      </c>
      <c r="L3932" s="4">
        <v>9.7467096260695598</v>
      </c>
      <c r="M3932" s="1" t="s">
        <v>54</v>
      </c>
      <c r="N3932" s="11">
        <f t="shared" si="61"/>
        <v>10</v>
      </c>
    </row>
    <row r="3933" spans="1:14" ht="16" x14ac:dyDescent="0.2">
      <c r="A3933" s="3">
        <v>44721</v>
      </c>
      <c r="B3933" s="1" t="s">
        <v>4007</v>
      </c>
      <c r="C3933" t="s">
        <v>299</v>
      </c>
      <c r="D3933">
        <v>13</v>
      </c>
      <c r="E3933">
        <v>225</v>
      </c>
      <c r="F3933">
        <v>75</v>
      </c>
      <c r="G3933">
        <v>2925</v>
      </c>
      <c r="H3933" s="4">
        <v>975</v>
      </c>
      <c r="I3933" s="4">
        <v>1950</v>
      </c>
      <c r="J3933" t="s">
        <v>186</v>
      </c>
      <c r="K3933" t="s">
        <v>58</v>
      </c>
      <c r="L3933" s="4">
        <v>11.31221475547909</v>
      </c>
      <c r="M3933" s="1" t="s">
        <v>54</v>
      </c>
      <c r="N3933" s="11">
        <f t="shared" si="61"/>
        <v>10</v>
      </c>
    </row>
    <row r="3934" spans="1:14" ht="16" x14ac:dyDescent="0.2">
      <c r="A3934" s="3">
        <v>44722</v>
      </c>
      <c r="B3934" s="1" t="s">
        <v>4008</v>
      </c>
      <c r="C3934" t="s">
        <v>538</v>
      </c>
      <c r="D3934">
        <v>16</v>
      </c>
      <c r="E3934">
        <v>261</v>
      </c>
      <c r="F3934">
        <v>87</v>
      </c>
      <c r="G3934">
        <v>4176</v>
      </c>
      <c r="H3934" s="4">
        <v>1392</v>
      </c>
      <c r="I3934" s="4">
        <v>2784</v>
      </c>
      <c r="J3934" t="s">
        <v>397</v>
      </c>
      <c r="K3934" t="s">
        <v>49</v>
      </c>
      <c r="L3934" s="4">
        <v>9.4239783062860578</v>
      </c>
      <c r="M3934" s="1" t="s">
        <v>54</v>
      </c>
      <c r="N3934" s="11">
        <f t="shared" si="61"/>
        <v>10</v>
      </c>
    </row>
    <row r="3935" spans="1:14" ht="16" x14ac:dyDescent="0.2">
      <c r="A3935" s="3">
        <v>44723</v>
      </c>
      <c r="B3935" s="1" t="s">
        <v>4009</v>
      </c>
      <c r="C3935" t="s">
        <v>288</v>
      </c>
      <c r="D3935">
        <v>4</v>
      </c>
      <c r="E3935">
        <v>48</v>
      </c>
      <c r="F3935">
        <v>24</v>
      </c>
      <c r="G3935">
        <v>192</v>
      </c>
      <c r="H3935" s="4">
        <v>96</v>
      </c>
      <c r="I3935" s="4">
        <v>96</v>
      </c>
      <c r="J3935" t="s">
        <v>713</v>
      </c>
      <c r="K3935" t="s">
        <v>42</v>
      </c>
      <c r="L3935" s="4">
        <v>10.956589836772277</v>
      </c>
      <c r="M3935" s="1" t="s">
        <v>38</v>
      </c>
      <c r="N3935" s="11">
        <f t="shared" si="61"/>
        <v>5</v>
      </c>
    </row>
    <row r="3936" spans="1:14" ht="16" x14ac:dyDescent="0.2">
      <c r="A3936" s="3">
        <v>44724</v>
      </c>
      <c r="B3936" s="1" t="s">
        <v>4010</v>
      </c>
      <c r="C3936" t="s">
        <v>47</v>
      </c>
      <c r="D3936">
        <v>17</v>
      </c>
      <c r="E3936">
        <v>231</v>
      </c>
      <c r="F3936">
        <v>77</v>
      </c>
      <c r="G3936">
        <v>3927</v>
      </c>
      <c r="H3936" s="4">
        <v>1309</v>
      </c>
      <c r="I3936" s="4">
        <v>2618</v>
      </c>
      <c r="J3936" t="s">
        <v>167</v>
      </c>
      <c r="K3936" t="s">
        <v>86</v>
      </c>
      <c r="L3936" s="4">
        <v>10.216282609482219</v>
      </c>
      <c r="M3936" s="1" t="s">
        <v>38</v>
      </c>
      <c r="N3936" s="11">
        <f t="shared" si="61"/>
        <v>5</v>
      </c>
    </row>
    <row r="3937" spans="1:14" ht="16" x14ac:dyDescent="0.2">
      <c r="A3937" s="3">
        <v>44725</v>
      </c>
      <c r="B3937" s="1" t="s">
        <v>4011</v>
      </c>
      <c r="C3937" t="s">
        <v>110</v>
      </c>
      <c r="D3937">
        <v>11</v>
      </c>
      <c r="E3937">
        <v>144</v>
      </c>
      <c r="F3937">
        <v>36</v>
      </c>
      <c r="G3937">
        <v>1584</v>
      </c>
      <c r="H3937" s="4">
        <v>396</v>
      </c>
      <c r="I3937" s="4">
        <v>1188</v>
      </c>
      <c r="J3937" t="s">
        <v>555</v>
      </c>
      <c r="K3937" t="s">
        <v>53</v>
      </c>
      <c r="L3937" s="4">
        <v>14.341195386574373</v>
      </c>
      <c r="M3937" s="1" t="s">
        <v>38</v>
      </c>
      <c r="N3937" s="11">
        <f t="shared" si="61"/>
        <v>5</v>
      </c>
    </row>
    <row r="3938" spans="1:14" ht="16" x14ac:dyDescent="0.2">
      <c r="A3938" s="3">
        <v>44726</v>
      </c>
      <c r="B3938" s="1" t="s">
        <v>4012</v>
      </c>
      <c r="C3938" t="s">
        <v>171</v>
      </c>
      <c r="D3938">
        <v>3</v>
      </c>
      <c r="E3938">
        <v>225</v>
      </c>
      <c r="F3938">
        <v>75</v>
      </c>
      <c r="G3938">
        <v>675</v>
      </c>
      <c r="H3938" s="4">
        <v>225</v>
      </c>
      <c r="I3938" s="4">
        <v>450</v>
      </c>
      <c r="J3938" t="s">
        <v>914</v>
      </c>
      <c r="K3938" t="s">
        <v>42</v>
      </c>
      <c r="L3938" s="4">
        <v>13.853438793083487</v>
      </c>
      <c r="M3938" s="1" t="s">
        <v>38</v>
      </c>
      <c r="N3938" s="11">
        <f t="shared" si="61"/>
        <v>5</v>
      </c>
    </row>
    <row r="3939" spans="1:14" ht="16" x14ac:dyDescent="0.2">
      <c r="A3939" s="3">
        <v>44727</v>
      </c>
      <c r="B3939" s="1" t="s">
        <v>4013</v>
      </c>
      <c r="C3939" t="s">
        <v>125</v>
      </c>
      <c r="D3939">
        <v>18</v>
      </c>
      <c r="E3939">
        <v>176</v>
      </c>
      <c r="F3939">
        <v>88</v>
      </c>
      <c r="G3939">
        <v>3168</v>
      </c>
      <c r="H3939" s="4">
        <v>1584</v>
      </c>
      <c r="I3939" s="4">
        <v>1584</v>
      </c>
      <c r="J3939" t="s">
        <v>202</v>
      </c>
      <c r="K3939" t="s">
        <v>58</v>
      </c>
      <c r="L3939" s="4">
        <v>13.765798454641494</v>
      </c>
      <c r="M3939" s="1" t="s">
        <v>34</v>
      </c>
      <c r="N3939" s="11">
        <f t="shared" si="61"/>
        <v>1</v>
      </c>
    </row>
    <row r="3940" spans="1:14" ht="16" x14ac:dyDescent="0.2">
      <c r="A3940" s="3">
        <v>44728</v>
      </c>
      <c r="B3940" s="1" t="s">
        <v>4014</v>
      </c>
      <c r="C3940" t="s">
        <v>105</v>
      </c>
      <c r="D3940">
        <v>3</v>
      </c>
      <c r="E3940">
        <v>201</v>
      </c>
      <c r="F3940">
        <v>67</v>
      </c>
      <c r="G3940">
        <v>603</v>
      </c>
      <c r="H3940" s="4">
        <v>201</v>
      </c>
      <c r="I3940" s="4">
        <v>402</v>
      </c>
      <c r="J3940" t="s">
        <v>1195</v>
      </c>
      <c r="K3940" t="s">
        <v>33</v>
      </c>
      <c r="L3940" s="4">
        <v>11.971065679104063</v>
      </c>
      <c r="M3940" s="1" t="s">
        <v>38</v>
      </c>
      <c r="N3940" s="11">
        <f t="shared" si="61"/>
        <v>5</v>
      </c>
    </row>
    <row r="3941" spans="1:14" ht="16" x14ac:dyDescent="0.2">
      <c r="A3941" s="3">
        <v>44729</v>
      </c>
      <c r="B3941" s="1" t="s">
        <v>4015</v>
      </c>
      <c r="C3941" t="s">
        <v>538</v>
      </c>
      <c r="D3941">
        <v>14</v>
      </c>
      <c r="E3941">
        <v>261</v>
      </c>
      <c r="F3941">
        <v>87</v>
      </c>
      <c r="G3941">
        <v>3654</v>
      </c>
      <c r="H3941" s="4">
        <v>1218</v>
      </c>
      <c r="I3941" s="4">
        <v>2436</v>
      </c>
      <c r="J3941" t="s">
        <v>76</v>
      </c>
      <c r="K3941" t="s">
        <v>58</v>
      </c>
      <c r="L3941" s="4">
        <v>9.8384363471888783</v>
      </c>
      <c r="M3941" s="1" t="s">
        <v>38</v>
      </c>
      <c r="N3941" s="11">
        <f t="shared" si="61"/>
        <v>5</v>
      </c>
    </row>
    <row r="3942" spans="1:14" ht="16" x14ac:dyDescent="0.2">
      <c r="A3942" s="3">
        <v>44730</v>
      </c>
      <c r="B3942" s="1" t="s">
        <v>4016</v>
      </c>
      <c r="C3942" t="s">
        <v>139</v>
      </c>
      <c r="D3942">
        <v>20</v>
      </c>
      <c r="E3942">
        <v>320</v>
      </c>
      <c r="F3942">
        <v>80</v>
      </c>
      <c r="G3942">
        <v>6400</v>
      </c>
      <c r="H3942" s="4">
        <v>1600</v>
      </c>
      <c r="I3942" s="4">
        <v>4800</v>
      </c>
      <c r="J3942" t="s">
        <v>633</v>
      </c>
      <c r="K3942" t="s">
        <v>86</v>
      </c>
      <c r="L3942" s="4">
        <v>12.954911944548844</v>
      </c>
      <c r="M3942" s="1" t="s">
        <v>34</v>
      </c>
      <c r="N3942" s="11">
        <f t="shared" si="61"/>
        <v>1</v>
      </c>
    </row>
    <row r="3943" spans="1:14" ht="16" x14ac:dyDescent="0.2">
      <c r="A3943" s="3">
        <v>44731</v>
      </c>
      <c r="B3943" s="1" t="s">
        <v>4017</v>
      </c>
      <c r="C3943" t="s">
        <v>212</v>
      </c>
      <c r="D3943">
        <v>2</v>
      </c>
      <c r="E3943">
        <v>300</v>
      </c>
      <c r="F3943">
        <v>75</v>
      </c>
      <c r="G3943">
        <v>600</v>
      </c>
      <c r="H3943" s="4">
        <v>150</v>
      </c>
      <c r="I3943" s="4">
        <v>450</v>
      </c>
      <c r="J3943" t="s">
        <v>485</v>
      </c>
      <c r="K3943" t="s">
        <v>49</v>
      </c>
      <c r="L3943" s="4">
        <v>12.889576147248359</v>
      </c>
      <c r="M3943" s="1" t="s">
        <v>54</v>
      </c>
      <c r="N3943" s="11">
        <f t="shared" si="61"/>
        <v>10</v>
      </c>
    </row>
    <row r="3944" spans="1:14" ht="16" x14ac:dyDescent="0.2">
      <c r="A3944" s="3">
        <v>44732</v>
      </c>
      <c r="B3944" s="1" t="s">
        <v>4018</v>
      </c>
      <c r="C3944" t="s">
        <v>425</v>
      </c>
      <c r="D3944">
        <v>3</v>
      </c>
      <c r="E3944">
        <v>352</v>
      </c>
      <c r="F3944">
        <v>88</v>
      </c>
      <c r="G3944">
        <v>1056</v>
      </c>
      <c r="H3944" s="4">
        <v>264</v>
      </c>
      <c r="I3944" s="4">
        <v>792</v>
      </c>
      <c r="J3944" t="s">
        <v>329</v>
      </c>
      <c r="K3944" t="s">
        <v>33</v>
      </c>
      <c r="L3944" s="4">
        <v>12.545140403858928</v>
      </c>
      <c r="M3944" s="1" t="s">
        <v>34</v>
      </c>
      <c r="N3944" s="11">
        <f t="shared" si="61"/>
        <v>1</v>
      </c>
    </row>
    <row r="3945" spans="1:14" ht="16" x14ac:dyDescent="0.2">
      <c r="A3945" s="3">
        <v>44733</v>
      </c>
      <c r="B3945" s="1" t="s">
        <v>2882</v>
      </c>
      <c r="C3945" t="s">
        <v>544</v>
      </c>
      <c r="D3945">
        <v>17</v>
      </c>
      <c r="E3945">
        <v>267</v>
      </c>
      <c r="F3945">
        <v>89</v>
      </c>
      <c r="G3945">
        <v>4539</v>
      </c>
      <c r="H3945" s="4">
        <v>1513</v>
      </c>
      <c r="I3945" s="4">
        <v>3026</v>
      </c>
      <c r="J3945" t="s">
        <v>244</v>
      </c>
      <c r="K3945" t="s">
        <v>86</v>
      </c>
      <c r="L3945" s="4">
        <v>15.458859683514467</v>
      </c>
      <c r="M3945" s="1" t="s">
        <v>54</v>
      </c>
      <c r="N3945" s="11">
        <f t="shared" si="61"/>
        <v>10</v>
      </c>
    </row>
    <row r="3946" spans="1:14" ht="16" x14ac:dyDescent="0.2">
      <c r="A3946" s="3">
        <v>44734</v>
      </c>
      <c r="B3946" s="1" t="s">
        <v>4019</v>
      </c>
      <c r="C3946" t="s">
        <v>212</v>
      </c>
      <c r="D3946">
        <v>19</v>
      </c>
      <c r="E3946">
        <v>300</v>
      </c>
      <c r="F3946">
        <v>75</v>
      </c>
      <c r="G3946">
        <v>5700</v>
      </c>
      <c r="H3946" s="4">
        <v>1425</v>
      </c>
      <c r="I3946" s="4">
        <v>4275</v>
      </c>
      <c r="J3946" t="s">
        <v>96</v>
      </c>
      <c r="K3946" t="s">
        <v>64</v>
      </c>
      <c r="L3946" s="4">
        <v>12.072414596936037</v>
      </c>
      <c r="M3946" s="1" t="s">
        <v>54</v>
      </c>
      <c r="N3946" s="11">
        <f t="shared" si="61"/>
        <v>10</v>
      </c>
    </row>
    <row r="3947" spans="1:14" ht="16" x14ac:dyDescent="0.2">
      <c r="A3947" s="3">
        <v>44735</v>
      </c>
      <c r="B3947" s="1" t="s">
        <v>4020</v>
      </c>
      <c r="C3947" t="s">
        <v>154</v>
      </c>
      <c r="D3947">
        <v>15</v>
      </c>
      <c r="E3947">
        <v>308</v>
      </c>
      <c r="F3947">
        <v>77</v>
      </c>
      <c r="G3947">
        <v>4620</v>
      </c>
      <c r="H3947" s="4">
        <v>1155</v>
      </c>
      <c r="I3947" s="4">
        <v>3465</v>
      </c>
      <c r="J3947" t="s">
        <v>453</v>
      </c>
      <c r="K3947" t="s">
        <v>42</v>
      </c>
      <c r="L3947" s="4">
        <v>13.104576594826185</v>
      </c>
      <c r="M3947" s="1" t="s">
        <v>38</v>
      </c>
      <c r="N3947" s="11">
        <f t="shared" si="61"/>
        <v>5</v>
      </c>
    </row>
    <row r="3948" spans="1:14" ht="16" x14ac:dyDescent="0.2">
      <c r="A3948" s="3">
        <v>44736</v>
      </c>
      <c r="B3948" s="1" t="s">
        <v>4021</v>
      </c>
      <c r="C3948" t="s">
        <v>139</v>
      </c>
      <c r="D3948">
        <v>17</v>
      </c>
      <c r="E3948">
        <v>320</v>
      </c>
      <c r="F3948">
        <v>80</v>
      </c>
      <c r="G3948">
        <v>5440</v>
      </c>
      <c r="H3948" s="4">
        <v>1360</v>
      </c>
      <c r="I3948" s="4">
        <v>4080</v>
      </c>
      <c r="J3948" t="s">
        <v>752</v>
      </c>
      <c r="K3948" t="s">
        <v>49</v>
      </c>
      <c r="L3948" s="4">
        <v>11.862005526237752</v>
      </c>
      <c r="M3948" s="1" t="s">
        <v>54</v>
      </c>
      <c r="N3948" s="11">
        <f t="shared" si="61"/>
        <v>10</v>
      </c>
    </row>
    <row r="3949" spans="1:14" ht="16" x14ac:dyDescent="0.2">
      <c r="A3949" s="3">
        <v>44737</v>
      </c>
      <c r="B3949" s="1" t="s">
        <v>4022</v>
      </c>
      <c r="C3949" t="s">
        <v>410</v>
      </c>
      <c r="D3949">
        <v>14</v>
      </c>
      <c r="E3949">
        <v>84</v>
      </c>
      <c r="F3949">
        <v>21</v>
      </c>
      <c r="G3949">
        <v>1176</v>
      </c>
      <c r="H3949" s="4">
        <v>294</v>
      </c>
      <c r="I3949" s="4">
        <v>882</v>
      </c>
      <c r="J3949" t="s">
        <v>616</v>
      </c>
      <c r="K3949" t="s">
        <v>49</v>
      </c>
      <c r="L3949" s="4">
        <v>13.466362789017223</v>
      </c>
      <c r="M3949" s="1" t="s">
        <v>38</v>
      </c>
      <c r="N3949" s="11">
        <f t="shared" si="61"/>
        <v>5</v>
      </c>
    </row>
    <row r="3950" spans="1:14" ht="16" x14ac:dyDescent="0.2">
      <c r="A3950" s="3">
        <v>44738</v>
      </c>
      <c r="B3950" s="1" t="s">
        <v>4023</v>
      </c>
      <c r="C3950" t="s">
        <v>410</v>
      </c>
      <c r="D3950">
        <v>7</v>
      </c>
      <c r="E3950">
        <v>84</v>
      </c>
      <c r="F3950">
        <v>21</v>
      </c>
      <c r="G3950">
        <v>588</v>
      </c>
      <c r="H3950" s="4">
        <v>147</v>
      </c>
      <c r="I3950" s="4">
        <v>441</v>
      </c>
      <c r="J3950" t="s">
        <v>633</v>
      </c>
      <c r="K3950" t="s">
        <v>86</v>
      </c>
      <c r="L3950" s="4">
        <v>12.954911944548844</v>
      </c>
      <c r="M3950" s="1" t="s">
        <v>54</v>
      </c>
      <c r="N3950" s="11">
        <f t="shared" si="61"/>
        <v>10</v>
      </c>
    </row>
    <row r="3951" spans="1:14" ht="16" x14ac:dyDescent="0.2">
      <c r="A3951" s="3">
        <v>44739</v>
      </c>
      <c r="B3951" s="1" t="s">
        <v>4024</v>
      </c>
      <c r="C3951" t="s">
        <v>185</v>
      </c>
      <c r="D3951">
        <v>4</v>
      </c>
      <c r="E3951">
        <v>146</v>
      </c>
      <c r="F3951">
        <v>73</v>
      </c>
      <c r="G3951">
        <v>584</v>
      </c>
      <c r="H3951" s="4">
        <v>292</v>
      </c>
      <c r="I3951" s="4">
        <v>292</v>
      </c>
      <c r="J3951" t="s">
        <v>650</v>
      </c>
      <c r="K3951" t="s">
        <v>86</v>
      </c>
      <c r="L3951" s="4">
        <v>12.679725647708608</v>
      </c>
      <c r="M3951" s="1" t="s">
        <v>34</v>
      </c>
      <c r="N3951" s="11">
        <f t="shared" si="61"/>
        <v>1</v>
      </c>
    </row>
    <row r="3952" spans="1:14" ht="16" x14ac:dyDescent="0.2">
      <c r="A3952" s="3">
        <v>44740</v>
      </c>
      <c r="B3952" s="1" t="s">
        <v>4025</v>
      </c>
      <c r="C3952" t="s">
        <v>36</v>
      </c>
      <c r="D3952">
        <v>10</v>
      </c>
      <c r="E3952">
        <v>102</v>
      </c>
      <c r="F3952">
        <v>51</v>
      </c>
      <c r="G3952">
        <v>1020</v>
      </c>
      <c r="H3952" s="4">
        <v>510</v>
      </c>
      <c r="I3952" s="4">
        <v>510</v>
      </c>
      <c r="J3952" t="s">
        <v>633</v>
      </c>
      <c r="K3952" t="s">
        <v>86</v>
      </c>
      <c r="L3952" s="4">
        <v>12.954911944548844</v>
      </c>
      <c r="M3952" s="1" t="s">
        <v>54</v>
      </c>
      <c r="N3952" s="11">
        <f t="shared" si="61"/>
        <v>10</v>
      </c>
    </row>
    <row r="3953" spans="1:14" ht="16" x14ac:dyDescent="0.2">
      <c r="A3953" s="3">
        <v>44741</v>
      </c>
      <c r="B3953" s="1" t="s">
        <v>4026</v>
      </c>
      <c r="C3953" t="s">
        <v>148</v>
      </c>
      <c r="D3953">
        <v>15</v>
      </c>
      <c r="E3953">
        <v>144</v>
      </c>
      <c r="F3953">
        <v>36</v>
      </c>
      <c r="G3953">
        <v>2160</v>
      </c>
      <c r="H3953" s="4">
        <v>540</v>
      </c>
      <c r="I3953" s="4">
        <v>1620</v>
      </c>
      <c r="J3953" t="s">
        <v>363</v>
      </c>
      <c r="K3953" t="s">
        <v>64</v>
      </c>
      <c r="L3953" s="4">
        <v>14.690198582365463</v>
      </c>
      <c r="M3953" s="1" t="s">
        <v>54</v>
      </c>
      <c r="N3953" s="11">
        <f t="shared" si="61"/>
        <v>10</v>
      </c>
    </row>
    <row r="3954" spans="1:14" ht="16" x14ac:dyDescent="0.2">
      <c r="A3954" s="3">
        <v>44742</v>
      </c>
      <c r="B3954" s="1" t="s">
        <v>4027</v>
      </c>
      <c r="C3954" t="s">
        <v>163</v>
      </c>
      <c r="D3954">
        <v>17</v>
      </c>
      <c r="E3954">
        <v>108</v>
      </c>
      <c r="F3954">
        <v>36</v>
      </c>
      <c r="G3954">
        <v>1836</v>
      </c>
      <c r="H3954" s="4">
        <v>612</v>
      </c>
      <c r="I3954" s="4">
        <v>1224</v>
      </c>
      <c r="J3954" t="s">
        <v>633</v>
      </c>
      <c r="K3954" t="s">
        <v>86</v>
      </c>
      <c r="L3954" s="4">
        <v>12.954911944548844</v>
      </c>
      <c r="M3954" s="1" t="s">
        <v>38</v>
      </c>
      <c r="N3954" s="11">
        <f t="shared" si="61"/>
        <v>5</v>
      </c>
    </row>
    <row r="3955" spans="1:14" ht="16" x14ac:dyDescent="0.2">
      <c r="A3955" s="3">
        <v>44743</v>
      </c>
      <c r="B3955" s="1" t="s">
        <v>4028</v>
      </c>
      <c r="C3955" t="s">
        <v>328</v>
      </c>
      <c r="D3955">
        <v>8</v>
      </c>
      <c r="E3955">
        <v>124</v>
      </c>
      <c r="F3955">
        <v>62</v>
      </c>
      <c r="G3955">
        <v>992</v>
      </c>
      <c r="H3955" s="4">
        <v>496</v>
      </c>
      <c r="I3955" s="4">
        <v>496</v>
      </c>
      <c r="J3955" t="s">
        <v>825</v>
      </c>
      <c r="K3955" t="s">
        <v>42</v>
      </c>
      <c r="L3955" s="4">
        <v>14.060995290679429</v>
      </c>
      <c r="M3955" s="1" t="s">
        <v>54</v>
      </c>
      <c r="N3955" s="11">
        <f t="shared" si="61"/>
        <v>10</v>
      </c>
    </row>
    <row r="3956" spans="1:14" ht="16" x14ac:dyDescent="0.2">
      <c r="A3956" s="3">
        <v>44744</v>
      </c>
      <c r="B3956" s="1" t="s">
        <v>4029</v>
      </c>
      <c r="C3956" t="s">
        <v>544</v>
      </c>
      <c r="D3956">
        <v>11</v>
      </c>
      <c r="E3956">
        <v>267</v>
      </c>
      <c r="F3956">
        <v>89</v>
      </c>
      <c r="G3956">
        <v>2937</v>
      </c>
      <c r="H3956" s="4">
        <v>979</v>
      </c>
      <c r="I3956" s="4">
        <v>1958</v>
      </c>
      <c r="J3956" t="s">
        <v>640</v>
      </c>
      <c r="K3956" t="s">
        <v>53</v>
      </c>
      <c r="L3956" s="4">
        <v>8.7741864171993527</v>
      </c>
      <c r="M3956" s="1" t="s">
        <v>34</v>
      </c>
      <c r="N3956" s="11">
        <f t="shared" si="61"/>
        <v>1</v>
      </c>
    </row>
    <row r="3957" spans="1:14" ht="16" x14ac:dyDescent="0.2">
      <c r="A3957" s="3">
        <v>44745</v>
      </c>
      <c r="B3957" s="1" t="s">
        <v>4030</v>
      </c>
      <c r="C3957" t="s">
        <v>523</v>
      </c>
      <c r="D3957">
        <v>7</v>
      </c>
      <c r="E3957">
        <v>92</v>
      </c>
      <c r="F3957">
        <v>46</v>
      </c>
      <c r="G3957">
        <v>644</v>
      </c>
      <c r="H3957" s="4">
        <v>322</v>
      </c>
      <c r="I3957" s="4">
        <v>322</v>
      </c>
      <c r="J3957" t="s">
        <v>281</v>
      </c>
      <c r="K3957" t="s">
        <v>33</v>
      </c>
      <c r="L3957" s="4">
        <v>11.428575823958646</v>
      </c>
      <c r="M3957" s="1" t="s">
        <v>34</v>
      </c>
      <c r="N3957" s="11">
        <f t="shared" si="61"/>
        <v>1</v>
      </c>
    </row>
    <row r="3958" spans="1:14" ht="16" x14ac:dyDescent="0.2">
      <c r="A3958" s="3">
        <v>44746</v>
      </c>
      <c r="B3958" s="1" t="s">
        <v>4031</v>
      </c>
      <c r="C3958" t="s">
        <v>110</v>
      </c>
      <c r="D3958">
        <v>2</v>
      </c>
      <c r="E3958">
        <v>144</v>
      </c>
      <c r="F3958">
        <v>36</v>
      </c>
      <c r="G3958">
        <v>288</v>
      </c>
      <c r="H3958" s="4">
        <v>72</v>
      </c>
      <c r="I3958" s="4">
        <v>216</v>
      </c>
      <c r="J3958" t="s">
        <v>102</v>
      </c>
      <c r="K3958" t="s">
        <v>49</v>
      </c>
      <c r="L3958" s="4">
        <v>15.12637675023732</v>
      </c>
      <c r="M3958" s="1" t="s">
        <v>34</v>
      </c>
      <c r="N3958" s="11">
        <f t="shared" si="61"/>
        <v>1</v>
      </c>
    </row>
    <row r="3959" spans="1:14" ht="16" x14ac:dyDescent="0.2">
      <c r="A3959" s="3">
        <v>44747</v>
      </c>
      <c r="B3959" s="1" t="s">
        <v>4032</v>
      </c>
      <c r="C3959" t="s">
        <v>304</v>
      </c>
      <c r="D3959">
        <v>18</v>
      </c>
      <c r="E3959">
        <v>116</v>
      </c>
      <c r="F3959">
        <v>29</v>
      </c>
      <c r="G3959">
        <v>2088</v>
      </c>
      <c r="H3959" s="4">
        <v>522</v>
      </c>
      <c r="I3959" s="4">
        <v>1566</v>
      </c>
      <c r="J3959" t="s">
        <v>1702</v>
      </c>
      <c r="K3959" t="s">
        <v>42</v>
      </c>
      <c r="L3959" s="4">
        <v>11.375127981841125</v>
      </c>
      <c r="M3959" s="1" t="s">
        <v>54</v>
      </c>
      <c r="N3959" s="11">
        <f t="shared" si="61"/>
        <v>10</v>
      </c>
    </row>
    <row r="3960" spans="1:14" ht="16" x14ac:dyDescent="0.2">
      <c r="A3960" s="3">
        <v>44748</v>
      </c>
      <c r="B3960" s="1" t="s">
        <v>4033</v>
      </c>
      <c r="C3960" t="s">
        <v>69</v>
      </c>
      <c r="D3960">
        <v>15</v>
      </c>
      <c r="E3960">
        <v>184</v>
      </c>
      <c r="F3960">
        <v>92</v>
      </c>
      <c r="G3960">
        <v>2760</v>
      </c>
      <c r="H3960" s="4">
        <v>1380</v>
      </c>
      <c r="I3960" s="4">
        <v>1380</v>
      </c>
      <c r="J3960" t="s">
        <v>576</v>
      </c>
      <c r="K3960" t="s">
        <v>33</v>
      </c>
      <c r="L3960" s="4">
        <v>11.769937929618399</v>
      </c>
      <c r="M3960" s="1" t="s">
        <v>38</v>
      </c>
      <c r="N3960" s="11">
        <f t="shared" si="61"/>
        <v>5</v>
      </c>
    </row>
    <row r="3961" spans="1:14" ht="16" x14ac:dyDescent="0.2">
      <c r="A3961" s="3">
        <v>44749</v>
      </c>
      <c r="B3961" s="1" t="s">
        <v>4034</v>
      </c>
      <c r="C3961" t="s">
        <v>252</v>
      </c>
      <c r="D3961">
        <v>9</v>
      </c>
      <c r="E3961">
        <v>252</v>
      </c>
      <c r="F3961">
        <v>63</v>
      </c>
      <c r="G3961">
        <v>2268</v>
      </c>
      <c r="H3961" s="4">
        <v>567</v>
      </c>
      <c r="I3961" s="4">
        <v>1701</v>
      </c>
      <c r="J3961" t="s">
        <v>234</v>
      </c>
      <c r="K3961" t="s">
        <v>64</v>
      </c>
      <c r="L3961" s="4">
        <v>12.200533931675887</v>
      </c>
      <c r="M3961" s="1" t="s">
        <v>38</v>
      </c>
      <c r="N3961" s="11">
        <f t="shared" si="61"/>
        <v>5</v>
      </c>
    </row>
    <row r="3962" spans="1:14" ht="16" x14ac:dyDescent="0.2">
      <c r="A3962" s="3">
        <v>44750</v>
      </c>
      <c r="B3962" s="1" t="s">
        <v>4035</v>
      </c>
      <c r="C3962" t="s">
        <v>583</v>
      </c>
      <c r="D3962">
        <v>18</v>
      </c>
      <c r="E3962">
        <v>57</v>
      </c>
      <c r="F3962">
        <v>19</v>
      </c>
      <c r="G3962">
        <v>1026</v>
      </c>
      <c r="H3962" s="4">
        <v>342</v>
      </c>
      <c r="I3962" s="4">
        <v>684</v>
      </c>
      <c r="J3962" t="s">
        <v>686</v>
      </c>
      <c r="K3962" t="s">
        <v>86</v>
      </c>
      <c r="L3962" s="4">
        <v>8.1595626482464514</v>
      </c>
      <c r="M3962" s="1" t="s">
        <v>38</v>
      </c>
      <c r="N3962" s="11">
        <f t="shared" si="61"/>
        <v>5</v>
      </c>
    </row>
    <row r="3963" spans="1:14" ht="16" x14ac:dyDescent="0.2">
      <c r="A3963" s="3">
        <v>44751</v>
      </c>
      <c r="B3963" s="1" t="s">
        <v>4036</v>
      </c>
      <c r="C3963" t="s">
        <v>154</v>
      </c>
      <c r="D3963">
        <v>20</v>
      </c>
      <c r="E3963">
        <v>308</v>
      </c>
      <c r="F3963">
        <v>77</v>
      </c>
      <c r="G3963">
        <v>6160</v>
      </c>
      <c r="H3963" s="4">
        <v>1540</v>
      </c>
      <c r="I3963" s="4">
        <v>4620</v>
      </c>
      <c r="J3963" t="s">
        <v>126</v>
      </c>
      <c r="K3963" t="s">
        <v>64</v>
      </c>
      <c r="L3963" s="4">
        <v>11.006397834696006</v>
      </c>
      <c r="M3963" s="1" t="s">
        <v>38</v>
      </c>
      <c r="N3963" s="11">
        <f t="shared" si="61"/>
        <v>5</v>
      </c>
    </row>
    <row r="3964" spans="1:14" ht="16" x14ac:dyDescent="0.2">
      <c r="A3964" s="3">
        <v>44752</v>
      </c>
      <c r="B3964" s="1" t="s">
        <v>4037</v>
      </c>
      <c r="C3964" t="s">
        <v>252</v>
      </c>
      <c r="D3964">
        <v>16</v>
      </c>
      <c r="E3964">
        <v>252</v>
      </c>
      <c r="F3964">
        <v>63</v>
      </c>
      <c r="G3964">
        <v>4032</v>
      </c>
      <c r="H3964" s="4">
        <v>1008</v>
      </c>
      <c r="I3964" s="4">
        <v>3024</v>
      </c>
      <c r="J3964" t="s">
        <v>1432</v>
      </c>
      <c r="K3964" t="s">
        <v>53</v>
      </c>
      <c r="L3964" s="4">
        <v>13.2671922973198</v>
      </c>
      <c r="M3964" s="1" t="s">
        <v>54</v>
      </c>
      <c r="N3964" s="11">
        <f t="shared" si="61"/>
        <v>10</v>
      </c>
    </row>
    <row r="3965" spans="1:14" ht="16" x14ac:dyDescent="0.2">
      <c r="A3965" s="3">
        <v>44753</v>
      </c>
      <c r="B3965" s="1" t="s">
        <v>1498</v>
      </c>
      <c r="C3965" t="s">
        <v>142</v>
      </c>
      <c r="D3965">
        <v>13</v>
      </c>
      <c r="E3965">
        <v>210</v>
      </c>
      <c r="F3965">
        <v>70</v>
      </c>
      <c r="G3965">
        <v>2730</v>
      </c>
      <c r="H3965" s="4">
        <v>910</v>
      </c>
      <c r="I3965" s="4">
        <v>1820</v>
      </c>
      <c r="J3965" t="s">
        <v>96</v>
      </c>
      <c r="K3965" t="s">
        <v>64</v>
      </c>
      <c r="L3965" s="4">
        <v>12.072414596936037</v>
      </c>
      <c r="M3965" s="1" t="s">
        <v>38</v>
      </c>
      <c r="N3965" s="11">
        <f t="shared" si="61"/>
        <v>5</v>
      </c>
    </row>
    <row r="3966" spans="1:14" ht="16" x14ac:dyDescent="0.2">
      <c r="A3966" s="3">
        <v>44754</v>
      </c>
      <c r="B3966" s="1" t="s">
        <v>4038</v>
      </c>
      <c r="C3966" t="s">
        <v>101</v>
      </c>
      <c r="D3966">
        <v>8</v>
      </c>
      <c r="E3966">
        <v>50</v>
      </c>
      <c r="F3966">
        <v>25</v>
      </c>
      <c r="G3966">
        <v>400</v>
      </c>
      <c r="H3966" s="4">
        <v>200</v>
      </c>
      <c r="I3966" s="4">
        <v>200</v>
      </c>
      <c r="J3966" t="s">
        <v>851</v>
      </c>
      <c r="K3966" t="s">
        <v>49</v>
      </c>
      <c r="L3966" s="4">
        <v>9.5176115401380308</v>
      </c>
      <c r="M3966" s="1" t="s">
        <v>38</v>
      </c>
      <c r="N3966" s="11">
        <f t="shared" si="61"/>
        <v>5</v>
      </c>
    </row>
    <row r="3967" spans="1:14" ht="16" x14ac:dyDescent="0.2">
      <c r="A3967" s="3">
        <v>44755</v>
      </c>
      <c r="B3967" s="1" t="s">
        <v>4039</v>
      </c>
      <c r="C3967" t="s">
        <v>248</v>
      </c>
      <c r="D3967">
        <v>16</v>
      </c>
      <c r="E3967">
        <v>132</v>
      </c>
      <c r="F3967">
        <v>44</v>
      </c>
      <c r="G3967">
        <v>2112</v>
      </c>
      <c r="H3967" s="4">
        <v>704</v>
      </c>
      <c r="I3967" s="4">
        <v>1408</v>
      </c>
      <c r="J3967" t="s">
        <v>1358</v>
      </c>
      <c r="K3967" t="s">
        <v>86</v>
      </c>
      <c r="L3967" s="4">
        <v>13.811876869930865</v>
      </c>
      <c r="M3967" s="1" t="s">
        <v>34</v>
      </c>
      <c r="N3967" s="11">
        <f t="shared" si="61"/>
        <v>1</v>
      </c>
    </row>
    <row r="3968" spans="1:14" ht="16" x14ac:dyDescent="0.2">
      <c r="A3968" s="3">
        <v>44756</v>
      </c>
      <c r="B3968" s="1" t="s">
        <v>4040</v>
      </c>
      <c r="C3968" t="s">
        <v>139</v>
      </c>
      <c r="D3968">
        <v>13</v>
      </c>
      <c r="E3968">
        <v>320</v>
      </c>
      <c r="F3968">
        <v>80</v>
      </c>
      <c r="G3968">
        <v>4160</v>
      </c>
      <c r="H3968" s="4">
        <v>1040</v>
      </c>
      <c r="I3968" s="4">
        <v>3120</v>
      </c>
      <c r="J3968" t="s">
        <v>359</v>
      </c>
      <c r="K3968" t="s">
        <v>64</v>
      </c>
      <c r="L3968" s="4">
        <v>11.970975110943924</v>
      </c>
      <c r="M3968" s="1" t="s">
        <v>38</v>
      </c>
      <c r="N3968" s="11">
        <f t="shared" si="61"/>
        <v>5</v>
      </c>
    </row>
    <row r="3969" spans="1:14" ht="16" x14ac:dyDescent="0.2">
      <c r="A3969" s="3">
        <v>44757</v>
      </c>
      <c r="B3969" s="1" t="s">
        <v>4041</v>
      </c>
      <c r="C3969" t="s">
        <v>175</v>
      </c>
      <c r="D3969">
        <v>20</v>
      </c>
      <c r="E3969">
        <v>38</v>
      </c>
      <c r="F3969">
        <v>19</v>
      </c>
      <c r="G3969">
        <v>760</v>
      </c>
      <c r="H3969" s="4">
        <v>380</v>
      </c>
      <c r="I3969" s="4">
        <v>380</v>
      </c>
      <c r="J3969" t="s">
        <v>555</v>
      </c>
      <c r="K3969" t="s">
        <v>53</v>
      </c>
      <c r="L3969" s="4">
        <v>14.341195386574373</v>
      </c>
      <c r="M3969" s="1" t="s">
        <v>38</v>
      </c>
      <c r="N3969" s="11">
        <f t="shared" si="61"/>
        <v>5</v>
      </c>
    </row>
    <row r="3970" spans="1:14" ht="16" x14ac:dyDescent="0.2">
      <c r="A3970" s="3">
        <v>44758</v>
      </c>
      <c r="B3970" s="1" t="s">
        <v>2368</v>
      </c>
      <c r="C3970" t="s">
        <v>178</v>
      </c>
      <c r="D3970">
        <v>4</v>
      </c>
      <c r="E3970">
        <v>189</v>
      </c>
      <c r="F3970">
        <v>63</v>
      </c>
      <c r="G3970">
        <v>756</v>
      </c>
      <c r="H3970" s="4">
        <v>252</v>
      </c>
      <c r="I3970" s="4">
        <v>504</v>
      </c>
      <c r="J3970" t="s">
        <v>1085</v>
      </c>
      <c r="K3970" t="s">
        <v>49</v>
      </c>
      <c r="L3970" s="4">
        <v>10.818241047231139</v>
      </c>
      <c r="M3970" s="1" t="s">
        <v>38</v>
      </c>
      <c r="N3970" s="11">
        <f t="shared" si="61"/>
        <v>5</v>
      </c>
    </row>
    <row r="3971" spans="1:14" ht="16" x14ac:dyDescent="0.2">
      <c r="A3971" s="3">
        <v>44759</v>
      </c>
      <c r="B3971" s="1" t="s">
        <v>3911</v>
      </c>
      <c r="C3971" t="s">
        <v>115</v>
      </c>
      <c r="D3971">
        <v>14</v>
      </c>
      <c r="E3971">
        <v>81</v>
      </c>
      <c r="F3971">
        <v>27</v>
      </c>
      <c r="G3971">
        <v>1134</v>
      </c>
      <c r="H3971" s="4">
        <v>378</v>
      </c>
      <c r="I3971" s="4">
        <v>756</v>
      </c>
      <c r="J3971" t="s">
        <v>745</v>
      </c>
      <c r="K3971" t="s">
        <v>33</v>
      </c>
      <c r="L3971" s="4">
        <v>9.1057685343725456</v>
      </c>
      <c r="M3971" s="1" t="s">
        <v>38</v>
      </c>
      <c r="N3971" s="11">
        <f t="shared" ref="N3971:N4002" si="62">+IF(M3971="Dissatisfied",1,IF(M3971="Satisfied",10,5))</f>
        <v>5</v>
      </c>
    </row>
    <row r="3972" spans="1:14" ht="16" x14ac:dyDescent="0.2">
      <c r="A3972" s="3">
        <v>44760</v>
      </c>
      <c r="B3972" s="1" t="s">
        <v>4042</v>
      </c>
      <c r="C3972" t="s">
        <v>583</v>
      </c>
      <c r="D3972">
        <v>1</v>
      </c>
      <c r="E3972">
        <v>57</v>
      </c>
      <c r="F3972">
        <v>19</v>
      </c>
      <c r="G3972">
        <v>57</v>
      </c>
      <c r="H3972" s="4">
        <v>19</v>
      </c>
      <c r="I3972" s="4">
        <v>38</v>
      </c>
      <c r="J3972" t="s">
        <v>111</v>
      </c>
      <c r="K3972" t="s">
        <v>53</v>
      </c>
      <c r="L3972" s="4">
        <v>13.407340878370247</v>
      </c>
      <c r="M3972" s="1" t="s">
        <v>38</v>
      </c>
      <c r="N3972" s="11">
        <f t="shared" si="62"/>
        <v>5</v>
      </c>
    </row>
    <row r="3973" spans="1:14" ht="16" x14ac:dyDescent="0.2">
      <c r="A3973" s="3">
        <v>44761</v>
      </c>
      <c r="B3973" s="1" t="s">
        <v>4043</v>
      </c>
      <c r="C3973" t="s">
        <v>410</v>
      </c>
      <c r="D3973">
        <v>7</v>
      </c>
      <c r="E3973">
        <v>84</v>
      </c>
      <c r="F3973">
        <v>21</v>
      </c>
      <c r="G3973">
        <v>588</v>
      </c>
      <c r="H3973" s="4">
        <v>147</v>
      </c>
      <c r="I3973" s="4">
        <v>441</v>
      </c>
      <c r="J3973" t="s">
        <v>102</v>
      </c>
      <c r="K3973" t="s">
        <v>49</v>
      </c>
      <c r="L3973" s="4">
        <v>15.12637675023732</v>
      </c>
      <c r="M3973" s="1" t="s">
        <v>38</v>
      </c>
      <c r="N3973" s="11">
        <f t="shared" si="62"/>
        <v>5</v>
      </c>
    </row>
    <row r="3974" spans="1:14" ht="16" x14ac:dyDescent="0.2">
      <c r="A3974" s="3">
        <v>44762</v>
      </c>
      <c r="B3974" s="1" t="s">
        <v>4044</v>
      </c>
      <c r="C3974" t="s">
        <v>399</v>
      </c>
      <c r="D3974">
        <v>1</v>
      </c>
      <c r="E3974">
        <v>160</v>
      </c>
      <c r="F3974">
        <v>80</v>
      </c>
      <c r="G3974">
        <v>160</v>
      </c>
      <c r="H3974" s="4">
        <v>80</v>
      </c>
      <c r="I3974" s="4">
        <v>80</v>
      </c>
      <c r="J3974" t="s">
        <v>653</v>
      </c>
      <c r="K3974" t="s">
        <v>86</v>
      </c>
      <c r="L3974" s="4">
        <v>12.869841591513939</v>
      </c>
      <c r="M3974" s="1" t="s">
        <v>38</v>
      </c>
      <c r="N3974" s="11">
        <f t="shared" si="62"/>
        <v>5</v>
      </c>
    </row>
    <row r="3975" spans="1:14" ht="16" x14ac:dyDescent="0.2">
      <c r="A3975" s="3">
        <v>44763</v>
      </c>
      <c r="B3975" s="1" t="s">
        <v>4045</v>
      </c>
      <c r="C3975" t="s">
        <v>259</v>
      </c>
      <c r="D3975">
        <v>11</v>
      </c>
      <c r="E3975">
        <v>270</v>
      </c>
      <c r="F3975">
        <v>90</v>
      </c>
      <c r="G3975">
        <v>2970</v>
      </c>
      <c r="H3975" s="4">
        <v>990</v>
      </c>
      <c r="I3975" s="4">
        <v>1980</v>
      </c>
      <c r="J3975" t="s">
        <v>806</v>
      </c>
      <c r="K3975" t="s">
        <v>86</v>
      </c>
      <c r="L3975" s="4">
        <v>11.927799225928501</v>
      </c>
      <c r="M3975" s="1" t="s">
        <v>34</v>
      </c>
      <c r="N3975" s="11">
        <f t="shared" si="62"/>
        <v>1</v>
      </c>
    </row>
    <row r="3976" spans="1:14" ht="16" x14ac:dyDescent="0.2">
      <c r="A3976" s="3">
        <v>44764</v>
      </c>
      <c r="B3976" s="1" t="s">
        <v>4046</v>
      </c>
      <c r="C3976" t="s">
        <v>136</v>
      </c>
      <c r="D3976">
        <v>13</v>
      </c>
      <c r="E3976">
        <v>154</v>
      </c>
      <c r="F3976">
        <v>77</v>
      </c>
      <c r="G3976">
        <v>2002</v>
      </c>
      <c r="H3976" s="4">
        <v>1001</v>
      </c>
      <c r="I3976" s="4">
        <v>1001</v>
      </c>
      <c r="J3976" t="s">
        <v>545</v>
      </c>
      <c r="K3976" t="s">
        <v>53</v>
      </c>
      <c r="L3976" s="4">
        <v>10.112765954734209</v>
      </c>
      <c r="M3976" s="1" t="s">
        <v>54</v>
      </c>
      <c r="N3976" s="11">
        <f t="shared" si="62"/>
        <v>10</v>
      </c>
    </row>
    <row r="3977" spans="1:14" ht="16" x14ac:dyDescent="0.2">
      <c r="A3977" s="3">
        <v>44765</v>
      </c>
      <c r="B3977" s="1" t="s">
        <v>4047</v>
      </c>
      <c r="C3977" t="s">
        <v>47</v>
      </c>
      <c r="D3977">
        <v>13</v>
      </c>
      <c r="E3977">
        <v>231</v>
      </c>
      <c r="F3977">
        <v>77</v>
      </c>
      <c r="G3977">
        <v>3003</v>
      </c>
      <c r="H3977" s="4">
        <v>1001</v>
      </c>
      <c r="I3977" s="4">
        <v>2002</v>
      </c>
      <c r="J3977" t="s">
        <v>569</v>
      </c>
      <c r="K3977" t="s">
        <v>33</v>
      </c>
      <c r="L3977" s="4">
        <v>12.921682080641304</v>
      </c>
      <c r="M3977" s="1" t="s">
        <v>38</v>
      </c>
      <c r="N3977" s="11">
        <f t="shared" si="62"/>
        <v>5</v>
      </c>
    </row>
    <row r="3978" spans="1:14" ht="16" x14ac:dyDescent="0.2">
      <c r="A3978" s="3">
        <v>44766</v>
      </c>
      <c r="B3978" s="1" t="s">
        <v>4048</v>
      </c>
      <c r="C3978" t="s">
        <v>561</v>
      </c>
      <c r="D3978">
        <v>15</v>
      </c>
      <c r="E3978">
        <v>384</v>
      </c>
      <c r="F3978">
        <v>96</v>
      </c>
      <c r="G3978">
        <v>5760</v>
      </c>
      <c r="H3978" s="4">
        <v>1440</v>
      </c>
      <c r="I3978" s="4">
        <v>4320</v>
      </c>
      <c r="J3978" t="s">
        <v>106</v>
      </c>
      <c r="K3978" t="s">
        <v>42</v>
      </c>
      <c r="L3978" s="4">
        <v>13.717776078041958</v>
      </c>
      <c r="M3978" s="1" t="s">
        <v>38</v>
      </c>
      <c r="N3978" s="11">
        <f t="shared" si="62"/>
        <v>5</v>
      </c>
    </row>
    <row r="3979" spans="1:14" ht="16" x14ac:dyDescent="0.2">
      <c r="A3979" s="3">
        <v>44767</v>
      </c>
      <c r="B3979" s="1" t="s">
        <v>4049</v>
      </c>
      <c r="C3979" t="s">
        <v>69</v>
      </c>
      <c r="D3979">
        <v>12</v>
      </c>
      <c r="E3979">
        <v>184</v>
      </c>
      <c r="F3979">
        <v>92</v>
      </c>
      <c r="G3979">
        <v>2208</v>
      </c>
      <c r="H3979" s="4">
        <v>1104</v>
      </c>
      <c r="I3979" s="4">
        <v>1104</v>
      </c>
      <c r="J3979" t="s">
        <v>1157</v>
      </c>
      <c r="K3979" t="s">
        <v>42</v>
      </c>
      <c r="L3979" s="4">
        <v>10.517826055804084</v>
      </c>
      <c r="M3979" s="1" t="s">
        <v>38</v>
      </c>
      <c r="N3979" s="11">
        <f t="shared" si="62"/>
        <v>5</v>
      </c>
    </row>
    <row r="3980" spans="1:14" ht="16" x14ac:dyDescent="0.2">
      <c r="A3980" s="3">
        <v>44768</v>
      </c>
      <c r="B3980" s="1" t="s">
        <v>4050</v>
      </c>
      <c r="C3980" t="s">
        <v>51</v>
      </c>
      <c r="D3980">
        <v>1</v>
      </c>
      <c r="E3980">
        <v>160</v>
      </c>
      <c r="F3980">
        <v>80</v>
      </c>
      <c r="G3980">
        <v>160</v>
      </c>
      <c r="H3980" s="4">
        <v>80</v>
      </c>
      <c r="I3980" s="4">
        <v>80</v>
      </c>
      <c r="J3980" t="s">
        <v>1279</v>
      </c>
      <c r="K3980" t="s">
        <v>33</v>
      </c>
      <c r="L3980" s="4">
        <v>6.221489120484736</v>
      </c>
      <c r="M3980" s="1" t="s">
        <v>38</v>
      </c>
      <c r="N3980" s="11">
        <f t="shared" si="62"/>
        <v>5</v>
      </c>
    </row>
    <row r="3981" spans="1:14" ht="16" x14ac:dyDescent="0.2">
      <c r="A3981" s="3">
        <v>44769</v>
      </c>
      <c r="B3981" s="1" t="s">
        <v>4051</v>
      </c>
      <c r="C3981" t="s">
        <v>157</v>
      </c>
      <c r="D3981">
        <v>5</v>
      </c>
      <c r="E3981">
        <v>50</v>
      </c>
      <c r="F3981">
        <v>25</v>
      </c>
      <c r="G3981">
        <v>250</v>
      </c>
      <c r="H3981" s="4">
        <v>125</v>
      </c>
      <c r="I3981" s="4">
        <v>125</v>
      </c>
      <c r="J3981" t="s">
        <v>210</v>
      </c>
      <c r="K3981" t="s">
        <v>58</v>
      </c>
      <c r="L3981" s="4">
        <v>11.995406972581796</v>
      </c>
      <c r="M3981" s="1" t="s">
        <v>54</v>
      </c>
      <c r="N3981" s="11">
        <f t="shared" si="62"/>
        <v>10</v>
      </c>
    </row>
    <row r="3982" spans="1:14" ht="16" x14ac:dyDescent="0.2">
      <c r="A3982" s="3">
        <v>44770</v>
      </c>
      <c r="B3982" s="1" t="s">
        <v>4052</v>
      </c>
      <c r="C3982" t="s">
        <v>259</v>
      </c>
      <c r="D3982">
        <v>16</v>
      </c>
      <c r="E3982">
        <v>270</v>
      </c>
      <c r="F3982">
        <v>90</v>
      </c>
      <c r="G3982">
        <v>4320</v>
      </c>
      <c r="H3982" s="4">
        <v>1440</v>
      </c>
      <c r="I3982" s="4">
        <v>2880</v>
      </c>
      <c r="J3982" t="s">
        <v>825</v>
      </c>
      <c r="K3982" t="s">
        <v>42</v>
      </c>
      <c r="L3982" s="4">
        <v>14.060995290679429</v>
      </c>
      <c r="M3982" s="1" t="s">
        <v>54</v>
      </c>
      <c r="N3982" s="11">
        <f t="shared" si="62"/>
        <v>10</v>
      </c>
    </row>
    <row r="3983" spans="1:14" ht="16" x14ac:dyDescent="0.2">
      <c r="A3983" s="3">
        <v>44771</v>
      </c>
      <c r="B3983" s="1" t="s">
        <v>4053</v>
      </c>
      <c r="C3983" t="s">
        <v>51</v>
      </c>
      <c r="D3983">
        <v>20</v>
      </c>
      <c r="E3983">
        <v>160</v>
      </c>
      <c r="F3983">
        <v>80</v>
      </c>
      <c r="G3983">
        <v>3200</v>
      </c>
      <c r="H3983" s="4">
        <v>1600</v>
      </c>
      <c r="I3983" s="4">
        <v>1600</v>
      </c>
      <c r="J3983" t="s">
        <v>1157</v>
      </c>
      <c r="K3983" t="s">
        <v>42</v>
      </c>
      <c r="L3983" s="4">
        <v>10.517826055804084</v>
      </c>
      <c r="M3983" s="1" t="s">
        <v>54</v>
      </c>
      <c r="N3983" s="11">
        <f t="shared" si="62"/>
        <v>10</v>
      </c>
    </row>
    <row r="3984" spans="1:14" ht="16" x14ac:dyDescent="0.2">
      <c r="A3984" s="3">
        <v>44772</v>
      </c>
      <c r="B3984" s="1" t="s">
        <v>4054</v>
      </c>
      <c r="C3984" t="s">
        <v>255</v>
      </c>
      <c r="D3984">
        <v>20</v>
      </c>
      <c r="E3984">
        <v>140</v>
      </c>
      <c r="F3984">
        <v>70</v>
      </c>
      <c r="G3984">
        <v>2800</v>
      </c>
      <c r="H3984" s="4">
        <v>1400</v>
      </c>
      <c r="I3984" s="4">
        <v>1400</v>
      </c>
      <c r="J3984" t="s">
        <v>158</v>
      </c>
      <c r="K3984" t="s">
        <v>58</v>
      </c>
      <c r="L3984" s="4">
        <v>11.841063669683448</v>
      </c>
      <c r="M3984" s="1" t="s">
        <v>38</v>
      </c>
      <c r="N3984" s="11">
        <f t="shared" si="62"/>
        <v>5</v>
      </c>
    </row>
    <row r="3985" spans="1:14" ht="16" x14ac:dyDescent="0.2">
      <c r="A3985" s="3">
        <v>44773</v>
      </c>
      <c r="B3985" s="1" t="s">
        <v>4055</v>
      </c>
      <c r="C3985" t="s">
        <v>130</v>
      </c>
      <c r="D3985">
        <v>20</v>
      </c>
      <c r="E3985">
        <v>144</v>
      </c>
      <c r="F3985">
        <v>48</v>
      </c>
      <c r="G3985">
        <v>2880</v>
      </c>
      <c r="H3985" s="4">
        <v>960</v>
      </c>
      <c r="I3985" s="4">
        <v>1920</v>
      </c>
      <c r="J3985" t="s">
        <v>186</v>
      </c>
      <c r="K3985" t="s">
        <v>58</v>
      </c>
      <c r="L3985" s="4">
        <v>11.31221475547909</v>
      </c>
      <c r="M3985" s="1" t="s">
        <v>54</v>
      </c>
      <c r="N3985" s="11">
        <f t="shared" si="62"/>
        <v>10</v>
      </c>
    </row>
    <row r="3986" spans="1:14" ht="16" x14ac:dyDescent="0.2">
      <c r="A3986" s="3">
        <v>44774</v>
      </c>
      <c r="B3986" s="1" t="s">
        <v>4056</v>
      </c>
      <c r="C3986" t="s">
        <v>110</v>
      </c>
      <c r="D3986">
        <v>15</v>
      </c>
      <c r="E3986">
        <v>144</v>
      </c>
      <c r="F3986">
        <v>36</v>
      </c>
      <c r="G3986">
        <v>2160</v>
      </c>
      <c r="H3986" s="4">
        <v>540</v>
      </c>
      <c r="I3986" s="4">
        <v>1620</v>
      </c>
      <c r="J3986" t="s">
        <v>815</v>
      </c>
      <c r="K3986" t="s">
        <v>33</v>
      </c>
      <c r="L3986" s="4">
        <v>16.254955391951082</v>
      </c>
      <c r="M3986" s="1" t="s">
        <v>54</v>
      </c>
      <c r="N3986" s="11">
        <f t="shared" si="62"/>
        <v>10</v>
      </c>
    </row>
    <row r="3987" spans="1:14" ht="16" x14ac:dyDescent="0.2">
      <c r="A3987" s="3">
        <v>44775</v>
      </c>
      <c r="B3987" s="1" t="s">
        <v>4057</v>
      </c>
      <c r="C3987" t="s">
        <v>410</v>
      </c>
      <c r="D3987">
        <v>15</v>
      </c>
      <c r="E3987">
        <v>84</v>
      </c>
      <c r="F3987">
        <v>21</v>
      </c>
      <c r="G3987">
        <v>1260</v>
      </c>
      <c r="H3987" s="4">
        <v>315</v>
      </c>
      <c r="I3987" s="4">
        <v>945</v>
      </c>
      <c r="J3987" t="s">
        <v>232</v>
      </c>
      <c r="K3987" t="s">
        <v>86</v>
      </c>
      <c r="L3987" s="4">
        <v>11.346510807401776</v>
      </c>
      <c r="M3987" s="1" t="s">
        <v>38</v>
      </c>
      <c r="N3987" s="11">
        <f t="shared" si="62"/>
        <v>5</v>
      </c>
    </row>
    <row r="3988" spans="1:14" ht="16" x14ac:dyDescent="0.2">
      <c r="A3988" s="3">
        <v>44776</v>
      </c>
      <c r="B3988" s="1" t="s">
        <v>4058</v>
      </c>
      <c r="C3988" t="s">
        <v>130</v>
      </c>
      <c r="D3988">
        <v>20</v>
      </c>
      <c r="E3988">
        <v>144</v>
      </c>
      <c r="F3988">
        <v>48</v>
      </c>
      <c r="G3988">
        <v>2880</v>
      </c>
      <c r="H3988" s="4">
        <v>960</v>
      </c>
      <c r="I3988" s="4">
        <v>1920</v>
      </c>
      <c r="J3988" t="s">
        <v>186</v>
      </c>
      <c r="K3988" t="s">
        <v>58</v>
      </c>
      <c r="L3988" s="4">
        <v>11.31221475547909</v>
      </c>
      <c r="M3988" s="1" t="s">
        <v>54</v>
      </c>
      <c r="N3988" s="11">
        <f t="shared" si="62"/>
        <v>10</v>
      </c>
    </row>
    <row r="3989" spans="1:14" ht="16" x14ac:dyDescent="0.2">
      <c r="A3989" s="3">
        <v>44777</v>
      </c>
      <c r="B3989" s="1" t="s">
        <v>4059</v>
      </c>
      <c r="C3989" t="s">
        <v>136</v>
      </c>
      <c r="D3989">
        <v>20</v>
      </c>
      <c r="E3989">
        <v>154</v>
      </c>
      <c r="F3989">
        <v>77</v>
      </c>
      <c r="G3989">
        <v>3080</v>
      </c>
      <c r="H3989" s="4">
        <v>1540</v>
      </c>
      <c r="I3989" s="4">
        <v>1540</v>
      </c>
      <c r="J3989" t="s">
        <v>650</v>
      </c>
      <c r="K3989" t="s">
        <v>86</v>
      </c>
      <c r="L3989" s="4">
        <v>12.679725647708608</v>
      </c>
      <c r="M3989" s="1" t="s">
        <v>38</v>
      </c>
      <c r="N3989" s="11">
        <f t="shared" si="62"/>
        <v>5</v>
      </c>
    </row>
    <row r="3990" spans="1:14" ht="16" x14ac:dyDescent="0.2">
      <c r="A3990" s="3">
        <v>44778</v>
      </c>
      <c r="B3990" s="1" t="s">
        <v>4060</v>
      </c>
      <c r="C3990" t="s">
        <v>151</v>
      </c>
      <c r="D3990">
        <v>4</v>
      </c>
      <c r="E3990">
        <v>153</v>
      </c>
      <c r="F3990">
        <v>51</v>
      </c>
      <c r="G3990">
        <v>612</v>
      </c>
      <c r="H3990" s="4">
        <v>204</v>
      </c>
      <c r="I3990" s="4">
        <v>408</v>
      </c>
      <c r="J3990" t="s">
        <v>968</v>
      </c>
      <c r="K3990" t="s">
        <v>42</v>
      </c>
      <c r="L3990" s="4">
        <v>11.961761925704458</v>
      </c>
      <c r="M3990" s="1" t="s">
        <v>38</v>
      </c>
      <c r="N3990" s="11">
        <f t="shared" si="62"/>
        <v>5</v>
      </c>
    </row>
    <row r="3991" spans="1:14" ht="16" x14ac:dyDescent="0.2">
      <c r="A3991" s="3">
        <v>44779</v>
      </c>
      <c r="B3991" s="1" t="s">
        <v>4061</v>
      </c>
      <c r="C3991" t="s">
        <v>47</v>
      </c>
      <c r="D3991">
        <v>16</v>
      </c>
      <c r="E3991">
        <v>231</v>
      </c>
      <c r="F3991">
        <v>77</v>
      </c>
      <c r="G3991">
        <v>3696</v>
      </c>
      <c r="H3991" s="4">
        <v>1232</v>
      </c>
      <c r="I3991" s="4">
        <v>2464</v>
      </c>
      <c r="J3991" t="s">
        <v>155</v>
      </c>
      <c r="K3991" t="s">
        <v>42</v>
      </c>
      <c r="L3991" s="4">
        <v>13.378080355059918</v>
      </c>
      <c r="M3991" s="1" t="s">
        <v>38</v>
      </c>
      <c r="N3991" s="11">
        <f t="shared" si="62"/>
        <v>5</v>
      </c>
    </row>
    <row r="3992" spans="1:14" ht="16" x14ac:dyDescent="0.2">
      <c r="A3992" s="3">
        <v>44780</v>
      </c>
      <c r="B3992" s="1" t="s">
        <v>4062</v>
      </c>
      <c r="C3992" t="s">
        <v>243</v>
      </c>
      <c r="D3992">
        <v>7</v>
      </c>
      <c r="E3992">
        <v>90</v>
      </c>
      <c r="F3992">
        <v>45</v>
      </c>
      <c r="G3992">
        <v>630</v>
      </c>
      <c r="H3992" s="4">
        <v>315</v>
      </c>
      <c r="I3992" s="4">
        <v>315</v>
      </c>
      <c r="J3992" t="s">
        <v>986</v>
      </c>
      <c r="K3992" t="s">
        <v>86</v>
      </c>
      <c r="L3992" s="4">
        <v>12.392787515215366</v>
      </c>
      <c r="M3992" s="1" t="s">
        <v>54</v>
      </c>
      <c r="N3992" s="11">
        <f t="shared" si="62"/>
        <v>10</v>
      </c>
    </row>
    <row r="3993" spans="1:14" ht="16" x14ac:dyDescent="0.2">
      <c r="A3993" s="3">
        <v>44781</v>
      </c>
      <c r="B3993" s="1" t="s">
        <v>4063</v>
      </c>
      <c r="C3993" t="s">
        <v>283</v>
      </c>
      <c r="D3993">
        <v>4</v>
      </c>
      <c r="E3993">
        <v>144</v>
      </c>
      <c r="F3993">
        <v>36</v>
      </c>
      <c r="G3993">
        <v>576</v>
      </c>
      <c r="H3993" s="4">
        <v>144</v>
      </c>
      <c r="I3993" s="4">
        <v>432</v>
      </c>
      <c r="J3993" t="s">
        <v>99</v>
      </c>
      <c r="K3993" t="s">
        <v>86</v>
      </c>
      <c r="L3993" s="4">
        <v>15.140903556171683</v>
      </c>
      <c r="M3993" s="1" t="s">
        <v>54</v>
      </c>
      <c r="N3993" s="11">
        <f t="shared" si="62"/>
        <v>10</v>
      </c>
    </row>
    <row r="3994" spans="1:14" ht="16" x14ac:dyDescent="0.2">
      <c r="A3994" s="3">
        <v>44782</v>
      </c>
      <c r="B3994" s="1" t="s">
        <v>4064</v>
      </c>
      <c r="C3994" t="s">
        <v>240</v>
      </c>
      <c r="D3994">
        <v>12</v>
      </c>
      <c r="E3994">
        <v>108</v>
      </c>
      <c r="F3994">
        <v>54</v>
      </c>
      <c r="G3994">
        <v>1296</v>
      </c>
      <c r="H3994" s="4">
        <v>648</v>
      </c>
      <c r="I3994" s="4">
        <v>648</v>
      </c>
      <c r="J3994" t="s">
        <v>123</v>
      </c>
      <c r="K3994" t="s">
        <v>53</v>
      </c>
      <c r="L3994" s="4">
        <v>10.42743035829395</v>
      </c>
      <c r="M3994" s="1" t="s">
        <v>38</v>
      </c>
      <c r="N3994" s="11">
        <f t="shared" si="62"/>
        <v>5</v>
      </c>
    </row>
    <row r="3995" spans="1:14" ht="16" x14ac:dyDescent="0.2">
      <c r="A3995" s="3">
        <v>44783</v>
      </c>
      <c r="B3995" s="1" t="s">
        <v>4065</v>
      </c>
      <c r="C3995" t="s">
        <v>62</v>
      </c>
      <c r="D3995">
        <v>3</v>
      </c>
      <c r="E3995">
        <v>80</v>
      </c>
      <c r="F3995">
        <v>20</v>
      </c>
      <c r="G3995">
        <v>240</v>
      </c>
      <c r="H3995" s="4">
        <v>60</v>
      </c>
      <c r="I3995" s="4">
        <v>180</v>
      </c>
      <c r="J3995" t="s">
        <v>611</v>
      </c>
      <c r="K3995" t="s">
        <v>58</v>
      </c>
      <c r="L3995" s="4">
        <v>7.8974070387684714</v>
      </c>
      <c r="M3995" s="1" t="s">
        <v>38</v>
      </c>
      <c r="N3995" s="11">
        <f t="shared" si="62"/>
        <v>5</v>
      </c>
    </row>
    <row r="3996" spans="1:14" ht="16" x14ac:dyDescent="0.2">
      <c r="A3996" s="3">
        <v>44784</v>
      </c>
      <c r="B3996" s="1" t="s">
        <v>4066</v>
      </c>
      <c r="C3996" t="s">
        <v>157</v>
      </c>
      <c r="D3996">
        <v>13</v>
      </c>
      <c r="E3996">
        <v>50</v>
      </c>
      <c r="F3996">
        <v>25</v>
      </c>
      <c r="G3996">
        <v>650</v>
      </c>
      <c r="H3996" s="4">
        <v>325</v>
      </c>
      <c r="I3996" s="4">
        <v>325</v>
      </c>
      <c r="J3996" t="s">
        <v>629</v>
      </c>
      <c r="K3996" t="s">
        <v>53</v>
      </c>
      <c r="L3996" s="4">
        <v>9.8892508156549788</v>
      </c>
      <c r="M3996" s="1" t="s">
        <v>38</v>
      </c>
      <c r="N3996" s="11">
        <f t="shared" si="62"/>
        <v>5</v>
      </c>
    </row>
    <row r="3997" spans="1:14" ht="16" x14ac:dyDescent="0.2">
      <c r="A3997" s="3">
        <v>44785</v>
      </c>
      <c r="B3997" s="1" t="s">
        <v>4067</v>
      </c>
      <c r="C3997" t="s">
        <v>410</v>
      </c>
      <c r="D3997">
        <v>1</v>
      </c>
      <c r="E3997">
        <v>84</v>
      </c>
      <c r="F3997">
        <v>21</v>
      </c>
      <c r="G3997">
        <v>84</v>
      </c>
      <c r="H3997" s="4">
        <v>21</v>
      </c>
      <c r="I3997" s="4">
        <v>63</v>
      </c>
      <c r="J3997" t="s">
        <v>421</v>
      </c>
      <c r="K3997" t="s">
        <v>53</v>
      </c>
      <c r="L3997" s="4">
        <v>10.96230865592911</v>
      </c>
      <c r="M3997" s="1" t="s">
        <v>38</v>
      </c>
      <c r="N3997" s="11">
        <f t="shared" si="62"/>
        <v>5</v>
      </c>
    </row>
    <row r="3998" spans="1:14" ht="16" x14ac:dyDescent="0.2">
      <c r="A3998" s="3">
        <v>44786</v>
      </c>
      <c r="B3998" s="1" t="s">
        <v>4068</v>
      </c>
      <c r="C3998" t="s">
        <v>788</v>
      </c>
      <c r="D3998">
        <v>7</v>
      </c>
      <c r="E3998">
        <v>100</v>
      </c>
      <c r="F3998">
        <v>25</v>
      </c>
      <c r="G3998">
        <v>700</v>
      </c>
      <c r="H3998" s="4">
        <v>175</v>
      </c>
      <c r="I3998" s="4">
        <v>525</v>
      </c>
      <c r="J3998" t="s">
        <v>111</v>
      </c>
      <c r="K3998" t="s">
        <v>53</v>
      </c>
      <c r="L3998" s="4">
        <v>13.407340878370247</v>
      </c>
      <c r="M3998" s="1" t="s">
        <v>38</v>
      </c>
      <c r="N3998" s="11">
        <f t="shared" si="62"/>
        <v>5</v>
      </c>
    </row>
    <row r="3999" spans="1:14" ht="16" x14ac:dyDescent="0.2">
      <c r="A3999" s="3">
        <v>44787</v>
      </c>
      <c r="B3999" s="1" t="s">
        <v>4069</v>
      </c>
      <c r="C3999" t="s">
        <v>431</v>
      </c>
      <c r="D3999">
        <v>15</v>
      </c>
      <c r="E3999">
        <v>356</v>
      </c>
      <c r="F3999">
        <v>89</v>
      </c>
      <c r="G3999">
        <v>5340</v>
      </c>
      <c r="H3999" s="4">
        <v>1335</v>
      </c>
      <c r="I3999" s="4">
        <v>4005</v>
      </c>
      <c r="J3999" t="s">
        <v>392</v>
      </c>
      <c r="K3999" t="s">
        <v>49</v>
      </c>
      <c r="L3999" s="4">
        <v>12.456740895640767</v>
      </c>
      <c r="M3999" s="1" t="s">
        <v>38</v>
      </c>
      <c r="N3999" s="11">
        <f t="shared" si="62"/>
        <v>5</v>
      </c>
    </row>
    <row r="4000" spans="1:14" ht="16" x14ac:dyDescent="0.2">
      <c r="A4000" s="3">
        <v>44788</v>
      </c>
      <c r="B4000" s="1" t="s">
        <v>1384</v>
      </c>
      <c r="C4000" t="s">
        <v>175</v>
      </c>
      <c r="D4000">
        <v>11</v>
      </c>
      <c r="E4000">
        <v>38</v>
      </c>
      <c r="F4000">
        <v>19</v>
      </c>
      <c r="G4000">
        <v>418</v>
      </c>
      <c r="H4000" s="4">
        <v>209</v>
      </c>
      <c r="I4000" s="4">
        <v>209</v>
      </c>
      <c r="J4000" t="s">
        <v>622</v>
      </c>
      <c r="K4000" t="s">
        <v>49</v>
      </c>
      <c r="L4000" s="4">
        <v>8.3272837771733244</v>
      </c>
      <c r="M4000" s="1" t="s">
        <v>38</v>
      </c>
      <c r="N4000" s="11">
        <f t="shared" si="62"/>
        <v>5</v>
      </c>
    </row>
    <row r="4001" spans="1:14" ht="16" x14ac:dyDescent="0.2">
      <c r="A4001" s="3">
        <v>44789</v>
      </c>
      <c r="B4001" s="1" t="s">
        <v>4021</v>
      </c>
      <c r="C4001" t="s">
        <v>544</v>
      </c>
      <c r="D4001">
        <v>14</v>
      </c>
      <c r="E4001">
        <v>267</v>
      </c>
      <c r="F4001">
        <v>89</v>
      </c>
      <c r="G4001">
        <v>3738</v>
      </c>
      <c r="H4001" s="4">
        <v>1246</v>
      </c>
      <c r="I4001" s="4">
        <v>2492</v>
      </c>
      <c r="J4001" t="s">
        <v>1279</v>
      </c>
      <c r="K4001" t="s">
        <v>33</v>
      </c>
      <c r="L4001" s="4">
        <v>6.221489120484736</v>
      </c>
      <c r="M4001" s="1" t="s">
        <v>34</v>
      </c>
      <c r="N4001" s="11">
        <f t="shared" si="62"/>
        <v>1</v>
      </c>
    </row>
    <row r="4002" spans="1:14" ht="16" x14ac:dyDescent="0.2">
      <c r="A4002" s="3">
        <v>44790</v>
      </c>
      <c r="B4002" s="1" t="s">
        <v>1189</v>
      </c>
      <c r="C4002" t="s">
        <v>487</v>
      </c>
      <c r="D4002">
        <v>2</v>
      </c>
      <c r="E4002">
        <v>264</v>
      </c>
      <c r="F4002">
        <v>88</v>
      </c>
      <c r="G4002">
        <v>528</v>
      </c>
      <c r="H4002" s="4">
        <v>176</v>
      </c>
      <c r="I4002" s="4">
        <v>352</v>
      </c>
      <c r="J4002" t="s">
        <v>660</v>
      </c>
      <c r="K4002" t="s">
        <v>86</v>
      </c>
      <c r="L4002" s="4">
        <v>10.163794912095831</v>
      </c>
      <c r="M4002" s="1" t="s">
        <v>38</v>
      </c>
      <c r="N4002" s="11">
        <f t="shared" si="62"/>
        <v>5</v>
      </c>
    </row>
    <row r="4003" spans="1:14" x14ac:dyDescent="0.2">
      <c r="H4003" s="4"/>
      <c r="I400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3A19-47D4-4373-9B53-8563E1CC2CC6}">
  <dimension ref="A1:J296"/>
  <sheetViews>
    <sheetView topLeftCell="A268" workbookViewId="0">
      <selection activeCell="K164" sqref="K164"/>
    </sheetView>
  </sheetViews>
  <sheetFormatPr baseColWidth="10" defaultColWidth="8.83203125" defaultRowHeight="15" x14ac:dyDescent="0.2"/>
  <cols>
    <col min="2" max="2" width="11.83203125" customWidth="1"/>
    <col min="3" max="3" width="16.5" customWidth="1"/>
    <col min="5" max="5" width="15.5" bestFit="1" customWidth="1"/>
    <col min="10" max="10" width="24.83203125" customWidth="1"/>
    <col min="11" max="11" width="16.5" customWidth="1"/>
  </cols>
  <sheetData>
    <row r="1" spans="1:10" ht="50.25" customHeight="1" thickBot="1" x14ac:dyDescent="0.25">
      <c r="A1" s="5" t="s">
        <v>21</v>
      </c>
      <c r="B1" s="6" t="s">
        <v>4070</v>
      </c>
      <c r="C1" s="6" t="s">
        <v>4076</v>
      </c>
      <c r="D1" s="10" t="s">
        <v>4071</v>
      </c>
      <c r="E1" s="10" t="s">
        <v>4077</v>
      </c>
      <c r="F1" s="7" t="s">
        <v>4072</v>
      </c>
      <c r="G1" s="7" t="s">
        <v>4073</v>
      </c>
      <c r="H1" s="7" t="s">
        <v>4074</v>
      </c>
      <c r="I1" s="8" t="s">
        <v>4075</v>
      </c>
      <c r="J1" s="9" t="s">
        <v>4078</v>
      </c>
    </row>
    <row r="2" spans="1:10" x14ac:dyDescent="0.2">
      <c r="A2" s="16" t="s">
        <v>650</v>
      </c>
      <c r="B2">
        <v>15</v>
      </c>
      <c r="C2" t="str">
        <f>IF(B2&gt;13,"High Order Count", "Low Order Count")</f>
        <v>High Order Count</v>
      </c>
      <c r="D2" s="17">
        <v>157</v>
      </c>
      <c r="E2" t="str">
        <f>IF(D2&lt;=50,"Low Volume",IF(D2&gt;100,"High Volume","Mid-Volume"))</f>
        <v>High Volume</v>
      </c>
      <c r="F2" s="17">
        <v>1633.9333329999999</v>
      </c>
      <c r="G2" s="17">
        <v>1377.1659549999999</v>
      </c>
      <c r="H2" s="17">
        <v>1377.1659549999999</v>
      </c>
      <c r="I2" s="17">
        <v>5.1333333330000004</v>
      </c>
      <c r="J2" t="str">
        <f>IF(I2&gt;5,"Positive Experiences","Disappointing Experiences")</f>
        <v>Positive Experiences</v>
      </c>
    </row>
    <row r="3" spans="1:10" x14ac:dyDescent="0.2">
      <c r="A3" s="16" t="s">
        <v>1625</v>
      </c>
      <c r="B3">
        <v>7</v>
      </c>
      <c r="C3" t="str">
        <f t="shared" ref="C3:C66" si="0">IF(B3&gt;13,"High Order Count", "Low Order Count")</f>
        <v>Low Order Count</v>
      </c>
      <c r="D3" s="17">
        <v>95</v>
      </c>
      <c r="E3" t="str">
        <f t="shared" ref="E3:E66" si="1">IF(D3&lt;=50,"Low Volume",IF(D3&gt;100,"High Volume","Mid-Volume"))</f>
        <v>Mid-Volume</v>
      </c>
      <c r="F3" s="17">
        <v>2125.1428569999998</v>
      </c>
      <c r="G3" s="17">
        <v>1724.775486</v>
      </c>
      <c r="H3" s="17">
        <v>1724.775486</v>
      </c>
      <c r="I3" s="17">
        <v>7.1428571429999996</v>
      </c>
      <c r="J3" t="str">
        <f t="shared" ref="J3:J66" si="2">IF(I3&gt;5,"Positive Experiences","Disappointing Experiences")</f>
        <v>Positive Experiences</v>
      </c>
    </row>
    <row r="4" spans="1:10" x14ac:dyDescent="0.2">
      <c r="A4" s="16" t="s">
        <v>653</v>
      </c>
      <c r="B4">
        <v>13</v>
      </c>
      <c r="C4" t="str">
        <f t="shared" si="0"/>
        <v>Low Order Count</v>
      </c>
      <c r="D4" s="17">
        <v>136</v>
      </c>
      <c r="E4" t="str">
        <f t="shared" si="1"/>
        <v>High Volume</v>
      </c>
      <c r="F4" s="17">
        <v>1448.461538</v>
      </c>
      <c r="G4" s="17">
        <v>929.58849459999999</v>
      </c>
      <c r="H4" s="17">
        <v>929.58849459999999</v>
      </c>
      <c r="I4" s="17">
        <v>5.230769231</v>
      </c>
      <c r="J4" t="str">
        <f t="shared" si="2"/>
        <v>Positive Experiences</v>
      </c>
    </row>
    <row r="5" spans="1:10" x14ac:dyDescent="0.2">
      <c r="A5" s="16" t="s">
        <v>704</v>
      </c>
      <c r="B5">
        <v>20</v>
      </c>
      <c r="C5" t="str">
        <f t="shared" si="0"/>
        <v>High Order Count</v>
      </c>
      <c r="D5" s="17">
        <v>238</v>
      </c>
      <c r="E5" t="str">
        <f t="shared" si="1"/>
        <v>High Volume</v>
      </c>
      <c r="F5" s="17">
        <v>2074.6</v>
      </c>
      <c r="G5" s="17">
        <v>1394.208034</v>
      </c>
      <c r="H5" s="17">
        <v>1394.208034</v>
      </c>
      <c r="I5" s="17">
        <v>4.8499999999999996</v>
      </c>
      <c r="J5" t="str">
        <f t="shared" si="2"/>
        <v>Disappointing Experiences</v>
      </c>
    </row>
    <row r="6" spans="1:10" x14ac:dyDescent="0.2">
      <c r="A6" s="16" t="s">
        <v>1358</v>
      </c>
      <c r="B6">
        <v>11</v>
      </c>
      <c r="C6" t="str">
        <f t="shared" si="0"/>
        <v>Low Order Count</v>
      </c>
      <c r="D6" s="17">
        <v>92</v>
      </c>
      <c r="E6" t="str">
        <f t="shared" si="1"/>
        <v>Mid-Volume</v>
      </c>
      <c r="F6" s="17">
        <v>1984.272727</v>
      </c>
      <c r="G6" s="17">
        <v>1967.773874</v>
      </c>
      <c r="H6" s="17">
        <v>1967.773874</v>
      </c>
      <c r="I6" s="17">
        <v>4.4545454549999999</v>
      </c>
      <c r="J6" t="str">
        <f t="shared" si="2"/>
        <v>Disappointing Experiences</v>
      </c>
    </row>
    <row r="7" spans="1:10" x14ac:dyDescent="0.2">
      <c r="A7" s="16" t="s">
        <v>423</v>
      </c>
      <c r="B7">
        <v>11</v>
      </c>
      <c r="C7" t="str">
        <f t="shared" si="0"/>
        <v>Low Order Count</v>
      </c>
      <c r="D7" s="17">
        <v>127</v>
      </c>
      <c r="E7" t="str">
        <f t="shared" si="1"/>
        <v>High Volume</v>
      </c>
      <c r="F7" s="17">
        <v>1831.818182</v>
      </c>
      <c r="G7" s="17">
        <v>1682.574564</v>
      </c>
      <c r="H7" s="17">
        <v>1682.574564</v>
      </c>
      <c r="I7" s="17">
        <v>4</v>
      </c>
      <c r="J7" t="str">
        <f t="shared" si="2"/>
        <v>Disappointing Experiences</v>
      </c>
    </row>
    <row r="8" spans="1:10" x14ac:dyDescent="0.2">
      <c r="A8" s="16" t="s">
        <v>986</v>
      </c>
      <c r="B8">
        <v>6</v>
      </c>
      <c r="C8" t="str">
        <f t="shared" si="0"/>
        <v>Low Order Count</v>
      </c>
      <c r="D8" s="17">
        <v>72</v>
      </c>
      <c r="E8" t="str">
        <f t="shared" si="1"/>
        <v>Mid-Volume</v>
      </c>
      <c r="F8" s="17">
        <v>2484.166667</v>
      </c>
      <c r="G8" s="17">
        <v>1431.1654570000001</v>
      </c>
      <c r="H8" s="17">
        <v>1431.1654570000001</v>
      </c>
      <c r="I8" s="17">
        <v>6.8333333329999997</v>
      </c>
      <c r="J8" t="str">
        <f t="shared" si="2"/>
        <v>Positive Experiences</v>
      </c>
    </row>
    <row r="9" spans="1:10" x14ac:dyDescent="0.2">
      <c r="A9" s="16" t="s">
        <v>244</v>
      </c>
      <c r="B9">
        <v>16</v>
      </c>
      <c r="C9" t="str">
        <f t="shared" si="0"/>
        <v>High Order Count</v>
      </c>
      <c r="D9" s="17">
        <v>183</v>
      </c>
      <c r="E9" t="str">
        <f t="shared" si="1"/>
        <v>High Volume</v>
      </c>
      <c r="F9" s="17">
        <v>1740.6875</v>
      </c>
      <c r="G9" s="17">
        <v>974.84198509999999</v>
      </c>
      <c r="H9" s="17">
        <v>974.84198509999999</v>
      </c>
      <c r="I9" s="17">
        <v>6.875</v>
      </c>
      <c r="J9" t="str">
        <f t="shared" si="2"/>
        <v>Positive Experiences</v>
      </c>
    </row>
    <row r="10" spans="1:10" x14ac:dyDescent="0.2">
      <c r="A10" s="16" t="s">
        <v>1671</v>
      </c>
      <c r="B10">
        <v>11</v>
      </c>
      <c r="C10" t="str">
        <f t="shared" si="0"/>
        <v>Low Order Count</v>
      </c>
      <c r="D10" s="17">
        <v>110</v>
      </c>
      <c r="E10" t="str">
        <f t="shared" si="1"/>
        <v>High Volume</v>
      </c>
      <c r="F10" s="17">
        <v>1598.181818</v>
      </c>
      <c r="G10" s="17">
        <v>1149.6494090000001</v>
      </c>
      <c r="H10" s="17">
        <v>1149.6494090000001</v>
      </c>
      <c r="I10" s="17">
        <v>5.1818181819999998</v>
      </c>
      <c r="J10" t="str">
        <f t="shared" si="2"/>
        <v>Positive Experiences</v>
      </c>
    </row>
    <row r="11" spans="1:10" x14ac:dyDescent="0.2">
      <c r="A11" s="16" t="s">
        <v>387</v>
      </c>
      <c r="B11">
        <v>20</v>
      </c>
      <c r="C11" t="str">
        <f t="shared" si="0"/>
        <v>High Order Count</v>
      </c>
      <c r="D11" s="17">
        <v>260</v>
      </c>
      <c r="E11" t="str">
        <f t="shared" si="1"/>
        <v>High Volume</v>
      </c>
      <c r="F11" s="17">
        <v>2379</v>
      </c>
      <c r="G11" s="17">
        <v>1892.596573</v>
      </c>
      <c r="H11" s="17">
        <v>1892.596573</v>
      </c>
      <c r="I11" s="17">
        <v>4.5</v>
      </c>
      <c r="J11" t="str">
        <f t="shared" si="2"/>
        <v>Disappointing Experiences</v>
      </c>
    </row>
    <row r="12" spans="1:10" x14ac:dyDescent="0.2">
      <c r="A12" s="16" t="s">
        <v>232</v>
      </c>
      <c r="B12">
        <v>11</v>
      </c>
      <c r="C12" t="str">
        <f t="shared" si="0"/>
        <v>Low Order Count</v>
      </c>
      <c r="D12" s="17">
        <v>126</v>
      </c>
      <c r="E12" t="str">
        <f t="shared" si="1"/>
        <v>High Volume</v>
      </c>
      <c r="F12" s="17">
        <v>1682.363636</v>
      </c>
      <c r="G12" s="17">
        <v>1427.5219979999999</v>
      </c>
      <c r="H12" s="17">
        <v>1427.5219979999999</v>
      </c>
      <c r="I12" s="17">
        <v>5.0909090910000003</v>
      </c>
      <c r="J12" t="str">
        <f t="shared" si="2"/>
        <v>Positive Experiences</v>
      </c>
    </row>
    <row r="13" spans="1:10" x14ac:dyDescent="0.2">
      <c r="A13" s="16" t="s">
        <v>262</v>
      </c>
      <c r="B13">
        <v>14</v>
      </c>
      <c r="C13" t="str">
        <f t="shared" si="0"/>
        <v>High Order Count</v>
      </c>
      <c r="D13" s="17">
        <v>122</v>
      </c>
      <c r="E13" t="str">
        <f t="shared" si="1"/>
        <v>High Volume</v>
      </c>
      <c r="F13" s="17">
        <v>1525.142857</v>
      </c>
      <c r="G13" s="17">
        <v>1474.464485</v>
      </c>
      <c r="H13" s="17">
        <v>1474.464485</v>
      </c>
      <c r="I13" s="17">
        <v>6.1428571429999996</v>
      </c>
      <c r="J13" t="str">
        <f t="shared" si="2"/>
        <v>Positive Experiences</v>
      </c>
    </row>
    <row r="14" spans="1:10" x14ac:dyDescent="0.2">
      <c r="A14" s="16" t="s">
        <v>806</v>
      </c>
      <c r="B14">
        <v>17</v>
      </c>
      <c r="C14" t="str">
        <f t="shared" si="0"/>
        <v>High Order Count</v>
      </c>
      <c r="D14" s="17">
        <v>185</v>
      </c>
      <c r="E14" t="str">
        <f t="shared" si="1"/>
        <v>High Volume</v>
      </c>
      <c r="F14" s="17">
        <v>2411.0588240000002</v>
      </c>
      <c r="G14" s="17">
        <v>1945.9248600000001</v>
      </c>
      <c r="H14" s="17">
        <v>1945.9248600000001</v>
      </c>
      <c r="I14" s="17">
        <v>5.8235294120000001</v>
      </c>
      <c r="J14" t="str">
        <f t="shared" si="2"/>
        <v>Positive Experiences</v>
      </c>
    </row>
    <row r="15" spans="1:10" x14ac:dyDescent="0.2">
      <c r="A15" s="16" t="s">
        <v>819</v>
      </c>
      <c r="B15">
        <v>15</v>
      </c>
      <c r="C15" t="str">
        <f t="shared" si="0"/>
        <v>High Order Count</v>
      </c>
      <c r="D15" s="17">
        <v>131</v>
      </c>
      <c r="E15" t="str">
        <f t="shared" si="1"/>
        <v>High Volume</v>
      </c>
      <c r="F15" s="17">
        <v>1536.5333330000001</v>
      </c>
      <c r="G15" s="17">
        <v>1620.558364</v>
      </c>
      <c r="H15" s="17">
        <v>1620.558364</v>
      </c>
      <c r="I15" s="17">
        <v>5.4666666670000001</v>
      </c>
      <c r="J15" t="str">
        <f t="shared" si="2"/>
        <v>Positive Experiences</v>
      </c>
    </row>
    <row r="16" spans="1:10" x14ac:dyDescent="0.2">
      <c r="A16" s="16" t="s">
        <v>1560</v>
      </c>
      <c r="B16">
        <v>10</v>
      </c>
      <c r="C16" t="str">
        <f t="shared" si="0"/>
        <v>Low Order Count</v>
      </c>
      <c r="D16" s="17">
        <v>94</v>
      </c>
      <c r="E16" t="str">
        <f t="shared" si="1"/>
        <v>Mid-Volume</v>
      </c>
      <c r="F16" s="17">
        <v>1510.8</v>
      </c>
      <c r="G16" s="17">
        <v>1661.039822</v>
      </c>
      <c r="H16" s="17">
        <v>1661.039822</v>
      </c>
      <c r="I16" s="17">
        <v>3.9</v>
      </c>
      <c r="J16" t="str">
        <f t="shared" si="2"/>
        <v>Disappointing Experiences</v>
      </c>
    </row>
    <row r="17" spans="1:10" x14ac:dyDescent="0.2">
      <c r="A17" s="16" t="s">
        <v>238</v>
      </c>
      <c r="B17">
        <v>20</v>
      </c>
      <c r="C17" t="str">
        <f t="shared" si="0"/>
        <v>High Order Count</v>
      </c>
      <c r="D17" s="17">
        <v>215</v>
      </c>
      <c r="E17" t="str">
        <f t="shared" si="1"/>
        <v>High Volume</v>
      </c>
      <c r="F17" s="17">
        <v>1632.85</v>
      </c>
      <c r="G17" s="17">
        <v>1036.65176</v>
      </c>
      <c r="H17" s="17">
        <v>1036.65176</v>
      </c>
      <c r="I17" s="17">
        <v>5.5</v>
      </c>
      <c r="J17" t="str">
        <f t="shared" si="2"/>
        <v>Positive Experiences</v>
      </c>
    </row>
    <row r="18" spans="1:10" x14ac:dyDescent="0.2">
      <c r="A18" s="16" t="s">
        <v>660</v>
      </c>
      <c r="B18">
        <v>17</v>
      </c>
      <c r="C18" t="str">
        <f t="shared" si="0"/>
        <v>High Order Count</v>
      </c>
      <c r="D18" s="17">
        <v>179</v>
      </c>
      <c r="E18" t="str">
        <f t="shared" si="1"/>
        <v>High Volume</v>
      </c>
      <c r="F18" s="17">
        <v>1796.941176</v>
      </c>
      <c r="G18" s="17">
        <v>1617.6487749999999</v>
      </c>
      <c r="H18" s="17">
        <v>1617.6487749999999</v>
      </c>
      <c r="I18" s="17">
        <v>5.4705882350000001</v>
      </c>
      <c r="J18" t="str">
        <f t="shared" si="2"/>
        <v>Positive Experiences</v>
      </c>
    </row>
    <row r="19" spans="1:10" x14ac:dyDescent="0.2">
      <c r="A19" s="16" t="s">
        <v>99</v>
      </c>
      <c r="B19">
        <v>9</v>
      </c>
      <c r="C19" t="str">
        <f t="shared" si="0"/>
        <v>Low Order Count</v>
      </c>
      <c r="D19" s="17">
        <v>83</v>
      </c>
      <c r="E19" t="str">
        <f t="shared" si="1"/>
        <v>Mid-Volume</v>
      </c>
      <c r="F19" s="17">
        <v>1135</v>
      </c>
      <c r="G19" s="17">
        <v>741.77995390000001</v>
      </c>
      <c r="H19" s="17">
        <v>741.77995390000001</v>
      </c>
      <c r="I19" s="17">
        <v>7.7777777779999999</v>
      </c>
      <c r="J19" t="str">
        <f t="shared" si="2"/>
        <v>Positive Experiences</v>
      </c>
    </row>
    <row r="20" spans="1:10" x14ac:dyDescent="0.2">
      <c r="A20" s="16" t="s">
        <v>776</v>
      </c>
      <c r="B20">
        <v>10</v>
      </c>
      <c r="C20" t="str">
        <f t="shared" si="0"/>
        <v>Low Order Count</v>
      </c>
      <c r="D20" s="17">
        <v>131</v>
      </c>
      <c r="E20" t="str">
        <f t="shared" si="1"/>
        <v>High Volume</v>
      </c>
      <c r="F20" s="17">
        <v>2317.5</v>
      </c>
      <c r="G20" s="17">
        <v>1851.0301790000001</v>
      </c>
      <c r="H20" s="17">
        <v>1851.0301790000001</v>
      </c>
      <c r="I20" s="17">
        <v>5.0999999999999996</v>
      </c>
      <c r="J20" t="str">
        <f t="shared" si="2"/>
        <v>Positive Experiences</v>
      </c>
    </row>
    <row r="21" spans="1:10" x14ac:dyDescent="0.2">
      <c r="A21" s="16" t="s">
        <v>709</v>
      </c>
      <c r="B21">
        <v>7</v>
      </c>
      <c r="C21" t="str">
        <f t="shared" si="0"/>
        <v>Low Order Count</v>
      </c>
      <c r="D21" s="17">
        <v>77</v>
      </c>
      <c r="E21" t="str">
        <f t="shared" si="1"/>
        <v>Mid-Volume</v>
      </c>
      <c r="F21" s="17">
        <v>1541.2857140000001</v>
      </c>
      <c r="G21" s="17">
        <v>1436.2834809999999</v>
      </c>
      <c r="H21" s="17">
        <v>1436.2834809999999</v>
      </c>
      <c r="I21" s="17">
        <v>5.8571428570000004</v>
      </c>
      <c r="J21" t="str">
        <f t="shared" si="2"/>
        <v>Positive Experiences</v>
      </c>
    </row>
    <row r="22" spans="1:10" x14ac:dyDescent="0.2">
      <c r="A22" s="16" t="s">
        <v>645</v>
      </c>
      <c r="B22">
        <v>14</v>
      </c>
      <c r="C22" t="str">
        <f t="shared" si="0"/>
        <v>High Order Count</v>
      </c>
      <c r="D22" s="17">
        <v>135</v>
      </c>
      <c r="E22" t="str">
        <f t="shared" si="1"/>
        <v>High Volume</v>
      </c>
      <c r="F22" s="17">
        <v>1418</v>
      </c>
      <c r="G22" s="17">
        <v>1458.4250730000001</v>
      </c>
      <c r="H22" s="17">
        <v>1458.4250730000001</v>
      </c>
      <c r="I22" s="17">
        <v>5.7142857139999998</v>
      </c>
      <c r="J22" t="str">
        <f t="shared" si="2"/>
        <v>Positive Experiences</v>
      </c>
    </row>
    <row r="23" spans="1:10" x14ac:dyDescent="0.2">
      <c r="A23" s="16" t="s">
        <v>962</v>
      </c>
      <c r="B23">
        <v>13</v>
      </c>
      <c r="C23" t="str">
        <f t="shared" si="0"/>
        <v>Low Order Count</v>
      </c>
      <c r="D23" s="17">
        <v>136</v>
      </c>
      <c r="E23" t="str">
        <f t="shared" si="1"/>
        <v>High Volume</v>
      </c>
      <c r="F23" s="17">
        <v>1511.1538459999999</v>
      </c>
      <c r="G23" s="17">
        <v>1745.7073949999999</v>
      </c>
      <c r="H23" s="17">
        <v>1745.7073949999999</v>
      </c>
      <c r="I23" s="17">
        <v>5.384615385</v>
      </c>
      <c r="J23" t="str">
        <f t="shared" si="2"/>
        <v>Positive Experiences</v>
      </c>
    </row>
    <row r="24" spans="1:10" x14ac:dyDescent="0.2">
      <c r="A24" s="16" t="s">
        <v>85</v>
      </c>
      <c r="B24">
        <v>12</v>
      </c>
      <c r="C24" t="str">
        <f t="shared" si="0"/>
        <v>Low Order Count</v>
      </c>
      <c r="D24" s="17">
        <v>133</v>
      </c>
      <c r="E24" t="str">
        <f t="shared" si="1"/>
        <v>High Volume</v>
      </c>
      <c r="F24" s="17">
        <v>1489.833333</v>
      </c>
      <c r="G24" s="17">
        <v>1244.4686220000001</v>
      </c>
      <c r="H24" s="17">
        <v>1244.4686220000001</v>
      </c>
      <c r="I24" s="17">
        <v>4.9166666670000003</v>
      </c>
      <c r="J24" t="str">
        <f t="shared" si="2"/>
        <v>Disappointing Experiences</v>
      </c>
    </row>
    <row r="25" spans="1:10" x14ac:dyDescent="0.2">
      <c r="A25" s="16" t="s">
        <v>1434</v>
      </c>
      <c r="B25">
        <v>9</v>
      </c>
      <c r="C25" t="str">
        <f t="shared" si="0"/>
        <v>Low Order Count</v>
      </c>
      <c r="D25" s="17">
        <v>78</v>
      </c>
      <c r="E25" t="str">
        <f t="shared" si="1"/>
        <v>Mid-Volume</v>
      </c>
      <c r="F25" s="17">
        <v>1314.2222220000001</v>
      </c>
      <c r="G25" s="17">
        <v>919.9169498</v>
      </c>
      <c r="H25" s="17">
        <v>919.9169498</v>
      </c>
      <c r="I25" s="17">
        <v>5.7777777779999999</v>
      </c>
      <c r="J25" t="str">
        <f t="shared" si="2"/>
        <v>Positive Experiences</v>
      </c>
    </row>
    <row r="26" spans="1:10" x14ac:dyDescent="0.2">
      <c r="A26" s="16" t="s">
        <v>517</v>
      </c>
      <c r="B26">
        <v>11</v>
      </c>
      <c r="C26" t="str">
        <f t="shared" si="0"/>
        <v>Low Order Count</v>
      </c>
      <c r="D26" s="17">
        <v>111</v>
      </c>
      <c r="E26" t="str">
        <f t="shared" si="1"/>
        <v>High Volume</v>
      </c>
      <c r="F26" s="17">
        <v>1832.4545450000001</v>
      </c>
      <c r="G26" s="17">
        <v>1009.382917</v>
      </c>
      <c r="H26" s="17">
        <v>1009.382917</v>
      </c>
      <c r="I26" s="17">
        <v>6.0909090910000003</v>
      </c>
      <c r="J26" t="str">
        <f t="shared" si="2"/>
        <v>Positive Experiences</v>
      </c>
    </row>
    <row r="27" spans="1:10" x14ac:dyDescent="0.2">
      <c r="A27" s="16" t="s">
        <v>613</v>
      </c>
      <c r="B27">
        <v>14</v>
      </c>
      <c r="C27" t="str">
        <f t="shared" si="0"/>
        <v>High Order Count</v>
      </c>
      <c r="D27" s="17">
        <v>157</v>
      </c>
      <c r="E27" t="str">
        <f t="shared" si="1"/>
        <v>High Volume</v>
      </c>
      <c r="F27" s="17">
        <v>1944.7857140000001</v>
      </c>
      <c r="G27" s="17">
        <v>1118.6368890000001</v>
      </c>
      <c r="H27" s="17">
        <v>1118.6368890000001</v>
      </c>
      <c r="I27" s="17">
        <v>5.5</v>
      </c>
      <c r="J27" t="str">
        <f t="shared" si="2"/>
        <v>Positive Experiences</v>
      </c>
    </row>
    <row r="28" spans="1:10" x14ac:dyDescent="0.2">
      <c r="A28" s="16" t="s">
        <v>164</v>
      </c>
      <c r="B28">
        <v>14</v>
      </c>
      <c r="C28" t="str">
        <f t="shared" si="0"/>
        <v>High Order Count</v>
      </c>
      <c r="D28" s="17">
        <v>145</v>
      </c>
      <c r="E28" t="str">
        <f t="shared" si="1"/>
        <v>High Volume</v>
      </c>
      <c r="F28" s="17">
        <v>1577.4285709999999</v>
      </c>
      <c r="G28" s="17">
        <v>673.55026239999995</v>
      </c>
      <c r="H28" s="17">
        <v>673.55026239999995</v>
      </c>
      <c r="I28" s="17">
        <v>5.5</v>
      </c>
      <c r="J28" t="str">
        <f t="shared" si="2"/>
        <v>Positive Experiences</v>
      </c>
    </row>
    <row r="29" spans="1:10" x14ac:dyDescent="0.2">
      <c r="A29" s="16" t="s">
        <v>681</v>
      </c>
      <c r="B29">
        <v>18</v>
      </c>
      <c r="C29" t="str">
        <f t="shared" si="0"/>
        <v>High Order Count</v>
      </c>
      <c r="D29" s="17">
        <v>171</v>
      </c>
      <c r="E29" t="str">
        <f t="shared" si="1"/>
        <v>High Volume</v>
      </c>
      <c r="F29" s="17">
        <v>1892.166667</v>
      </c>
      <c r="G29" s="17">
        <v>2002.0546870000001</v>
      </c>
      <c r="H29" s="17">
        <v>2002.0546870000001</v>
      </c>
      <c r="I29" s="17">
        <v>4.5</v>
      </c>
      <c r="J29" t="str">
        <f t="shared" si="2"/>
        <v>Disappointing Experiences</v>
      </c>
    </row>
    <row r="30" spans="1:10" x14ac:dyDescent="0.2">
      <c r="A30" s="16" t="s">
        <v>890</v>
      </c>
      <c r="B30">
        <v>12</v>
      </c>
      <c r="C30" t="str">
        <f t="shared" si="0"/>
        <v>Low Order Count</v>
      </c>
      <c r="D30" s="17">
        <v>112</v>
      </c>
      <c r="E30" t="str">
        <f t="shared" si="1"/>
        <v>High Volume</v>
      </c>
      <c r="F30" s="17">
        <v>1428.916667</v>
      </c>
      <c r="G30" s="17">
        <v>824.08521829999995</v>
      </c>
      <c r="H30" s="17">
        <v>824.08521829999995</v>
      </c>
      <c r="I30" s="17">
        <v>4.4166666670000003</v>
      </c>
      <c r="J30" t="str">
        <f t="shared" si="2"/>
        <v>Disappointing Experiences</v>
      </c>
    </row>
    <row r="31" spans="1:10" x14ac:dyDescent="0.2">
      <c r="A31" s="16" t="s">
        <v>940</v>
      </c>
      <c r="B31">
        <v>8</v>
      </c>
      <c r="C31" t="str">
        <f t="shared" si="0"/>
        <v>Low Order Count</v>
      </c>
      <c r="D31" s="17">
        <v>85</v>
      </c>
      <c r="E31" t="str">
        <f t="shared" si="1"/>
        <v>Mid-Volume</v>
      </c>
      <c r="F31" s="17">
        <v>1533</v>
      </c>
      <c r="G31" s="17">
        <v>1144.321508</v>
      </c>
      <c r="H31" s="17">
        <v>1144.321508</v>
      </c>
      <c r="I31" s="17">
        <v>6.25</v>
      </c>
      <c r="J31" t="str">
        <f t="shared" si="2"/>
        <v>Positive Experiences</v>
      </c>
    </row>
    <row r="32" spans="1:10" x14ac:dyDescent="0.2">
      <c r="A32" s="16" t="s">
        <v>376</v>
      </c>
      <c r="B32">
        <v>10</v>
      </c>
      <c r="C32" t="str">
        <f t="shared" si="0"/>
        <v>Low Order Count</v>
      </c>
      <c r="D32" s="17">
        <v>107</v>
      </c>
      <c r="E32" t="str">
        <f t="shared" si="1"/>
        <v>High Volume</v>
      </c>
      <c r="F32" s="17">
        <v>1893.8</v>
      </c>
      <c r="G32" s="17">
        <v>1590.3088310000001</v>
      </c>
      <c r="H32" s="17">
        <v>1590.3088310000001</v>
      </c>
      <c r="I32" s="17">
        <v>4.3</v>
      </c>
      <c r="J32" t="str">
        <f t="shared" si="2"/>
        <v>Disappointing Experiences</v>
      </c>
    </row>
    <row r="33" spans="1:10" x14ac:dyDescent="0.2">
      <c r="A33" s="16" t="s">
        <v>199</v>
      </c>
      <c r="B33">
        <v>14</v>
      </c>
      <c r="C33" t="str">
        <f t="shared" si="0"/>
        <v>High Order Count</v>
      </c>
      <c r="D33" s="17">
        <v>122</v>
      </c>
      <c r="E33" t="str">
        <f t="shared" si="1"/>
        <v>High Volume</v>
      </c>
      <c r="F33" s="17">
        <v>1584.7142859999999</v>
      </c>
      <c r="G33" s="17">
        <v>1471.6307240000001</v>
      </c>
      <c r="H33" s="17">
        <v>1471.6307240000001</v>
      </c>
      <c r="I33" s="17">
        <v>5.1428571429999996</v>
      </c>
      <c r="J33" t="str">
        <f t="shared" si="2"/>
        <v>Positive Experiences</v>
      </c>
    </row>
    <row r="34" spans="1:10" x14ac:dyDescent="0.2">
      <c r="A34" s="16" t="s">
        <v>633</v>
      </c>
      <c r="B34">
        <v>13</v>
      </c>
      <c r="C34" t="str">
        <f t="shared" si="0"/>
        <v>Low Order Count</v>
      </c>
      <c r="D34" s="17">
        <v>154</v>
      </c>
      <c r="E34" t="str">
        <f t="shared" si="1"/>
        <v>High Volume</v>
      </c>
      <c r="F34" s="17">
        <v>2177.7692310000002</v>
      </c>
      <c r="G34" s="17">
        <v>1726.5617159999999</v>
      </c>
      <c r="H34" s="17">
        <v>1726.5617159999999</v>
      </c>
      <c r="I34" s="17">
        <v>6.615384615</v>
      </c>
      <c r="J34" t="str">
        <f t="shared" si="2"/>
        <v>Positive Experiences</v>
      </c>
    </row>
    <row r="35" spans="1:10" x14ac:dyDescent="0.2">
      <c r="A35" s="16" t="s">
        <v>462</v>
      </c>
      <c r="B35">
        <v>14</v>
      </c>
      <c r="C35" t="str">
        <f t="shared" si="0"/>
        <v>High Order Count</v>
      </c>
      <c r="D35" s="17">
        <v>134</v>
      </c>
      <c r="E35" t="str">
        <f t="shared" si="1"/>
        <v>High Volume</v>
      </c>
      <c r="F35" s="17">
        <v>1580.5714290000001</v>
      </c>
      <c r="G35" s="17">
        <v>1557.4186099999999</v>
      </c>
      <c r="H35" s="17">
        <v>1557.4186099999999</v>
      </c>
      <c r="I35" s="17">
        <v>5.2142857139999998</v>
      </c>
      <c r="J35" t="str">
        <f t="shared" si="2"/>
        <v>Positive Experiences</v>
      </c>
    </row>
    <row r="36" spans="1:10" x14ac:dyDescent="0.2">
      <c r="A36" s="16" t="s">
        <v>167</v>
      </c>
      <c r="B36">
        <v>17</v>
      </c>
      <c r="C36" t="str">
        <f t="shared" si="0"/>
        <v>High Order Count</v>
      </c>
      <c r="D36" s="17">
        <v>170</v>
      </c>
      <c r="E36" t="str">
        <f t="shared" si="1"/>
        <v>High Volume</v>
      </c>
      <c r="F36" s="17">
        <v>2171.7058820000002</v>
      </c>
      <c r="G36" s="17">
        <v>2139.065443</v>
      </c>
      <c r="H36" s="17">
        <v>2139.065443</v>
      </c>
      <c r="I36" s="17">
        <v>6.5882352940000004</v>
      </c>
      <c r="J36" t="str">
        <f t="shared" si="2"/>
        <v>Positive Experiences</v>
      </c>
    </row>
    <row r="37" spans="1:10" x14ac:dyDescent="0.2">
      <c r="A37" s="16" t="s">
        <v>595</v>
      </c>
      <c r="B37">
        <v>10</v>
      </c>
      <c r="C37" t="str">
        <f t="shared" si="0"/>
        <v>Low Order Count</v>
      </c>
      <c r="D37" s="17">
        <v>140</v>
      </c>
      <c r="E37" t="str">
        <f t="shared" si="1"/>
        <v>High Volume</v>
      </c>
      <c r="F37" s="17">
        <v>1936.6</v>
      </c>
      <c r="G37" s="17">
        <v>1394.6650890000001</v>
      </c>
      <c r="H37" s="17">
        <v>1394.6650890000001</v>
      </c>
      <c r="I37" s="17">
        <v>5.6</v>
      </c>
      <c r="J37" t="str">
        <f t="shared" si="2"/>
        <v>Positive Experiences</v>
      </c>
    </row>
    <row r="38" spans="1:10" x14ac:dyDescent="0.2">
      <c r="A38" s="16" t="s">
        <v>357</v>
      </c>
      <c r="B38">
        <v>11</v>
      </c>
      <c r="C38" t="str">
        <f t="shared" si="0"/>
        <v>Low Order Count</v>
      </c>
      <c r="D38" s="17">
        <v>143</v>
      </c>
      <c r="E38" t="str">
        <f t="shared" si="1"/>
        <v>High Volume</v>
      </c>
      <c r="F38" s="17">
        <v>2299.636364</v>
      </c>
      <c r="G38" s="17">
        <v>1883.042181</v>
      </c>
      <c r="H38" s="17">
        <v>1883.042181</v>
      </c>
      <c r="I38" s="17">
        <v>5.7272727269999999</v>
      </c>
      <c r="J38" t="str">
        <f t="shared" si="2"/>
        <v>Positive Experiences</v>
      </c>
    </row>
    <row r="39" spans="1:10" x14ac:dyDescent="0.2">
      <c r="A39" s="16" t="s">
        <v>686</v>
      </c>
      <c r="B39">
        <v>17</v>
      </c>
      <c r="C39" t="str">
        <f t="shared" si="0"/>
        <v>High Order Count</v>
      </c>
      <c r="D39" s="17">
        <v>152</v>
      </c>
      <c r="E39" t="str">
        <f t="shared" si="1"/>
        <v>High Volume</v>
      </c>
      <c r="F39" s="17">
        <v>1387.705882</v>
      </c>
      <c r="G39" s="17">
        <v>1676.1288649999999</v>
      </c>
      <c r="H39" s="17">
        <v>1676.1288649999999</v>
      </c>
      <c r="I39" s="17">
        <v>3.588235294</v>
      </c>
      <c r="J39" t="str">
        <f t="shared" si="2"/>
        <v>Disappointing Experiences</v>
      </c>
    </row>
    <row r="40" spans="1:10" x14ac:dyDescent="0.2">
      <c r="A40" s="16" t="s">
        <v>786</v>
      </c>
      <c r="B40">
        <v>16</v>
      </c>
      <c r="C40" t="str">
        <f t="shared" si="0"/>
        <v>High Order Count</v>
      </c>
      <c r="D40" s="17">
        <v>159</v>
      </c>
      <c r="E40" t="str">
        <f t="shared" si="1"/>
        <v>High Volume</v>
      </c>
      <c r="F40" s="17">
        <v>1457.25</v>
      </c>
      <c r="G40" s="17">
        <v>1722.4873680000001</v>
      </c>
      <c r="H40" s="17">
        <v>1722.4873680000001</v>
      </c>
      <c r="I40" s="17">
        <v>5.6875</v>
      </c>
      <c r="J40" t="str">
        <f t="shared" si="2"/>
        <v>Positive Experiences</v>
      </c>
    </row>
    <row r="41" spans="1:10" x14ac:dyDescent="0.2">
      <c r="A41" s="16" t="s">
        <v>1379</v>
      </c>
      <c r="B41">
        <v>13</v>
      </c>
      <c r="C41" t="str">
        <f t="shared" si="0"/>
        <v>Low Order Count</v>
      </c>
      <c r="D41" s="17">
        <v>135</v>
      </c>
      <c r="E41" t="str">
        <f t="shared" si="1"/>
        <v>High Volume</v>
      </c>
      <c r="F41" s="17">
        <v>1708.8461540000001</v>
      </c>
      <c r="G41" s="17">
        <v>1703.347481</v>
      </c>
      <c r="H41" s="17">
        <v>1703.347481</v>
      </c>
      <c r="I41" s="17">
        <v>6.230769231</v>
      </c>
      <c r="J41" t="str">
        <f t="shared" si="2"/>
        <v>Positive Experiences</v>
      </c>
    </row>
    <row r="42" spans="1:10" x14ac:dyDescent="0.2">
      <c r="A42" s="16" t="s">
        <v>290</v>
      </c>
      <c r="B42">
        <v>16</v>
      </c>
      <c r="C42" t="str">
        <f t="shared" si="0"/>
        <v>High Order Count</v>
      </c>
      <c r="D42" s="17">
        <v>197</v>
      </c>
      <c r="E42" t="str">
        <f t="shared" si="1"/>
        <v>High Volume</v>
      </c>
      <c r="F42" s="17">
        <v>2137.3125</v>
      </c>
      <c r="G42" s="17">
        <v>1593.904419</v>
      </c>
      <c r="H42" s="17">
        <v>1593.904419</v>
      </c>
      <c r="I42" s="17">
        <v>5.5625</v>
      </c>
      <c r="J42" t="str">
        <f t="shared" si="2"/>
        <v>Positive Experiences</v>
      </c>
    </row>
    <row r="43" spans="1:10" x14ac:dyDescent="0.2">
      <c r="A43" s="16" t="s">
        <v>305</v>
      </c>
      <c r="B43">
        <v>8</v>
      </c>
      <c r="C43" t="str">
        <f t="shared" si="0"/>
        <v>Low Order Count</v>
      </c>
      <c r="D43" s="17">
        <v>83</v>
      </c>
      <c r="E43" t="str">
        <f t="shared" si="1"/>
        <v>Mid-Volume</v>
      </c>
      <c r="F43" s="17">
        <v>1104.125</v>
      </c>
      <c r="G43" s="17">
        <v>651.86467430000005</v>
      </c>
      <c r="H43" s="17">
        <v>651.86467430000005</v>
      </c>
      <c r="I43" s="17">
        <v>3.625</v>
      </c>
      <c r="J43" t="str">
        <f t="shared" si="2"/>
        <v>Disappointing Experiences</v>
      </c>
    </row>
    <row r="44" spans="1:10" x14ac:dyDescent="0.2">
      <c r="A44" s="16" t="s">
        <v>678</v>
      </c>
      <c r="B44">
        <v>14</v>
      </c>
      <c r="C44" t="str">
        <f t="shared" si="0"/>
        <v>High Order Count</v>
      </c>
      <c r="D44" s="17">
        <v>158</v>
      </c>
      <c r="E44" t="str">
        <f t="shared" si="1"/>
        <v>High Volume</v>
      </c>
      <c r="F44" s="17">
        <v>1706.9285709999999</v>
      </c>
      <c r="G44" s="17">
        <v>1458.003823</v>
      </c>
      <c r="H44" s="17">
        <v>1458.003823</v>
      </c>
      <c r="I44" s="17">
        <v>4.7857142860000002</v>
      </c>
      <c r="J44" t="str">
        <f t="shared" si="2"/>
        <v>Disappointing Experiences</v>
      </c>
    </row>
    <row r="45" spans="1:10" x14ac:dyDescent="0.2">
      <c r="A45" s="16" t="s">
        <v>274</v>
      </c>
      <c r="B45">
        <v>9</v>
      </c>
      <c r="C45" t="str">
        <f t="shared" si="0"/>
        <v>Low Order Count</v>
      </c>
      <c r="D45" s="17">
        <v>89</v>
      </c>
      <c r="E45" t="str">
        <f t="shared" si="1"/>
        <v>Mid-Volume</v>
      </c>
      <c r="F45" s="17">
        <v>1490.444444</v>
      </c>
      <c r="G45" s="17">
        <v>1206.309984</v>
      </c>
      <c r="H45" s="17">
        <v>1206.309984</v>
      </c>
      <c r="I45" s="17">
        <v>6.2222222220000001</v>
      </c>
      <c r="J45" t="str">
        <f t="shared" si="2"/>
        <v>Positive Experiences</v>
      </c>
    </row>
    <row r="46" spans="1:10" x14ac:dyDescent="0.2">
      <c r="A46" s="16" t="s">
        <v>172</v>
      </c>
      <c r="B46">
        <v>14</v>
      </c>
      <c r="C46" t="str">
        <f t="shared" si="0"/>
        <v>High Order Count</v>
      </c>
      <c r="D46" s="17">
        <v>103</v>
      </c>
      <c r="E46" t="str">
        <f t="shared" si="1"/>
        <v>High Volume</v>
      </c>
      <c r="F46" s="17">
        <v>1381.642857</v>
      </c>
      <c r="G46" s="17">
        <v>1206.023001</v>
      </c>
      <c r="H46" s="17">
        <v>1206.023001</v>
      </c>
      <c r="I46" s="17">
        <v>5.3571428570000004</v>
      </c>
      <c r="J46" t="str">
        <f t="shared" si="2"/>
        <v>Positive Experiences</v>
      </c>
    </row>
    <row r="47" spans="1:10" x14ac:dyDescent="0.2">
      <c r="A47" s="16" t="s">
        <v>32</v>
      </c>
      <c r="B47">
        <v>8</v>
      </c>
      <c r="C47" t="str">
        <f t="shared" si="0"/>
        <v>Low Order Count</v>
      </c>
      <c r="D47" s="17">
        <v>63</v>
      </c>
      <c r="E47" t="str">
        <f t="shared" si="1"/>
        <v>Mid-Volume</v>
      </c>
      <c r="F47" s="17">
        <v>1877.875</v>
      </c>
      <c r="G47" s="17">
        <v>1314.9507799999999</v>
      </c>
      <c r="H47" s="17">
        <v>1314.9507799999999</v>
      </c>
      <c r="I47" s="17">
        <v>5.125</v>
      </c>
      <c r="J47" t="str">
        <f t="shared" si="2"/>
        <v>Positive Experiences</v>
      </c>
    </row>
    <row r="48" spans="1:10" x14ac:dyDescent="0.2">
      <c r="A48" s="16" t="s">
        <v>169</v>
      </c>
      <c r="B48">
        <v>12</v>
      </c>
      <c r="C48" t="str">
        <f t="shared" si="0"/>
        <v>Low Order Count</v>
      </c>
      <c r="D48" s="17">
        <v>122</v>
      </c>
      <c r="E48" t="str">
        <f t="shared" si="1"/>
        <v>High Volume</v>
      </c>
      <c r="F48" s="17">
        <v>1953.666667</v>
      </c>
      <c r="G48" s="17">
        <v>1962.891713</v>
      </c>
      <c r="H48" s="17">
        <v>1962.891713</v>
      </c>
      <c r="I48" s="17">
        <v>5.5833333329999997</v>
      </c>
      <c r="J48" t="str">
        <f t="shared" si="2"/>
        <v>Positive Experiences</v>
      </c>
    </row>
    <row r="49" spans="1:10" x14ac:dyDescent="0.2">
      <c r="A49" s="16" t="s">
        <v>37</v>
      </c>
      <c r="B49">
        <v>9</v>
      </c>
      <c r="C49" t="str">
        <f t="shared" si="0"/>
        <v>Low Order Count</v>
      </c>
      <c r="D49" s="17">
        <v>120</v>
      </c>
      <c r="E49" t="str">
        <f t="shared" si="1"/>
        <v>High Volume</v>
      </c>
      <c r="F49" s="17">
        <v>2819.7777780000001</v>
      </c>
      <c r="G49" s="17">
        <v>2636.8618550000001</v>
      </c>
      <c r="H49" s="17">
        <v>2636.8618550000001</v>
      </c>
      <c r="I49" s="17">
        <v>7.3333333329999997</v>
      </c>
      <c r="J49" t="str">
        <f t="shared" si="2"/>
        <v>Positive Experiences</v>
      </c>
    </row>
    <row r="50" spans="1:10" x14ac:dyDescent="0.2">
      <c r="A50" s="16" t="s">
        <v>1129</v>
      </c>
      <c r="B50">
        <v>16</v>
      </c>
      <c r="C50" t="str">
        <f t="shared" si="0"/>
        <v>High Order Count</v>
      </c>
      <c r="D50" s="17">
        <v>145</v>
      </c>
      <c r="E50" t="str">
        <f t="shared" si="1"/>
        <v>High Volume</v>
      </c>
      <c r="F50" s="17">
        <v>1612.75</v>
      </c>
      <c r="G50" s="17">
        <v>1533.4626390000001</v>
      </c>
      <c r="H50" s="17">
        <v>1533.4626390000001</v>
      </c>
      <c r="I50" s="17">
        <v>6.4375</v>
      </c>
      <c r="J50" t="str">
        <f t="shared" si="2"/>
        <v>Positive Experiences</v>
      </c>
    </row>
    <row r="51" spans="1:10" x14ac:dyDescent="0.2">
      <c r="A51" s="16" t="s">
        <v>528</v>
      </c>
      <c r="B51">
        <v>17</v>
      </c>
      <c r="C51" t="str">
        <f t="shared" si="0"/>
        <v>High Order Count</v>
      </c>
      <c r="D51" s="17">
        <v>163</v>
      </c>
      <c r="E51" t="str">
        <f t="shared" si="1"/>
        <v>High Volume</v>
      </c>
      <c r="F51" s="17">
        <v>1281.5294120000001</v>
      </c>
      <c r="G51" s="17">
        <v>931.41089999999997</v>
      </c>
      <c r="H51" s="17">
        <v>931.41089999999997</v>
      </c>
      <c r="I51" s="17">
        <v>5.5882352940000004</v>
      </c>
      <c r="J51" t="str">
        <f t="shared" si="2"/>
        <v>Positive Experiences</v>
      </c>
    </row>
    <row r="52" spans="1:10" x14ac:dyDescent="0.2">
      <c r="A52" s="16" t="s">
        <v>1279</v>
      </c>
      <c r="B52">
        <v>7</v>
      </c>
      <c r="C52" t="str">
        <f t="shared" si="0"/>
        <v>Low Order Count</v>
      </c>
      <c r="D52" s="17">
        <v>59</v>
      </c>
      <c r="E52" t="str">
        <f t="shared" si="1"/>
        <v>Mid-Volume</v>
      </c>
      <c r="F52" s="17">
        <v>1842.5714290000001</v>
      </c>
      <c r="G52" s="17">
        <v>1492.3318280000001</v>
      </c>
      <c r="H52" s="17">
        <v>1492.3318280000001</v>
      </c>
      <c r="I52" s="17">
        <v>3.4285714289999998</v>
      </c>
      <c r="J52" t="str">
        <f t="shared" si="2"/>
        <v>Disappointing Experiences</v>
      </c>
    </row>
    <row r="53" spans="1:10" x14ac:dyDescent="0.2">
      <c r="A53" s="16" t="s">
        <v>474</v>
      </c>
      <c r="B53">
        <v>17</v>
      </c>
      <c r="C53" t="str">
        <f t="shared" si="0"/>
        <v>High Order Count</v>
      </c>
      <c r="D53" s="17">
        <v>208</v>
      </c>
      <c r="E53" t="str">
        <f t="shared" si="1"/>
        <v>High Volume</v>
      </c>
      <c r="F53" s="17">
        <v>2199.0588240000002</v>
      </c>
      <c r="G53" s="17">
        <v>1185.182078</v>
      </c>
      <c r="H53" s="17">
        <v>1185.182078</v>
      </c>
      <c r="I53" s="17">
        <v>5.9411764710000003</v>
      </c>
      <c r="J53" t="str">
        <f t="shared" si="2"/>
        <v>Positive Experiences</v>
      </c>
    </row>
    <row r="54" spans="1:10" x14ac:dyDescent="0.2">
      <c r="A54" s="16" t="s">
        <v>429</v>
      </c>
      <c r="B54">
        <v>9</v>
      </c>
      <c r="C54" t="str">
        <f t="shared" si="0"/>
        <v>Low Order Count</v>
      </c>
      <c r="D54" s="17">
        <v>66</v>
      </c>
      <c r="E54" t="str">
        <f t="shared" si="1"/>
        <v>Mid-Volume</v>
      </c>
      <c r="F54" s="17">
        <v>1109.7777779999999</v>
      </c>
      <c r="G54" s="17">
        <v>1375.074341</v>
      </c>
      <c r="H54" s="17">
        <v>1375.074341</v>
      </c>
      <c r="I54" s="17">
        <v>6.3333333329999997</v>
      </c>
      <c r="J54" t="str">
        <f t="shared" si="2"/>
        <v>Positive Experiences</v>
      </c>
    </row>
    <row r="55" spans="1:10" x14ac:dyDescent="0.2">
      <c r="A55" s="16" t="s">
        <v>134</v>
      </c>
      <c r="B55">
        <v>12</v>
      </c>
      <c r="C55" t="str">
        <f t="shared" si="0"/>
        <v>Low Order Count</v>
      </c>
      <c r="D55" s="17">
        <v>105</v>
      </c>
      <c r="E55" t="str">
        <f t="shared" si="1"/>
        <v>High Volume</v>
      </c>
      <c r="F55" s="17">
        <v>1534.583333</v>
      </c>
      <c r="G55" s="17">
        <v>1153.858622</v>
      </c>
      <c r="H55" s="17">
        <v>1153.858622</v>
      </c>
      <c r="I55" s="17">
        <v>3.4166666669999999</v>
      </c>
      <c r="J55" t="str">
        <f t="shared" si="2"/>
        <v>Disappointing Experiences</v>
      </c>
    </row>
    <row r="56" spans="1:10" x14ac:dyDescent="0.2">
      <c r="A56" s="16" t="s">
        <v>635</v>
      </c>
      <c r="B56">
        <v>9</v>
      </c>
      <c r="C56" t="str">
        <f t="shared" si="0"/>
        <v>Low Order Count</v>
      </c>
      <c r="D56" s="17">
        <v>85</v>
      </c>
      <c r="E56" t="str">
        <f t="shared" si="1"/>
        <v>Mid-Volume</v>
      </c>
      <c r="F56" s="17">
        <v>1189.666667</v>
      </c>
      <c r="G56" s="17">
        <v>667.49531830000001</v>
      </c>
      <c r="H56" s="17">
        <v>667.49531830000001</v>
      </c>
      <c r="I56" s="17">
        <v>5.6666666670000003</v>
      </c>
      <c r="J56" t="str">
        <f t="shared" si="2"/>
        <v>Positive Experiences</v>
      </c>
    </row>
    <row r="57" spans="1:10" x14ac:dyDescent="0.2">
      <c r="A57" s="16" t="s">
        <v>638</v>
      </c>
      <c r="B57">
        <v>20</v>
      </c>
      <c r="C57" t="str">
        <f t="shared" si="0"/>
        <v>High Order Count</v>
      </c>
      <c r="D57" s="17">
        <v>210</v>
      </c>
      <c r="E57" t="str">
        <f t="shared" si="1"/>
        <v>High Volume</v>
      </c>
      <c r="F57" s="17">
        <v>1902.4</v>
      </c>
      <c r="G57" s="17">
        <v>1576.2439830000001</v>
      </c>
      <c r="H57" s="17">
        <v>1576.2439830000001</v>
      </c>
      <c r="I57" s="17">
        <v>5.65</v>
      </c>
      <c r="J57" t="str">
        <f t="shared" si="2"/>
        <v>Positive Experiences</v>
      </c>
    </row>
    <row r="58" spans="1:10" x14ac:dyDescent="0.2">
      <c r="A58" s="16" t="s">
        <v>241</v>
      </c>
      <c r="B58">
        <v>15</v>
      </c>
      <c r="C58" t="str">
        <f t="shared" si="0"/>
        <v>High Order Count</v>
      </c>
      <c r="D58" s="17">
        <v>193</v>
      </c>
      <c r="E58" t="str">
        <f t="shared" si="1"/>
        <v>High Volume</v>
      </c>
      <c r="F58" s="17">
        <v>2120.2666669999999</v>
      </c>
      <c r="G58" s="17">
        <v>1676.8671670000001</v>
      </c>
      <c r="H58" s="17">
        <v>1676.8671670000001</v>
      </c>
      <c r="I58" s="17">
        <v>6.0666666669999998</v>
      </c>
      <c r="J58" t="str">
        <f t="shared" si="2"/>
        <v>Positive Experiences</v>
      </c>
    </row>
    <row r="59" spans="1:10" x14ac:dyDescent="0.2">
      <c r="A59" s="16" t="s">
        <v>738</v>
      </c>
      <c r="B59">
        <v>15</v>
      </c>
      <c r="C59" t="str">
        <f t="shared" si="0"/>
        <v>High Order Count</v>
      </c>
      <c r="D59" s="17">
        <v>173</v>
      </c>
      <c r="E59" t="str">
        <f t="shared" si="1"/>
        <v>High Volume</v>
      </c>
      <c r="F59" s="17">
        <v>1461.9333329999999</v>
      </c>
      <c r="G59" s="17">
        <v>916.87454090000006</v>
      </c>
      <c r="H59" s="17">
        <v>916.87454090000006</v>
      </c>
      <c r="I59" s="17">
        <v>8</v>
      </c>
      <c r="J59" t="str">
        <f t="shared" si="2"/>
        <v>Positive Experiences</v>
      </c>
    </row>
    <row r="60" spans="1:10" x14ac:dyDescent="0.2">
      <c r="A60" s="16" t="s">
        <v>1012</v>
      </c>
      <c r="B60">
        <v>12</v>
      </c>
      <c r="C60" t="str">
        <f t="shared" si="0"/>
        <v>Low Order Count</v>
      </c>
      <c r="D60" s="17">
        <v>161</v>
      </c>
      <c r="E60" t="str">
        <f t="shared" si="1"/>
        <v>High Volume</v>
      </c>
      <c r="F60" s="17">
        <v>3104.583333</v>
      </c>
      <c r="G60" s="17">
        <v>1948.0710489999999</v>
      </c>
      <c r="H60" s="17">
        <v>1948.0710489999999</v>
      </c>
      <c r="I60" s="17">
        <v>5.5</v>
      </c>
      <c r="J60" t="str">
        <f t="shared" si="2"/>
        <v>Positive Experiences</v>
      </c>
    </row>
    <row r="61" spans="1:10" x14ac:dyDescent="0.2">
      <c r="A61" s="16" t="s">
        <v>938</v>
      </c>
      <c r="B61">
        <v>14</v>
      </c>
      <c r="C61" t="str">
        <f t="shared" si="0"/>
        <v>High Order Count</v>
      </c>
      <c r="D61" s="17">
        <v>163</v>
      </c>
      <c r="E61" t="str">
        <f t="shared" si="1"/>
        <v>High Volume</v>
      </c>
      <c r="F61" s="17">
        <v>2464.7142859999999</v>
      </c>
      <c r="G61" s="17">
        <v>2071.5395400000002</v>
      </c>
      <c r="H61" s="17">
        <v>2071.5395400000002</v>
      </c>
      <c r="I61" s="17">
        <v>5.2142857139999998</v>
      </c>
      <c r="J61" t="str">
        <f t="shared" si="2"/>
        <v>Positive Experiences</v>
      </c>
    </row>
    <row r="62" spans="1:10" x14ac:dyDescent="0.2">
      <c r="A62" s="16" t="s">
        <v>535</v>
      </c>
      <c r="B62">
        <v>8</v>
      </c>
      <c r="C62" t="str">
        <f t="shared" si="0"/>
        <v>Low Order Count</v>
      </c>
      <c r="D62" s="17">
        <v>84</v>
      </c>
      <c r="E62" t="str">
        <f t="shared" si="1"/>
        <v>Mid-Volume</v>
      </c>
      <c r="F62" s="17">
        <v>2113</v>
      </c>
      <c r="G62" s="17">
        <v>1937.935868</v>
      </c>
      <c r="H62" s="17">
        <v>1937.935868</v>
      </c>
      <c r="I62" s="17">
        <v>5.25</v>
      </c>
      <c r="J62" t="str">
        <f t="shared" si="2"/>
        <v>Positive Experiences</v>
      </c>
    </row>
    <row r="63" spans="1:10" x14ac:dyDescent="0.2">
      <c r="A63" s="16" t="s">
        <v>435</v>
      </c>
      <c r="B63">
        <v>14</v>
      </c>
      <c r="C63" t="str">
        <f t="shared" si="0"/>
        <v>High Order Count</v>
      </c>
      <c r="D63" s="17">
        <v>159</v>
      </c>
      <c r="E63" t="str">
        <f t="shared" si="1"/>
        <v>High Volume</v>
      </c>
      <c r="F63" s="17">
        <v>2243.0714290000001</v>
      </c>
      <c r="G63" s="17">
        <v>1544.0524339999999</v>
      </c>
      <c r="H63" s="17">
        <v>1544.0524339999999</v>
      </c>
      <c r="I63" s="17">
        <v>5.2142857139999998</v>
      </c>
      <c r="J63" t="str">
        <f t="shared" si="2"/>
        <v>Positive Experiences</v>
      </c>
    </row>
    <row r="64" spans="1:10" x14ac:dyDescent="0.2">
      <c r="A64" s="16" t="s">
        <v>745</v>
      </c>
      <c r="B64">
        <v>12</v>
      </c>
      <c r="C64" t="str">
        <f t="shared" si="0"/>
        <v>Low Order Count</v>
      </c>
      <c r="D64" s="17">
        <v>147</v>
      </c>
      <c r="E64" t="str">
        <f t="shared" si="1"/>
        <v>High Volume</v>
      </c>
      <c r="F64" s="17">
        <v>2181</v>
      </c>
      <c r="G64" s="17">
        <v>1997.7025900000001</v>
      </c>
      <c r="H64" s="17">
        <v>1997.7025900000001</v>
      </c>
      <c r="I64" s="17">
        <v>6.4166666670000003</v>
      </c>
      <c r="J64" t="str">
        <f t="shared" si="2"/>
        <v>Positive Experiences</v>
      </c>
    </row>
    <row r="65" spans="1:10" x14ac:dyDescent="0.2">
      <c r="A65" s="16" t="s">
        <v>643</v>
      </c>
      <c r="B65">
        <v>16</v>
      </c>
      <c r="C65" t="str">
        <f t="shared" si="0"/>
        <v>High Order Count</v>
      </c>
      <c r="D65" s="17">
        <v>135</v>
      </c>
      <c r="E65" t="str">
        <f t="shared" si="1"/>
        <v>High Volume</v>
      </c>
      <c r="F65" s="17">
        <v>1559.375</v>
      </c>
      <c r="G65" s="17">
        <v>1546.460857</v>
      </c>
      <c r="H65" s="17">
        <v>1546.460857</v>
      </c>
      <c r="I65" s="17">
        <v>6.875</v>
      </c>
      <c r="J65" t="str">
        <f t="shared" si="2"/>
        <v>Positive Experiences</v>
      </c>
    </row>
    <row r="66" spans="1:10" x14ac:dyDescent="0.2">
      <c r="A66" s="16" t="s">
        <v>225</v>
      </c>
      <c r="B66">
        <v>9</v>
      </c>
      <c r="C66" t="str">
        <f t="shared" si="0"/>
        <v>Low Order Count</v>
      </c>
      <c r="D66" s="17">
        <v>93</v>
      </c>
      <c r="E66" t="str">
        <f t="shared" si="1"/>
        <v>Mid-Volume</v>
      </c>
      <c r="F66" s="17">
        <v>1582.1111109999999</v>
      </c>
      <c r="G66" s="17">
        <v>1151.9436229999999</v>
      </c>
      <c r="H66" s="17">
        <v>1151.9436229999999</v>
      </c>
      <c r="I66" s="17">
        <v>5.1111111109999996</v>
      </c>
      <c r="J66" t="str">
        <f t="shared" si="2"/>
        <v>Positive Experiences</v>
      </c>
    </row>
    <row r="67" spans="1:10" x14ac:dyDescent="0.2">
      <c r="A67" s="16" t="s">
        <v>281</v>
      </c>
      <c r="B67">
        <v>16</v>
      </c>
      <c r="C67" t="str">
        <f t="shared" ref="C67:C130" si="3">IF(B67&gt;13,"High Order Count", "Low Order Count")</f>
        <v>High Order Count</v>
      </c>
      <c r="D67" s="17">
        <v>174</v>
      </c>
      <c r="E67" t="str">
        <f t="shared" ref="E67:E130" si="4">IF(D67&lt;=50,"Low Volume",IF(D67&gt;100,"High Volume","Mid-Volume"))</f>
        <v>High Volume</v>
      </c>
      <c r="F67" s="17">
        <v>1832.25</v>
      </c>
      <c r="G67" s="17">
        <v>1165.9099739999999</v>
      </c>
      <c r="H67" s="17">
        <v>1165.9099739999999</v>
      </c>
      <c r="I67" s="17">
        <v>3.875</v>
      </c>
      <c r="J67" t="str">
        <f t="shared" ref="J67:J130" si="5">IF(I67&gt;5,"Positive Experiences","Disappointing Experiences")</f>
        <v>Disappointing Experiences</v>
      </c>
    </row>
    <row r="68" spans="1:10" x14ac:dyDescent="0.2">
      <c r="A68" s="16" t="s">
        <v>1091</v>
      </c>
      <c r="B68">
        <v>11</v>
      </c>
      <c r="C68" t="str">
        <f t="shared" si="3"/>
        <v>Low Order Count</v>
      </c>
      <c r="D68" s="17">
        <v>125</v>
      </c>
      <c r="E68" t="str">
        <f t="shared" si="4"/>
        <v>High Volume</v>
      </c>
      <c r="F68" s="17">
        <v>1626.090909</v>
      </c>
      <c r="G68" s="17">
        <v>1024.1623360000001</v>
      </c>
      <c r="H68" s="17">
        <v>1024.1623360000001</v>
      </c>
      <c r="I68" s="17">
        <v>5.5454545450000001</v>
      </c>
      <c r="J68" t="str">
        <f t="shared" si="5"/>
        <v>Positive Experiences</v>
      </c>
    </row>
    <row r="69" spans="1:10" x14ac:dyDescent="0.2">
      <c r="A69" s="16" t="s">
        <v>329</v>
      </c>
      <c r="B69">
        <v>15</v>
      </c>
      <c r="C69" t="str">
        <f t="shared" si="3"/>
        <v>High Order Count</v>
      </c>
      <c r="D69" s="17">
        <v>158</v>
      </c>
      <c r="E69" t="str">
        <f t="shared" si="4"/>
        <v>High Volume</v>
      </c>
      <c r="F69" s="17">
        <v>1713.4666669999999</v>
      </c>
      <c r="G69" s="17">
        <v>965.70735490000004</v>
      </c>
      <c r="H69" s="17">
        <v>965.70735490000004</v>
      </c>
      <c r="I69" s="17">
        <v>5.266666667</v>
      </c>
      <c r="J69" t="str">
        <f t="shared" si="5"/>
        <v>Positive Experiences</v>
      </c>
    </row>
    <row r="70" spans="1:10" x14ac:dyDescent="0.2">
      <c r="A70" s="16" t="s">
        <v>351</v>
      </c>
      <c r="B70">
        <v>13</v>
      </c>
      <c r="C70" t="str">
        <f t="shared" si="3"/>
        <v>Low Order Count</v>
      </c>
      <c r="D70" s="17">
        <v>124</v>
      </c>
      <c r="E70" t="str">
        <f t="shared" si="4"/>
        <v>High Volume</v>
      </c>
      <c r="F70" s="17">
        <v>1780.538462</v>
      </c>
      <c r="G70" s="17">
        <v>1155.1956990000001</v>
      </c>
      <c r="H70" s="17">
        <v>1155.1956990000001</v>
      </c>
      <c r="I70" s="17">
        <v>5.461538462</v>
      </c>
      <c r="J70" t="str">
        <f t="shared" si="5"/>
        <v>Positive Experiences</v>
      </c>
    </row>
    <row r="71" spans="1:10" x14ac:dyDescent="0.2">
      <c r="A71" s="16" t="s">
        <v>716</v>
      </c>
      <c r="B71">
        <v>8</v>
      </c>
      <c r="C71" t="str">
        <f t="shared" si="3"/>
        <v>Low Order Count</v>
      </c>
      <c r="D71" s="17">
        <v>88</v>
      </c>
      <c r="E71" t="str">
        <f t="shared" si="4"/>
        <v>Mid-Volume</v>
      </c>
      <c r="F71" s="17">
        <v>2080.75</v>
      </c>
      <c r="G71" s="17">
        <v>1731.3928129999999</v>
      </c>
      <c r="H71" s="17">
        <v>1731.3928129999999</v>
      </c>
      <c r="I71" s="17">
        <v>5.75</v>
      </c>
      <c r="J71" t="str">
        <f t="shared" si="5"/>
        <v>Positive Experiences</v>
      </c>
    </row>
    <row r="72" spans="1:10" x14ac:dyDescent="0.2">
      <c r="A72" s="16" t="s">
        <v>205</v>
      </c>
      <c r="B72">
        <v>17</v>
      </c>
      <c r="C72" t="str">
        <f t="shared" si="3"/>
        <v>High Order Count</v>
      </c>
      <c r="D72" s="17">
        <v>180</v>
      </c>
      <c r="E72" t="str">
        <f t="shared" si="4"/>
        <v>High Volume</v>
      </c>
      <c r="F72" s="17">
        <v>1975.823529</v>
      </c>
      <c r="G72" s="17">
        <v>1892.992645</v>
      </c>
      <c r="H72" s="17">
        <v>1892.992645</v>
      </c>
      <c r="I72" s="17">
        <v>5.9411764710000003</v>
      </c>
      <c r="J72" t="str">
        <f t="shared" si="5"/>
        <v>Positive Experiences</v>
      </c>
    </row>
    <row r="73" spans="1:10" x14ac:dyDescent="0.2">
      <c r="A73" s="16" t="s">
        <v>318</v>
      </c>
      <c r="B73">
        <v>20</v>
      </c>
      <c r="C73" t="str">
        <f t="shared" si="3"/>
        <v>High Order Count</v>
      </c>
      <c r="D73" s="17">
        <v>193</v>
      </c>
      <c r="E73" t="str">
        <f t="shared" si="4"/>
        <v>High Volume</v>
      </c>
      <c r="F73" s="17">
        <v>1389.9</v>
      </c>
      <c r="G73" s="17">
        <v>1162.1670730000001</v>
      </c>
      <c r="H73" s="17">
        <v>1162.1670730000001</v>
      </c>
      <c r="I73" s="17">
        <v>6.1</v>
      </c>
      <c r="J73" t="str">
        <f t="shared" si="5"/>
        <v>Positive Experiences</v>
      </c>
    </row>
    <row r="74" spans="1:10" x14ac:dyDescent="0.2">
      <c r="A74" s="16" t="s">
        <v>440</v>
      </c>
      <c r="B74">
        <v>16</v>
      </c>
      <c r="C74" t="str">
        <f t="shared" si="3"/>
        <v>High Order Count</v>
      </c>
      <c r="D74" s="17">
        <v>217</v>
      </c>
      <c r="E74" t="str">
        <f t="shared" si="4"/>
        <v>High Volume</v>
      </c>
      <c r="F74" s="17">
        <v>2726</v>
      </c>
      <c r="G74" s="17">
        <v>1723.697731</v>
      </c>
      <c r="H74" s="17">
        <v>1723.697731</v>
      </c>
      <c r="I74" s="17">
        <v>6.625</v>
      </c>
      <c r="J74" t="str">
        <f t="shared" si="5"/>
        <v>Positive Experiences</v>
      </c>
    </row>
    <row r="75" spans="1:10" x14ac:dyDescent="0.2">
      <c r="A75" s="16" t="s">
        <v>569</v>
      </c>
      <c r="B75">
        <v>18</v>
      </c>
      <c r="C75" t="str">
        <f t="shared" si="3"/>
        <v>High Order Count</v>
      </c>
      <c r="D75" s="17">
        <v>182</v>
      </c>
      <c r="E75" t="str">
        <f t="shared" si="4"/>
        <v>High Volume</v>
      </c>
      <c r="F75" s="17">
        <v>2164.9444440000002</v>
      </c>
      <c r="G75" s="17">
        <v>1488.2614599999999</v>
      </c>
      <c r="H75" s="17">
        <v>1488.2614599999999</v>
      </c>
      <c r="I75" s="17">
        <v>4.7222222220000001</v>
      </c>
      <c r="J75" t="str">
        <f t="shared" si="5"/>
        <v>Disappointing Experiences</v>
      </c>
    </row>
    <row r="76" spans="1:10" x14ac:dyDescent="0.2">
      <c r="A76" s="16" t="s">
        <v>384</v>
      </c>
      <c r="B76">
        <v>15</v>
      </c>
      <c r="C76" t="str">
        <f t="shared" si="3"/>
        <v>High Order Count</v>
      </c>
      <c r="D76" s="17">
        <v>129</v>
      </c>
      <c r="E76" t="str">
        <f t="shared" si="4"/>
        <v>High Volume</v>
      </c>
      <c r="F76" s="17">
        <v>1342.133333</v>
      </c>
      <c r="G76" s="17">
        <v>1255.28556</v>
      </c>
      <c r="H76" s="17">
        <v>1255.28556</v>
      </c>
      <c r="I76" s="17">
        <v>6.733333333</v>
      </c>
      <c r="J76" t="str">
        <f t="shared" si="5"/>
        <v>Positive Experiences</v>
      </c>
    </row>
    <row r="77" spans="1:10" x14ac:dyDescent="0.2">
      <c r="A77" s="16" t="s">
        <v>576</v>
      </c>
      <c r="B77">
        <v>14</v>
      </c>
      <c r="C77" t="str">
        <f t="shared" si="3"/>
        <v>High Order Count</v>
      </c>
      <c r="D77" s="17">
        <v>151</v>
      </c>
      <c r="E77" t="str">
        <f t="shared" si="4"/>
        <v>High Volume</v>
      </c>
      <c r="F77" s="17">
        <v>2006.0714290000001</v>
      </c>
      <c r="G77" s="17">
        <v>1580.0247549999999</v>
      </c>
      <c r="H77" s="17">
        <v>1580.0247549999999</v>
      </c>
      <c r="I77" s="17">
        <v>4.2857142860000002</v>
      </c>
      <c r="J77" t="str">
        <f t="shared" si="5"/>
        <v>Disappointing Experiences</v>
      </c>
    </row>
    <row r="78" spans="1:10" x14ac:dyDescent="0.2">
      <c r="A78" s="16" t="s">
        <v>665</v>
      </c>
      <c r="B78">
        <v>10</v>
      </c>
      <c r="C78" t="str">
        <f t="shared" si="3"/>
        <v>Low Order Count</v>
      </c>
      <c r="D78" s="17">
        <v>94</v>
      </c>
      <c r="E78" t="str">
        <f t="shared" si="4"/>
        <v>Mid-Volume</v>
      </c>
      <c r="F78" s="17">
        <v>1610.5</v>
      </c>
      <c r="G78" s="17">
        <v>1666.855139</v>
      </c>
      <c r="H78" s="17">
        <v>1666.855139</v>
      </c>
      <c r="I78" s="17">
        <v>6.1</v>
      </c>
      <c r="J78" t="str">
        <f t="shared" si="5"/>
        <v>Positive Experiences</v>
      </c>
    </row>
    <row r="79" spans="1:10" x14ac:dyDescent="0.2">
      <c r="A79" s="16" t="s">
        <v>506</v>
      </c>
      <c r="B79">
        <v>15</v>
      </c>
      <c r="C79" t="str">
        <f t="shared" si="3"/>
        <v>High Order Count</v>
      </c>
      <c r="D79" s="17">
        <v>151</v>
      </c>
      <c r="E79" t="str">
        <f t="shared" si="4"/>
        <v>High Volume</v>
      </c>
      <c r="F79" s="17">
        <v>1060</v>
      </c>
      <c r="G79" s="17">
        <v>1103.104386</v>
      </c>
      <c r="H79" s="17">
        <v>1103.104386</v>
      </c>
      <c r="I79" s="17">
        <v>6.8</v>
      </c>
      <c r="J79" t="str">
        <f t="shared" si="5"/>
        <v>Positive Experiences</v>
      </c>
    </row>
    <row r="80" spans="1:10" x14ac:dyDescent="0.2">
      <c r="A80" s="16" t="s">
        <v>844</v>
      </c>
      <c r="B80">
        <v>12</v>
      </c>
      <c r="C80" t="str">
        <f t="shared" si="3"/>
        <v>Low Order Count</v>
      </c>
      <c r="D80" s="17">
        <v>122</v>
      </c>
      <c r="E80" t="str">
        <f t="shared" si="4"/>
        <v>High Volume</v>
      </c>
      <c r="F80" s="17">
        <v>1476.416667</v>
      </c>
      <c r="G80" s="17">
        <v>1285.580481</v>
      </c>
      <c r="H80" s="17">
        <v>1285.580481</v>
      </c>
      <c r="I80" s="17">
        <v>4.8333333329999997</v>
      </c>
      <c r="J80" t="str">
        <f t="shared" si="5"/>
        <v>Disappointing Experiences</v>
      </c>
    </row>
    <row r="81" spans="1:10" x14ac:dyDescent="0.2">
      <c r="A81" s="16" t="s">
        <v>492</v>
      </c>
      <c r="B81">
        <v>19</v>
      </c>
      <c r="C81" t="str">
        <f t="shared" si="3"/>
        <v>High Order Count</v>
      </c>
      <c r="D81" s="17">
        <v>177</v>
      </c>
      <c r="E81" t="str">
        <f t="shared" si="4"/>
        <v>High Volume</v>
      </c>
      <c r="F81" s="17">
        <v>1592.1052629999999</v>
      </c>
      <c r="G81" s="17">
        <v>1146.187782</v>
      </c>
      <c r="H81" s="17">
        <v>1146.187782</v>
      </c>
      <c r="I81" s="17">
        <v>6.5263157889999999</v>
      </c>
      <c r="J81" t="str">
        <f t="shared" si="5"/>
        <v>Positive Experiences</v>
      </c>
    </row>
    <row r="82" spans="1:10" x14ac:dyDescent="0.2">
      <c r="A82" s="16" t="s">
        <v>1101</v>
      </c>
      <c r="B82">
        <v>7</v>
      </c>
      <c r="C82" t="str">
        <f t="shared" si="3"/>
        <v>Low Order Count</v>
      </c>
      <c r="D82" s="17">
        <v>53</v>
      </c>
      <c r="E82" t="str">
        <f t="shared" si="4"/>
        <v>Mid-Volume</v>
      </c>
      <c r="F82" s="17">
        <v>1211.857143</v>
      </c>
      <c r="G82" s="17">
        <v>1506.9318089999999</v>
      </c>
      <c r="H82" s="17">
        <v>1506.9318089999999</v>
      </c>
      <c r="I82" s="17">
        <v>5.8571428570000004</v>
      </c>
      <c r="J82" t="str">
        <f t="shared" si="5"/>
        <v>Positive Experiences</v>
      </c>
    </row>
    <row r="83" spans="1:10" x14ac:dyDescent="0.2">
      <c r="A83" s="16" t="s">
        <v>815</v>
      </c>
      <c r="B83">
        <v>12</v>
      </c>
      <c r="C83" t="str">
        <f t="shared" si="3"/>
        <v>Low Order Count</v>
      </c>
      <c r="D83" s="17">
        <v>167</v>
      </c>
      <c r="E83" t="str">
        <f t="shared" si="4"/>
        <v>High Volume</v>
      </c>
      <c r="F83" s="17">
        <v>2251.333333</v>
      </c>
      <c r="G83" s="17">
        <v>1740.7789439999999</v>
      </c>
      <c r="H83" s="17">
        <v>1740.7789439999999</v>
      </c>
      <c r="I83" s="17">
        <v>6</v>
      </c>
      <c r="J83" t="str">
        <f t="shared" si="5"/>
        <v>Positive Experiences</v>
      </c>
    </row>
    <row r="84" spans="1:10" x14ac:dyDescent="0.2">
      <c r="A84" s="16" t="s">
        <v>161</v>
      </c>
      <c r="B84">
        <v>19</v>
      </c>
      <c r="C84" t="str">
        <f t="shared" si="3"/>
        <v>High Order Count</v>
      </c>
      <c r="D84" s="17">
        <v>209</v>
      </c>
      <c r="E84" t="str">
        <f t="shared" si="4"/>
        <v>High Volume</v>
      </c>
      <c r="F84" s="17">
        <v>1542.2105260000001</v>
      </c>
      <c r="G84" s="17">
        <v>1186.7900959999999</v>
      </c>
      <c r="H84" s="17">
        <v>1186.7900959999999</v>
      </c>
      <c r="I84" s="17">
        <v>5.7894736839999998</v>
      </c>
      <c r="J84" t="str">
        <f t="shared" si="5"/>
        <v>Positive Experiences</v>
      </c>
    </row>
    <row r="85" spans="1:10" x14ac:dyDescent="0.2">
      <c r="A85" s="16" t="s">
        <v>1195</v>
      </c>
      <c r="B85">
        <v>14</v>
      </c>
      <c r="C85" t="str">
        <f t="shared" si="3"/>
        <v>High Order Count</v>
      </c>
      <c r="D85" s="17">
        <v>127</v>
      </c>
      <c r="E85" t="str">
        <f t="shared" si="4"/>
        <v>High Volume</v>
      </c>
      <c r="F85" s="17">
        <v>1339.142857</v>
      </c>
      <c r="G85" s="17">
        <v>803.83636460000002</v>
      </c>
      <c r="H85" s="17">
        <v>803.83636460000002</v>
      </c>
      <c r="I85" s="17">
        <v>5.5714285710000002</v>
      </c>
      <c r="J85" t="str">
        <f t="shared" si="5"/>
        <v>Positive Experiences</v>
      </c>
    </row>
    <row r="86" spans="1:10" x14ac:dyDescent="0.2">
      <c r="A86" s="16" t="s">
        <v>691</v>
      </c>
      <c r="B86">
        <v>16</v>
      </c>
      <c r="C86" t="str">
        <f t="shared" si="3"/>
        <v>High Order Count</v>
      </c>
      <c r="D86" s="17">
        <v>176</v>
      </c>
      <c r="E86" t="str">
        <f t="shared" si="4"/>
        <v>High Volume</v>
      </c>
      <c r="F86" s="17">
        <v>1412.1875</v>
      </c>
      <c r="G86" s="17">
        <v>1466.559976</v>
      </c>
      <c r="H86" s="17">
        <v>1466.559976</v>
      </c>
      <c r="I86" s="17">
        <v>5.25</v>
      </c>
      <c r="J86" t="str">
        <f t="shared" si="5"/>
        <v>Positive Experiences</v>
      </c>
    </row>
    <row r="87" spans="1:10" x14ac:dyDescent="0.2">
      <c r="A87" s="16" t="s">
        <v>980</v>
      </c>
      <c r="B87">
        <v>16</v>
      </c>
      <c r="C87" t="str">
        <f t="shared" si="3"/>
        <v>High Order Count</v>
      </c>
      <c r="D87" s="17">
        <v>173</v>
      </c>
      <c r="E87" t="str">
        <f t="shared" si="4"/>
        <v>High Volume</v>
      </c>
      <c r="F87" s="17">
        <v>1782.125</v>
      </c>
      <c r="G87" s="17">
        <v>1506.7360249999999</v>
      </c>
      <c r="H87" s="17">
        <v>1506.7360249999999</v>
      </c>
      <c r="I87" s="17">
        <v>5.25</v>
      </c>
      <c r="J87" t="str">
        <f t="shared" si="5"/>
        <v>Positive Experiences</v>
      </c>
    </row>
    <row r="88" spans="1:10" x14ac:dyDescent="0.2">
      <c r="A88" s="16" t="s">
        <v>131</v>
      </c>
      <c r="B88">
        <v>14</v>
      </c>
      <c r="C88" t="str">
        <f t="shared" si="3"/>
        <v>High Order Count</v>
      </c>
      <c r="D88" s="17">
        <v>187</v>
      </c>
      <c r="E88" t="str">
        <f t="shared" si="4"/>
        <v>High Volume</v>
      </c>
      <c r="F88" s="17">
        <v>2443.7142859999999</v>
      </c>
      <c r="G88" s="17">
        <v>1353.8359419999999</v>
      </c>
      <c r="H88" s="17">
        <v>1353.8359419999999</v>
      </c>
      <c r="I88" s="17">
        <v>5.5714285710000002</v>
      </c>
      <c r="J88" t="str">
        <f t="shared" si="5"/>
        <v>Positive Experiences</v>
      </c>
    </row>
    <row r="89" spans="1:10" x14ac:dyDescent="0.2">
      <c r="A89" s="16" t="s">
        <v>892</v>
      </c>
      <c r="B89">
        <v>12</v>
      </c>
      <c r="C89" t="str">
        <f t="shared" si="3"/>
        <v>Low Order Count</v>
      </c>
      <c r="D89" s="17">
        <v>157</v>
      </c>
      <c r="E89" t="str">
        <f t="shared" si="4"/>
        <v>High Volume</v>
      </c>
      <c r="F89" s="17">
        <v>2533.916667</v>
      </c>
      <c r="G89" s="17">
        <v>1424.1868790000001</v>
      </c>
      <c r="H89" s="17">
        <v>1424.1868790000001</v>
      </c>
      <c r="I89" s="17">
        <v>5.5833333329999997</v>
      </c>
      <c r="J89" t="str">
        <f t="shared" si="5"/>
        <v>Positive Experiences</v>
      </c>
    </row>
    <row r="90" spans="1:10" x14ac:dyDescent="0.2">
      <c r="A90" s="16" t="s">
        <v>152</v>
      </c>
      <c r="B90">
        <v>13</v>
      </c>
      <c r="C90" t="str">
        <f t="shared" si="3"/>
        <v>Low Order Count</v>
      </c>
      <c r="D90" s="17">
        <v>155</v>
      </c>
      <c r="E90" t="str">
        <f t="shared" si="4"/>
        <v>High Volume</v>
      </c>
      <c r="F90" s="17">
        <v>1812.769231</v>
      </c>
      <c r="G90" s="17">
        <v>1266.1056530000001</v>
      </c>
      <c r="H90" s="17">
        <v>1266.1056530000001</v>
      </c>
      <c r="I90" s="17">
        <v>6.230769231</v>
      </c>
      <c r="J90" t="str">
        <f t="shared" si="5"/>
        <v>Positive Experiences</v>
      </c>
    </row>
    <row r="91" spans="1:10" x14ac:dyDescent="0.2">
      <c r="A91" s="16" t="s">
        <v>862</v>
      </c>
      <c r="B91">
        <v>16</v>
      </c>
      <c r="C91" t="str">
        <f t="shared" si="3"/>
        <v>High Order Count</v>
      </c>
      <c r="D91" s="17">
        <v>168</v>
      </c>
      <c r="E91" t="str">
        <f t="shared" si="4"/>
        <v>High Volume</v>
      </c>
      <c r="F91" s="17">
        <v>1707.8125</v>
      </c>
      <c r="G91" s="17">
        <v>1533.2912839999999</v>
      </c>
      <c r="H91" s="17">
        <v>1533.2912839999999</v>
      </c>
      <c r="I91" s="17">
        <v>4.0625</v>
      </c>
      <c r="J91" t="str">
        <f t="shared" si="5"/>
        <v>Disappointing Experiences</v>
      </c>
    </row>
    <row r="92" spans="1:10" x14ac:dyDescent="0.2">
      <c r="A92" s="16" t="s">
        <v>1401</v>
      </c>
      <c r="B92">
        <v>9</v>
      </c>
      <c r="C92" t="str">
        <f t="shared" si="3"/>
        <v>Low Order Count</v>
      </c>
      <c r="D92" s="17">
        <v>103</v>
      </c>
      <c r="E92" t="str">
        <f t="shared" si="4"/>
        <v>High Volume</v>
      </c>
      <c r="F92" s="17">
        <v>1483.8888890000001</v>
      </c>
      <c r="G92" s="17">
        <v>1984.246232</v>
      </c>
      <c r="H92" s="17">
        <v>1984.246232</v>
      </c>
      <c r="I92" s="17">
        <v>5.7777777779999999</v>
      </c>
      <c r="J92" t="str">
        <f t="shared" si="5"/>
        <v>Positive Experiences</v>
      </c>
    </row>
    <row r="93" spans="1:10" x14ac:dyDescent="0.2">
      <c r="A93" s="16" t="s">
        <v>521</v>
      </c>
      <c r="B93">
        <v>20</v>
      </c>
      <c r="C93" t="str">
        <f t="shared" si="3"/>
        <v>High Order Count</v>
      </c>
      <c r="D93" s="17">
        <v>207</v>
      </c>
      <c r="E93" t="str">
        <f t="shared" si="4"/>
        <v>High Volume</v>
      </c>
      <c r="F93" s="17">
        <v>1761.05</v>
      </c>
      <c r="G93" s="17">
        <v>1255.2079920000001</v>
      </c>
      <c r="H93" s="17">
        <v>1255.2079920000001</v>
      </c>
      <c r="I93" s="17">
        <v>5.25</v>
      </c>
      <c r="J93" t="str">
        <f t="shared" si="5"/>
        <v>Positive Experiences</v>
      </c>
    </row>
    <row r="94" spans="1:10" x14ac:dyDescent="0.2">
      <c r="A94" s="16" t="s">
        <v>189</v>
      </c>
      <c r="B94">
        <v>12</v>
      </c>
      <c r="C94" t="str">
        <f t="shared" si="3"/>
        <v>Low Order Count</v>
      </c>
      <c r="D94" s="17">
        <v>101</v>
      </c>
      <c r="E94" t="str">
        <f t="shared" si="4"/>
        <v>High Volume</v>
      </c>
      <c r="F94" s="17">
        <v>2105.583333</v>
      </c>
      <c r="G94" s="17">
        <v>1893.2586369999999</v>
      </c>
      <c r="H94" s="17">
        <v>1893.2586369999999</v>
      </c>
      <c r="I94" s="17">
        <v>4.8333333329999997</v>
      </c>
      <c r="J94" t="str">
        <f t="shared" si="5"/>
        <v>Disappointing Experiences</v>
      </c>
    </row>
    <row r="95" spans="1:10" x14ac:dyDescent="0.2">
      <c r="A95" s="16" t="s">
        <v>331</v>
      </c>
      <c r="B95">
        <v>11</v>
      </c>
      <c r="C95" t="str">
        <f t="shared" si="3"/>
        <v>Low Order Count</v>
      </c>
      <c r="D95" s="17">
        <v>130</v>
      </c>
      <c r="E95" t="str">
        <f t="shared" si="4"/>
        <v>High Volume</v>
      </c>
      <c r="F95" s="17">
        <v>1908.181818</v>
      </c>
      <c r="G95" s="17">
        <v>2022.851543</v>
      </c>
      <c r="H95" s="17">
        <v>2022.851543</v>
      </c>
      <c r="I95" s="17">
        <v>4.7272727269999999</v>
      </c>
      <c r="J95" t="str">
        <f t="shared" si="5"/>
        <v>Disappointing Experiences</v>
      </c>
    </row>
    <row r="96" spans="1:10" x14ac:dyDescent="0.2">
      <c r="A96" s="16" t="s">
        <v>811</v>
      </c>
      <c r="B96">
        <v>7</v>
      </c>
      <c r="C96" t="str">
        <f t="shared" si="3"/>
        <v>Low Order Count</v>
      </c>
      <c r="D96" s="17">
        <v>52</v>
      </c>
      <c r="E96" t="str">
        <f t="shared" si="4"/>
        <v>Mid-Volume</v>
      </c>
      <c r="F96" s="17">
        <v>876</v>
      </c>
      <c r="G96" s="17">
        <v>704.57173750000004</v>
      </c>
      <c r="H96" s="17">
        <v>704.57173750000004</v>
      </c>
      <c r="I96" s="17">
        <v>7.2857142860000002</v>
      </c>
      <c r="J96" t="str">
        <f t="shared" si="5"/>
        <v>Positive Experiences</v>
      </c>
    </row>
    <row r="97" spans="1:10" x14ac:dyDescent="0.2">
      <c r="A97" s="16" t="s">
        <v>875</v>
      </c>
      <c r="B97">
        <v>11</v>
      </c>
      <c r="C97" t="str">
        <f t="shared" si="3"/>
        <v>Low Order Count</v>
      </c>
      <c r="D97" s="17">
        <v>169</v>
      </c>
      <c r="E97" t="str">
        <f t="shared" si="4"/>
        <v>High Volume</v>
      </c>
      <c r="F97" s="17">
        <v>2925.818182</v>
      </c>
      <c r="G97" s="17">
        <v>1496.022849</v>
      </c>
      <c r="H97" s="17">
        <v>1496.022849</v>
      </c>
      <c r="I97" s="17">
        <v>5.7272727269999999</v>
      </c>
      <c r="J97" t="str">
        <f t="shared" si="5"/>
        <v>Positive Experiences</v>
      </c>
    </row>
    <row r="98" spans="1:10" x14ac:dyDescent="0.2">
      <c r="A98" s="16" t="s">
        <v>448</v>
      </c>
      <c r="B98">
        <v>16</v>
      </c>
      <c r="C98" t="str">
        <f t="shared" si="3"/>
        <v>High Order Count</v>
      </c>
      <c r="D98" s="17">
        <v>182</v>
      </c>
      <c r="E98" t="str">
        <f t="shared" si="4"/>
        <v>High Volume</v>
      </c>
      <c r="F98" s="17">
        <v>1505.3125</v>
      </c>
      <c r="G98" s="17">
        <v>1163.912695</v>
      </c>
      <c r="H98" s="17">
        <v>1163.912695</v>
      </c>
      <c r="I98" s="17">
        <v>5.25</v>
      </c>
      <c r="J98" t="str">
        <f t="shared" si="5"/>
        <v>Positive Experiences</v>
      </c>
    </row>
    <row r="99" spans="1:10" x14ac:dyDescent="0.2">
      <c r="A99" s="16" t="s">
        <v>277</v>
      </c>
      <c r="B99">
        <v>16</v>
      </c>
      <c r="C99" t="str">
        <f t="shared" si="3"/>
        <v>High Order Count</v>
      </c>
      <c r="D99" s="17">
        <v>161</v>
      </c>
      <c r="E99" t="str">
        <f t="shared" si="4"/>
        <v>High Volume</v>
      </c>
      <c r="F99" s="17">
        <v>1511.0625</v>
      </c>
      <c r="G99" s="17">
        <v>1804.9837110000001</v>
      </c>
      <c r="H99" s="17">
        <v>1804.9837110000001</v>
      </c>
      <c r="I99" s="17">
        <v>5.625</v>
      </c>
      <c r="J99" t="str">
        <f t="shared" si="5"/>
        <v>Positive Experiences</v>
      </c>
    </row>
    <row r="100" spans="1:10" x14ac:dyDescent="0.2">
      <c r="A100" s="16" t="s">
        <v>406</v>
      </c>
      <c r="B100">
        <v>13</v>
      </c>
      <c r="C100" t="str">
        <f t="shared" si="3"/>
        <v>Low Order Count</v>
      </c>
      <c r="D100" s="17">
        <v>141</v>
      </c>
      <c r="E100" t="str">
        <f t="shared" si="4"/>
        <v>High Volume</v>
      </c>
      <c r="F100" s="17">
        <v>2019</v>
      </c>
      <c r="G100" s="17">
        <v>1672.7844050000001</v>
      </c>
      <c r="H100" s="17">
        <v>1672.7844050000001</v>
      </c>
      <c r="I100" s="17">
        <v>6.153846154</v>
      </c>
      <c r="J100" t="str">
        <f t="shared" si="5"/>
        <v>Positive Experiences</v>
      </c>
    </row>
    <row r="101" spans="1:10" x14ac:dyDescent="0.2">
      <c r="A101" s="16" t="s">
        <v>246</v>
      </c>
      <c r="B101">
        <v>12</v>
      </c>
      <c r="C101" t="str">
        <f t="shared" si="3"/>
        <v>Low Order Count</v>
      </c>
      <c r="D101" s="17">
        <v>136</v>
      </c>
      <c r="E101" t="str">
        <f t="shared" si="4"/>
        <v>High Volume</v>
      </c>
      <c r="F101" s="17">
        <v>1518.166667</v>
      </c>
      <c r="G101" s="17">
        <v>922.24211309999998</v>
      </c>
      <c r="H101" s="17">
        <v>922.24211309999998</v>
      </c>
      <c r="I101" s="17">
        <v>4.9166666670000003</v>
      </c>
      <c r="J101" t="str">
        <f t="shared" si="5"/>
        <v>Disappointing Experiences</v>
      </c>
    </row>
    <row r="102" spans="1:10" x14ac:dyDescent="0.2">
      <c r="A102" s="16" t="s">
        <v>401</v>
      </c>
      <c r="B102">
        <v>19</v>
      </c>
      <c r="C102" t="str">
        <f t="shared" si="3"/>
        <v>High Order Count</v>
      </c>
      <c r="D102" s="17">
        <v>246</v>
      </c>
      <c r="E102" t="str">
        <f t="shared" si="4"/>
        <v>High Volume</v>
      </c>
      <c r="F102" s="17">
        <v>2089.6842109999998</v>
      </c>
      <c r="G102" s="17">
        <v>1484.524842</v>
      </c>
      <c r="H102" s="17">
        <v>1484.524842</v>
      </c>
      <c r="I102" s="17">
        <v>6.6315789470000004</v>
      </c>
      <c r="J102" t="str">
        <f t="shared" si="5"/>
        <v>Positive Experiences</v>
      </c>
    </row>
    <row r="103" spans="1:10" x14ac:dyDescent="0.2">
      <c r="A103" s="16" t="s">
        <v>149</v>
      </c>
      <c r="B103">
        <v>13</v>
      </c>
      <c r="C103" t="str">
        <f t="shared" si="3"/>
        <v>Low Order Count</v>
      </c>
      <c r="D103" s="17">
        <v>115</v>
      </c>
      <c r="E103" t="str">
        <f t="shared" si="4"/>
        <v>High Volume</v>
      </c>
      <c r="F103" s="17">
        <v>1391.230769</v>
      </c>
      <c r="G103" s="17">
        <v>1822.8848089999999</v>
      </c>
      <c r="H103" s="17">
        <v>1822.8848089999999</v>
      </c>
      <c r="I103" s="17">
        <v>4.846153846</v>
      </c>
      <c r="J103" t="str">
        <f t="shared" si="5"/>
        <v>Disappointing Experiences</v>
      </c>
    </row>
    <row r="104" spans="1:10" x14ac:dyDescent="0.2">
      <c r="A104" s="16" t="s">
        <v>371</v>
      </c>
      <c r="B104">
        <v>16</v>
      </c>
      <c r="C104" t="str">
        <f t="shared" si="3"/>
        <v>High Order Count</v>
      </c>
      <c r="D104" s="17">
        <v>131</v>
      </c>
      <c r="E104" t="str">
        <f t="shared" si="4"/>
        <v>High Volume</v>
      </c>
      <c r="F104" s="17">
        <v>1273.6875</v>
      </c>
      <c r="G104" s="17">
        <v>1093.3813439999999</v>
      </c>
      <c r="H104" s="17">
        <v>1093.3813439999999</v>
      </c>
      <c r="I104" s="17">
        <v>7.25</v>
      </c>
      <c r="J104" t="str">
        <f t="shared" si="5"/>
        <v>Positive Experiences</v>
      </c>
    </row>
    <row r="105" spans="1:10" x14ac:dyDescent="0.2">
      <c r="A105" s="16" t="s">
        <v>903</v>
      </c>
      <c r="B105">
        <v>11</v>
      </c>
      <c r="C105" t="str">
        <f t="shared" si="3"/>
        <v>Low Order Count</v>
      </c>
      <c r="D105" s="17">
        <v>144</v>
      </c>
      <c r="E105" t="str">
        <f t="shared" si="4"/>
        <v>High Volume</v>
      </c>
      <c r="F105" s="17">
        <v>1718.909091</v>
      </c>
      <c r="G105" s="17">
        <v>1382.6966010000001</v>
      </c>
      <c r="H105" s="17">
        <v>1382.6966010000001</v>
      </c>
      <c r="I105" s="17">
        <v>5.0909090910000003</v>
      </c>
      <c r="J105" t="str">
        <f t="shared" si="5"/>
        <v>Positive Experiences</v>
      </c>
    </row>
    <row r="106" spans="1:10" x14ac:dyDescent="0.2">
      <c r="A106" s="16" t="s">
        <v>611</v>
      </c>
      <c r="B106">
        <v>17</v>
      </c>
      <c r="C106" t="str">
        <f t="shared" si="3"/>
        <v>High Order Count</v>
      </c>
      <c r="D106" s="17">
        <v>197</v>
      </c>
      <c r="E106" t="str">
        <f t="shared" si="4"/>
        <v>High Volume</v>
      </c>
      <c r="F106" s="17">
        <v>1586.2352940000001</v>
      </c>
      <c r="G106" s="17">
        <v>1115.696281</v>
      </c>
      <c r="H106" s="17">
        <v>1115.696281</v>
      </c>
      <c r="I106" s="17">
        <v>5.5294117649999999</v>
      </c>
      <c r="J106" t="str">
        <f t="shared" si="5"/>
        <v>Positive Experiences</v>
      </c>
    </row>
    <row r="107" spans="1:10" x14ac:dyDescent="0.2">
      <c r="A107" s="16" t="s">
        <v>186</v>
      </c>
      <c r="B107">
        <v>19</v>
      </c>
      <c r="C107" t="str">
        <f t="shared" si="3"/>
        <v>High Order Count</v>
      </c>
      <c r="D107" s="17">
        <v>170</v>
      </c>
      <c r="E107" t="str">
        <f t="shared" si="4"/>
        <v>High Volume</v>
      </c>
      <c r="F107" s="17">
        <v>1379.2105260000001</v>
      </c>
      <c r="G107" s="17">
        <v>1258.860842</v>
      </c>
      <c r="H107" s="17">
        <v>1258.860842</v>
      </c>
      <c r="I107" s="17">
        <v>6</v>
      </c>
      <c r="J107" t="str">
        <f t="shared" si="5"/>
        <v>Positive Experiences</v>
      </c>
    </row>
    <row r="108" spans="1:10" x14ac:dyDescent="0.2">
      <c r="A108" s="16" t="s">
        <v>589</v>
      </c>
      <c r="B108">
        <v>11</v>
      </c>
      <c r="C108" t="str">
        <f t="shared" si="3"/>
        <v>Low Order Count</v>
      </c>
      <c r="D108" s="17">
        <v>103</v>
      </c>
      <c r="E108" t="str">
        <f t="shared" si="4"/>
        <v>High Volume</v>
      </c>
      <c r="F108" s="17">
        <v>1536.181818</v>
      </c>
      <c r="G108" s="17">
        <v>1102.3268860000001</v>
      </c>
      <c r="H108" s="17">
        <v>1102.3268860000001</v>
      </c>
      <c r="I108" s="17">
        <v>4.8181818180000002</v>
      </c>
      <c r="J108" t="str">
        <f t="shared" si="5"/>
        <v>Disappointing Experiences</v>
      </c>
    </row>
    <row r="109" spans="1:10" x14ac:dyDescent="0.2">
      <c r="A109" s="16" t="s">
        <v>854</v>
      </c>
      <c r="B109">
        <v>14</v>
      </c>
      <c r="C109" t="str">
        <f t="shared" si="3"/>
        <v>High Order Count</v>
      </c>
      <c r="D109" s="17">
        <v>158</v>
      </c>
      <c r="E109" t="str">
        <f t="shared" si="4"/>
        <v>High Volume</v>
      </c>
      <c r="F109" s="17">
        <v>2049.7142859999999</v>
      </c>
      <c r="G109" s="17">
        <v>2279.732489</v>
      </c>
      <c r="H109" s="17">
        <v>2279.732489</v>
      </c>
      <c r="I109" s="17">
        <v>5.7142857139999998</v>
      </c>
      <c r="J109" t="str">
        <f t="shared" si="5"/>
        <v>Positive Experiences</v>
      </c>
    </row>
    <row r="110" spans="1:10" x14ac:dyDescent="0.2">
      <c r="A110" s="16" t="s">
        <v>1721</v>
      </c>
      <c r="B110">
        <v>13</v>
      </c>
      <c r="C110" t="str">
        <f t="shared" si="3"/>
        <v>Low Order Count</v>
      </c>
      <c r="D110" s="17">
        <v>99</v>
      </c>
      <c r="E110" t="str">
        <f t="shared" si="4"/>
        <v>Mid-Volume</v>
      </c>
      <c r="F110" s="17">
        <v>2204.7692310000002</v>
      </c>
      <c r="G110" s="17">
        <v>2151.8168350000001</v>
      </c>
      <c r="H110" s="17">
        <v>2151.8168350000001</v>
      </c>
      <c r="I110" s="17">
        <v>5</v>
      </c>
      <c r="J110" t="str">
        <f t="shared" si="5"/>
        <v>Disappointing Experiences</v>
      </c>
    </row>
    <row r="111" spans="1:10" x14ac:dyDescent="0.2">
      <c r="A111" s="16" t="s">
        <v>910</v>
      </c>
      <c r="B111">
        <v>11</v>
      </c>
      <c r="C111" t="str">
        <f t="shared" si="3"/>
        <v>Low Order Count</v>
      </c>
      <c r="D111" s="17">
        <v>77</v>
      </c>
      <c r="E111" t="str">
        <f t="shared" si="4"/>
        <v>Mid-Volume</v>
      </c>
      <c r="F111" s="17">
        <v>1731.5454549999999</v>
      </c>
      <c r="G111" s="17">
        <v>1549.9554419999999</v>
      </c>
      <c r="H111" s="17">
        <v>1549.9554419999999</v>
      </c>
      <c r="I111" s="17">
        <v>4.8181818180000002</v>
      </c>
      <c r="J111" t="str">
        <f t="shared" si="5"/>
        <v>Disappointing Experiences</v>
      </c>
    </row>
    <row r="112" spans="1:10" x14ac:dyDescent="0.2">
      <c r="A112" s="16" t="s">
        <v>1042</v>
      </c>
      <c r="B112">
        <v>13</v>
      </c>
      <c r="C112" t="str">
        <f t="shared" si="3"/>
        <v>Low Order Count</v>
      </c>
      <c r="D112" s="17">
        <v>127</v>
      </c>
      <c r="E112" t="str">
        <f t="shared" si="4"/>
        <v>High Volume</v>
      </c>
      <c r="F112" s="17">
        <v>1706.1538459999999</v>
      </c>
      <c r="G112" s="17">
        <v>1526.1809000000001</v>
      </c>
      <c r="H112" s="17">
        <v>1526.1809000000001</v>
      </c>
      <c r="I112" s="17">
        <v>5.538461538</v>
      </c>
      <c r="J112" t="str">
        <f t="shared" si="5"/>
        <v>Positive Experiences</v>
      </c>
    </row>
    <row r="113" spans="1:10" x14ac:dyDescent="0.2">
      <c r="A113" s="16" t="s">
        <v>183</v>
      </c>
      <c r="B113">
        <v>16</v>
      </c>
      <c r="C113" t="str">
        <f t="shared" si="3"/>
        <v>High Order Count</v>
      </c>
      <c r="D113" s="17">
        <v>186</v>
      </c>
      <c r="E113" t="str">
        <f t="shared" si="4"/>
        <v>High Volume</v>
      </c>
      <c r="F113" s="17">
        <v>1907.125</v>
      </c>
      <c r="G113" s="17">
        <v>1253.3154360000001</v>
      </c>
      <c r="H113" s="17">
        <v>1253.3154360000001</v>
      </c>
      <c r="I113" s="17">
        <v>5.5</v>
      </c>
      <c r="J113" t="str">
        <f t="shared" si="5"/>
        <v>Positive Experiences</v>
      </c>
    </row>
    <row r="114" spans="1:10" x14ac:dyDescent="0.2">
      <c r="A114" s="16" t="s">
        <v>416</v>
      </c>
      <c r="B114">
        <v>17</v>
      </c>
      <c r="C114" t="str">
        <f t="shared" si="3"/>
        <v>High Order Count</v>
      </c>
      <c r="D114" s="17">
        <v>188</v>
      </c>
      <c r="E114" t="str">
        <f t="shared" si="4"/>
        <v>High Volume</v>
      </c>
      <c r="F114" s="17">
        <v>2107.9411759999998</v>
      </c>
      <c r="G114" s="17">
        <v>1711.945694</v>
      </c>
      <c r="H114" s="17">
        <v>1711.945694</v>
      </c>
      <c r="I114" s="17">
        <v>6.8823529409999997</v>
      </c>
      <c r="J114" t="str">
        <f t="shared" si="5"/>
        <v>Positive Experiences</v>
      </c>
    </row>
    <row r="115" spans="1:10" x14ac:dyDescent="0.2">
      <c r="A115" s="16" t="s">
        <v>158</v>
      </c>
      <c r="B115">
        <v>9</v>
      </c>
      <c r="C115" t="str">
        <f t="shared" si="3"/>
        <v>Low Order Count</v>
      </c>
      <c r="D115" s="17">
        <v>117</v>
      </c>
      <c r="E115" t="str">
        <f t="shared" si="4"/>
        <v>High Volume</v>
      </c>
      <c r="F115" s="17">
        <v>2344.8888889999998</v>
      </c>
      <c r="G115" s="17">
        <v>2209.9581699999999</v>
      </c>
      <c r="H115" s="17">
        <v>2209.9581699999999</v>
      </c>
      <c r="I115" s="17">
        <v>6.6666666670000003</v>
      </c>
      <c r="J115" t="str">
        <f t="shared" si="5"/>
        <v>Positive Experiences</v>
      </c>
    </row>
    <row r="116" spans="1:10" x14ac:dyDescent="0.2">
      <c r="A116" s="16" t="s">
        <v>997</v>
      </c>
      <c r="B116">
        <v>7</v>
      </c>
      <c r="C116" t="str">
        <f t="shared" si="3"/>
        <v>Low Order Count</v>
      </c>
      <c r="D116" s="17">
        <v>57</v>
      </c>
      <c r="E116" t="str">
        <f t="shared" si="4"/>
        <v>Mid-Volume</v>
      </c>
      <c r="F116" s="17">
        <v>1703.857143</v>
      </c>
      <c r="G116" s="17">
        <v>1111.699664</v>
      </c>
      <c r="H116" s="17">
        <v>1111.699664</v>
      </c>
      <c r="I116" s="17">
        <v>7.2857142860000002</v>
      </c>
      <c r="J116" t="str">
        <f t="shared" si="5"/>
        <v>Positive Experiences</v>
      </c>
    </row>
    <row r="117" spans="1:10" x14ac:dyDescent="0.2">
      <c r="A117" s="16" t="s">
        <v>202</v>
      </c>
      <c r="B117">
        <v>19</v>
      </c>
      <c r="C117" t="str">
        <f t="shared" si="3"/>
        <v>High Order Count</v>
      </c>
      <c r="D117" s="17">
        <v>188</v>
      </c>
      <c r="E117" t="str">
        <f t="shared" si="4"/>
        <v>High Volume</v>
      </c>
      <c r="F117" s="17">
        <v>1379.263158</v>
      </c>
      <c r="G117" s="17">
        <v>896.00848470000005</v>
      </c>
      <c r="H117" s="17">
        <v>896.00848470000005</v>
      </c>
      <c r="I117" s="17">
        <v>5.2105263160000002</v>
      </c>
      <c r="J117" t="str">
        <f t="shared" si="5"/>
        <v>Positive Experiences</v>
      </c>
    </row>
    <row r="118" spans="1:10" x14ac:dyDescent="0.2">
      <c r="A118" s="16" t="s">
        <v>531</v>
      </c>
      <c r="B118">
        <v>15</v>
      </c>
      <c r="C118" t="str">
        <f t="shared" si="3"/>
        <v>High Order Count</v>
      </c>
      <c r="D118" s="17">
        <v>168</v>
      </c>
      <c r="E118" t="str">
        <f t="shared" si="4"/>
        <v>High Volume</v>
      </c>
      <c r="F118" s="17">
        <v>1322.0666670000001</v>
      </c>
      <c r="G118" s="17">
        <v>1241.4305380000001</v>
      </c>
      <c r="H118" s="17">
        <v>1241.4305380000001</v>
      </c>
      <c r="I118" s="17">
        <v>5.4666666670000001</v>
      </c>
      <c r="J118" t="str">
        <f t="shared" si="5"/>
        <v>Positive Experiences</v>
      </c>
    </row>
    <row r="119" spans="1:10" x14ac:dyDescent="0.2">
      <c r="A119" s="16" t="s">
        <v>210</v>
      </c>
      <c r="B119">
        <v>12</v>
      </c>
      <c r="C119" t="str">
        <f t="shared" si="3"/>
        <v>Low Order Count</v>
      </c>
      <c r="D119" s="17">
        <v>134</v>
      </c>
      <c r="E119" t="str">
        <f t="shared" si="4"/>
        <v>High Volume</v>
      </c>
      <c r="F119" s="17">
        <v>1752.833333</v>
      </c>
      <c r="G119" s="17">
        <v>1172.467936</v>
      </c>
      <c r="H119" s="17">
        <v>1172.467936</v>
      </c>
      <c r="I119" s="17">
        <v>6.3333333329999997</v>
      </c>
      <c r="J119" t="str">
        <f t="shared" si="5"/>
        <v>Positive Experiences</v>
      </c>
    </row>
    <row r="120" spans="1:10" x14ac:dyDescent="0.2">
      <c r="A120" s="16" t="s">
        <v>1008</v>
      </c>
      <c r="B120">
        <v>16</v>
      </c>
      <c r="C120" t="str">
        <f t="shared" si="3"/>
        <v>High Order Count</v>
      </c>
      <c r="D120" s="17">
        <v>170</v>
      </c>
      <c r="E120" t="str">
        <f t="shared" si="4"/>
        <v>High Volume</v>
      </c>
      <c r="F120" s="17">
        <v>1998.8125</v>
      </c>
      <c r="G120" s="17">
        <v>1472.3417730000001</v>
      </c>
      <c r="H120" s="17">
        <v>1472.3417730000001</v>
      </c>
      <c r="I120" s="17">
        <v>6.125</v>
      </c>
      <c r="J120" t="str">
        <f t="shared" si="5"/>
        <v>Positive Experiences</v>
      </c>
    </row>
    <row r="121" spans="1:10" x14ac:dyDescent="0.2">
      <c r="A121" s="16" t="s">
        <v>471</v>
      </c>
      <c r="B121">
        <v>12</v>
      </c>
      <c r="C121" t="str">
        <f t="shared" si="3"/>
        <v>Low Order Count</v>
      </c>
      <c r="D121" s="17">
        <v>131</v>
      </c>
      <c r="E121" t="str">
        <f t="shared" si="4"/>
        <v>High Volume</v>
      </c>
      <c r="F121" s="17">
        <v>1909.416667</v>
      </c>
      <c r="G121" s="17">
        <v>1612.3919249999999</v>
      </c>
      <c r="H121" s="17">
        <v>1612.3919249999999</v>
      </c>
      <c r="I121" s="17">
        <v>5.5833333329999997</v>
      </c>
      <c r="J121" t="str">
        <f t="shared" si="5"/>
        <v>Positive Experiences</v>
      </c>
    </row>
    <row r="122" spans="1:10" x14ac:dyDescent="0.2">
      <c r="A122" s="16" t="s">
        <v>958</v>
      </c>
      <c r="B122">
        <v>12</v>
      </c>
      <c r="C122" t="str">
        <f t="shared" si="3"/>
        <v>Low Order Count</v>
      </c>
      <c r="D122" s="17">
        <v>140</v>
      </c>
      <c r="E122" t="str">
        <f t="shared" si="4"/>
        <v>High Volume</v>
      </c>
      <c r="F122" s="17">
        <v>2118.833333</v>
      </c>
      <c r="G122" s="17">
        <v>1541.0535850000001</v>
      </c>
      <c r="H122" s="17">
        <v>1541.0535850000001</v>
      </c>
      <c r="I122" s="17">
        <v>4.3333333329999997</v>
      </c>
      <c r="J122" t="str">
        <f t="shared" si="5"/>
        <v>Disappointing Experiences</v>
      </c>
    </row>
    <row r="123" spans="1:10" x14ac:dyDescent="0.2">
      <c r="A123" s="16" t="s">
        <v>626</v>
      </c>
      <c r="B123">
        <v>14</v>
      </c>
      <c r="C123" t="str">
        <f t="shared" si="3"/>
        <v>High Order Count</v>
      </c>
      <c r="D123" s="17">
        <v>129</v>
      </c>
      <c r="E123" t="str">
        <f t="shared" si="4"/>
        <v>High Volume</v>
      </c>
      <c r="F123" s="17">
        <v>1706.9285709999999</v>
      </c>
      <c r="G123" s="17">
        <v>1651.566364</v>
      </c>
      <c r="H123" s="17">
        <v>1651.566364</v>
      </c>
      <c r="I123" s="17">
        <v>5.4285714289999998</v>
      </c>
      <c r="J123" t="str">
        <f t="shared" si="5"/>
        <v>Positive Experiences</v>
      </c>
    </row>
    <row r="124" spans="1:10" x14ac:dyDescent="0.2">
      <c r="A124" s="16" t="s">
        <v>802</v>
      </c>
      <c r="B124">
        <v>11</v>
      </c>
      <c r="C124" t="str">
        <f t="shared" si="3"/>
        <v>Low Order Count</v>
      </c>
      <c r="D124" s="17">
        <v>124</v>
      </c>
      <c r="E124" t="str">
        <f t="shared" si="4"/>
        <v>High Volume</v>
      </c>
      <c r="F124" s="17">
        <v>1757.4545450000001</v>
      </c>
      <c r="G124" s="17">
        <v>1415.7553009999999</v>
      </c>
      <c r="H124" s="17">
        <v>1415.7553009999999</v>
      </c>
      <c r="I124" s="17">
        <v>6</v>
      </c>
      <c r="J124" t="str">
        <f t="shared" si="5"/>
        <v>Positive Experiences</v>
      </c>
    </row>
    <row r="125" spans="1:10" x14ac:dyDescent="0.2">
      <c r="A125" s="16" t="s">
        <v>574</v>
      </c>
      <c r="B125">
        <v>16</v>
      </c>
      <c r="C125" t="str">
        <f t="shared" si="3"/>
        <v>High Order Count</v>
      </c>
      <c r="D125" s="17">
        <v>150</v>
      </c>
      <c r="E125" t="str">
        <f t="shared" si="4"/>
        <v>High Volume</v>
      </c>
      <c r="F125" s="17">
        <v>1425.0625</v>
      </c>
      <c r="G125" s="17">
        <v>1638.411486</v>
      </c>
      <c r="H125" s="17">
        <v>1638.411486</v>
      </c>
      <c r="I125" s="17">
        <v>6.125</v>
      </c>
      <c r="J125" t="str">
        <f t="shared" si="5"/>
        <v>Positive Experiences</v>
      </c>
    </row>
    <row r="126" spans="1:10" x14ac:dyDescent="0.2">
      <c r="A126" s="16" t="s">
        <v>310</v>
      </c>
      <c r="B126">
        <v>17</v>
      </c>
      <c r="C126" t="str">
        <f t="shared" si="3"/>
        <v>High Order Count</v>
      </c>
      <c r="D126" s="17">
        <v>184</v>
      </c>
      <c r="E126" t="str">
        <f t="shared" si="4"/>
        <v>High Volume</v>
      </c>
      <c r="F126" s="17">
        <v>1694.4117650000001</v>
      </c>
      <c r="G126" s="17">
        <v>1639.1987389999999</v>
      </c>
      <c r="H126" s="17">
        <v>1639.1987389999999</v>
      </c>
      <c r="I126" s="17">
        <v>6.4117647059999996</v>
      </c>
      <c r="J126" t="str">
        <f t="shared" si="5"/>
        <v>Positive Experiences</v>
      </c>
    </row>
    <row r="127" spans="1:10" x14ac:dyDescent="0.2">
      <c r="A127" s="16" t="s">
        <v>498</v>
      </c>
      <c r="B127">
        <v>8</v>
      </c>
      <c r="C127" t="str">
        <f t="shared" si="3"/>
        <v>Low Order Count</v>
      </c>
      <c r="D127" s="17">
        <v>98</v>
      </c>
      <c r="E127" t="str">
        <f t="shared" si="4"/>
        <v>Mid-Volume</v>
      </c>
      <c r="F127" s="17">
        <v>1735</v>
      </c>
      <c r="G127" s="17">
        <v>1089.143176</v>
      </c>
      <c r="H127" s="17">
        <v>1089.143176</v>
      </c>
      <c r="I127" s="17">
        <v>5.75</v>
      </c>
      <c r="J127" t="str">
        <f t="shared" si="5"/>
        <v>Positive Experiences</v>
      </c>
    </row>
    <row r="128" spans="1:10" x14ac:dyDescent="0.2">
      <c r="A128" s="16" t="s">
        <v>73</v>
      </c>
      <c r="B128">
        <v>15</v>
      </c>
      <c r="C128" t="str">
        <f t="shared" si="3"/>
        <v>High Order Count</v>
      </c>
      <c r="D128" s="17">
        <v>127</v>
      </c>
      <c r="E128" t="str">
        <f t="shared" si="4"/>
        <v>High Volume</v>
      </c>
      <c r="F128" s="17">
        <v>1702.2</v>
      </c>
      <c r="G128" s="17">
        <v>1007.565255</v>
      </c>
      <c r="H128" s="17">
        <v>1007.565255</v>
      </c>
      <c r="I128" s="17">
        <v>5.8</v>
      </c>
      <c r="J128" t="str">
        <f t="shared" si="5"/>
        <v>Positive Experiences</v>
      </c>
    </row>
    <row r="129" spans="1:10" x14ac:dyDescent="0.2">
      <c r="A129" s="16" t="s">
        <v>213</v>
      </c>
      <c r="B129">
        <v>19</v>
      </c>
      <c r="C129" t="str">
        <f t="shared" si="3"/>
        <v>High Order Count</v>
      </c>
      <c r="D129" s="17">
        <v>218</v>
      </c>
      <c r="E129" t="str">
        <f t="shared" si="4"/>
        <v>High Volume</v>
      </c>
      <c r="F129" s="17">
        <v>1808</v>
      </c>
      <c r="G129" s="17">
        <v>1506.2888539999999</v>
      </c>
      <c r="H129" s="17">
        <v>1506.2888539999999</v>
      </c>
      <c r="I129" s="17">
        <v>5.2105263160000002</v>
      </c>
      <c r="J129" t="str">
        <f t="shared" si="5"/>
        <v>Positive Experiences</v>
      </c>
    </row>
    <row r="130" spans="1:10" x14ac:dyDescent="0.2">
      <c r="A130" s="16" t="s">
        <v>513</v>
      </c>
      <c r="B130">
        <v>13</v>
      </c>
      <c r="C130" t="str">
        <f t="shared" si="3"/>
        <v>Low Order Count</v>
      </c>
      <c r="D130" s="17">
        <v>146</v>
      </c>
      <c r="E130" t="str">
        <f t="shared" si="4"/>
        <v>High Volume</v>
      </c>
      <c r="F130" s="17">
        <v>2539.2307689999998</v>
      </c>
      <c r="G130" s="17">
        <v>1967.467838</v>
      </c>
      <c r="H130" s="17">
        <v>1967.467838</v>
      </c>
      <c r="I130" s="17">
        <v>5.538461538</v>
      </c>
      <c r="J130" t="str">
        <f t="shared" si="5"/>
        <v>Positive Experiences</v>
      </c>
    </row>
    <row r="131" spans="1:10" x14ac:dyDescent="0.2">
      <c r="A131" s="16" t="s">
        <v>82</v>
      </c>
      <c r="B131">
        <v>11</v>
      </c>
      <c r="C131" t="str">
        <f t="shared" ref="C131:C194" si="6">IF(B131&gt;13,"High Order Count", "Low Order Count")</f>
        <v>Low Order Count</v>
      </c>
      <c r="D131" s="17">
        <v>105</v>
      </c>
      <c r="E131" t="str">
        <f t="shared" ref="E131:E194" si="7">IF(D131&lt;=50,"Low Volume",IF(D131&gt;100,"High Volume","Mid-Volume"))</f>
        <v>High Volume</v>
      </c>
      <c r="F131" s="17">
        <v>1934.272727</v>
      </c>
      <c r="G131" s="17">
        <v>1826.4716860000001</v>
      </c>
      <c r="H131" s="17">
        <v>1826.4716860000001</v>
      </c>
      <c r="I131" s="17">
        <v>6.0909090910000003</v>
      </c>
      <c r="J131" t="str">
        <f t="shared" ref="J131:J194" si="8">IF(I131&gt;5,"Positive Experiences","Disappointing Experiences")</f>
        <v>Positive Experiences</v>
      </c>
    </row>
    <row r="132" spans="1:10" x14ac:dyDescent="0.2">
      <c r="A132" s="16" t="s">
        <v>57</v>
      </c>
      <c r="B132">
        <v>17</v>
      </c>
      <c r="C132" t="str">
        <f t="shared" si="6"/>
        <v>High Order Count</v>
      </c>
      <c r="D132" s="17">
        <v>178</v>
      </c>
      <c r="E132" t="str">
        <f t="shared" si="7"/>
        <v>High Volume</v>
      </c>
      <c r="F132" s="17">
        <v>1811.294118</v>
      </c>
      <c r="G132" s="17">
        <v>1628.2523900000001</v>
      </c>
      <c r="H132" s="17">
        <v>1628.2523900000001</v>
      </c>
      <c r="I132" s="17">
        <v>5.4705882350000001</v>
      </c>
      <c r="J132" t="str">
        <f t="shared" si="8"/>
        <v>Positive Experiences</v>
      </c>
    </row>
    <row r="133" spans="1:10" x14ac:dyDescent="0.2">
      <c r="A133" s="16" t="s">
        <v>216</v>
      </c>
      <c r="B133">
        <v>13</v>
      </c>
      <c r="C133" t="str">
        <f t="shared" si="6"/>
        <v>Low Order Count</v>
      </c>
      <c r="D133" s="17">
        <v>111</v>
      </c>
      <c r="E133" t="str">
        <f t="shared" si="7"/>
        <v>High Volume</v>
      </c>
      <c r="F133" s="17">
        <v>1639.6923079999999</v>
      </c>
      <c r="G133" s="17">
        <v>1803.238124</v>
      </c>
      <c r="H133" s="17">
        <v>1803.238124</v>
      </c>
      <c r="I133" s="17">
        <v>5.923076923</v>
      </c>
      <c r="J133" t="str">
        <f t="shared" si="8"/>
        <v>Positive Experiences</v>
      </c>
    </row>
    <row r="134" spans="1:10" x14ac:dyDescent="0.2">
      <c r="A134" s="16" t="s">
        <v>442</v>
      </c>
      <c r="B134">
        <v>14</v>
      </c>
      <c r="C134" t="str">
        <f t="shared" si="6"/>
        <v>High Order Count</v>
      </c>
      <c r="D134" s="17">
        <v>166</v>
      </c>
      <c r="E134" t="str">
        <f t="shared" si="7"/>
        <v>High Volume</v>
      </c>
      <c r="F134" s="17">
        <v>2389.1428569999998</v>
      </c>
      <c r="G134" s="17">
        <v>1945.258609</v>
      </c>
      <c r="H134" s="17">
        <v>1945.258609</v>
      </c>
      <c r="I134" s="17">
        <v>5.9285714289999998</v>
      </c>
      <c r="J134" t="str">
        <f t="shared" si="8"/>
        <v>Positive Experiences</v>
      </c>
    </row>
    <row r="135" spans="1:10" x14ac:dyDescent="0.2">
      <c r="A135" s="16" t="s">
        <v>1750</v>
      </c>
      <c r="B135">
        <v>5</v>
      </c>
      <c r="C135" t="str">
        <f t="shared" si="6"/>
        <v>Low Order Count</v>
      </c>
      <c r="D135" s="17">
        <v>38</v>
      </c>
      <c r="E135" t="str">
        <f t="shared" si="7"/>
        <v>Low Volume</v>
      </c>
      <c r="F135" s="17">
        <v>1796.8</v>
      </c>
      <c r="G135" s="17">
        <v>3151.9227780000001</v>
      </c>
      <c r="H135" s="17">
        <v>3151.9227780000001</v>
      </c>
      <c r="I135" s="17">
        <v>5.4</v>
      </c>
      <c r="J135" t="str">
        <f t="shared" si="8"/>
        <v>Positive Experiences</v>
      </c>
    </row>
    <row r="136" spans="1:10" x14ac:dyDescent="0.2">
      <c r="A136" s="16" t="s">
        <v>580</v>
      </c>
      <c r="B136">
        <v>13</v>
      </c>
      <c r="C136" t="str">
        <f t="shared" si="6"/>
        <v>Low Order Count</v>
      </c>
      <c r="D136" s="17">
        <v>124</v>
      </c>
      <c r="E136" t="str">
        <f t="shared" si="7"/>
        <v>High Volume</v>
      </c>
      <c r="F136" s="17">
        <v>1357.9230769999999</v>
      </c>
      <c r="G136" s="17">
        <v>1196.4791729999999</v>
      </c>
      <c r="H136" s="17">
        <v>1196.4791729999999</v>
      </c>
      <c r="I136" s="17">
        <v>5.307692308</v>
      </c>
      <c r="J136" t="str">
        <f t="shared" si="8"/>
        <v>Positive Experiences</v>
      </c>
    </row>
    <row r="137" spans="1:10" x14ac:dyDescent="0.2">
      <c r="A137" s="16" t="s">
        <v>542</v>
      </c>
      <c r="B137">
        <v>15</v>
      </c>
      <c r="C137" t="str">
        <f t="shared" si="6"/>
        <v>High Order Count</v>
      </c>
      <c r="D137" s="17">
        <v>108</v>
      </c>
      <c r="E137" t="str">
        <f t="shared" si="7"/>
        <v>High Volume</v>
      </c>
      <c r="F137" s="17">
        <v>1522</v>
      </c>
      <c r="G137" s="17">
        <v>1693.0445950000001</v>
      </c>
      <c r="H137" s="17">
        <v>1693.0445950000001</v>
      </c>
      <c r="I137" s="17">
        <v>5.733333333</v>
      </c>
      <c r="J137" t="str">
        <f t="shared" si="8"/>
        <v>Positive Experiences</v>
      </c>
    </row>
    <row r="138" spans="1:10" x14ac:dyDescent="0.2">
      <c r="A138" s="16" t="s">
        <v>76</v>
      </c>
      <c r="B138">
        <v>17</v>
      </c>
      <c r="C138" t="str">
        <f t="shared" si="6"/>
        <v>High Order Count</v>
      </c>
      <c r="D138" s="17">
        <v>176</v>
      </c>
      <c r="E138" t="str">
        <f t="shared" si="7"/>
        <v>High Volume</v>
      </c>
      <c r="F138" s="17">
        <v>1814.3529410000001</v>
      </c>
      <c r="G138" s="17">
        <v>1646.6142890000001</v>
      </c>
      <c r="H138" s="17">
        <v>1646.6142890000001</v>
      </c>
      <c r="I138" s="17">
        <v>4.8823529409999997</v>
      </c>
      <c r="J138" t="str">
        <f t="shared" si="8"/>
        <v>Disappointing Experiences</v>
      </c>
    </row>
    <row r="139" spans="1:10" x14ac:dyDescent="0.2">
      <c r="A139" s="16" t="s">
        <v>933</v>
      </c>
      <c r="B139">
        <v>20</v>
      </c>
      <c r="C139" t="str">
        <f t="shared" si="6"/>
        <v>High Order Count</v>
      </c>
      <c r="D139" s="17">
        <v>201</v>
      </c>
      <c r="E139" t="str">
        <f t="shared" si="7"/>
        <v>High Volume</v>
      </c>
      <c r="F139" s="17">
        <v>1735.05</v>
      </c>
      <c r="G139" s="17">
        <v>1270.849093</v>
      </c>
      <c r="H139" s="17">
        <v>1270.849093</v>
      </c>
      <c r="I139" s="17">
        <v>5</v>
      </c>
      <c r="J139" t="str">
        <f t="shared" si="8"/>
        <v>Disappointing Experiences</v>
      </c>
    </row>
    <row r="140" spans="1:10" x14ac:dyDescent="0.2">
      <c r="A140" s="16" t="s">
        <v>689</v>
      </c>
      <c r="B140">
        <v>12</v>
      </c>
      <c r="C140" t="str">
        <f t="shared" si="6"/>
        <v>Low Order Count</v>
      </c>
      <c r="D140" s="17">
        <v>122</v>
      </c>
      <c r="E140" t="str">
        <f t="shared" si="7"/>
        <v>High Volume</v>
      </c>
      <c r="F140" s="17">
        <v>1712.75</v>
      </c>
      <c r="G140" s="17">
        <v>1756.5678379999999</v>
      </c>
      <c r="H140" s="17">
        <v>1756.5678379999999</v>
      </c>
      <c r="I140" s="17">
        <v>6.3333333329999997</v>
      </c>
      <c r="J140" t="str">
        <f t="shared" si="8"/>
        <v>Positive Experiences</v>
      </c>
    </row>
    <row r="141" spans="1:10" x14ac:dyDescent="0.2">
      <c r="A141" s="16" t="s">
        <v>1202</v>
      </c>
      <c r="B141">
        <v>10</v>
      </c>
      <c r="C141" t="str">
        <f t="shared" si="6"/>
        <v>Low Order Count</v>
      </c>
      <c r="D141" s="17">
        <v>117</v>
      </c>
      <c r="E141" t="str">
        <f t="shared" si="7"/>
        <v>High Volume</v>
      </c>
      <c r="F141" s="17">
        <v>1303.9000000000001</v>
      </c>
      <c r="G141" s="17">
        <v>681.8775468</v>
      </c>
      <c r="H141" s="17">
        <v>681.8775468</v>
      </c>
      <c r="I141" s="17">
        <v>5.6</v>
      </c>
      <c r="J141" t="str">
        <f t="shared" si="8"/>
        <v>Positive Experiences</v>
      </c>
    </row>
    <row r="142" spans="1:10" x14ac:dyDescent="0.2">
      <c r="A142" s="16" t="s">
        <v>284</v>
      </c>
      <c r="B142">
        <v>12</v>
      </c>
      <c r="C142" t="str">
        <f t="shared" si="6"/>
        <v>Low Order Count</v>
      </c>
      <c r="D142" s="17">
        <v>101</v>
      </c>
      <c r="E142" t="str">
        <f t="shared" si="7"/>
        <v>High Volume</v>
      </c>
      <c r="F142" s="17">
        <v>1604.666667</v>
      </c>
      <c r="G142" s="17">
        <v>1925.8181420000001</v>
      </c>
      <c r="H142" s="17">
        <v>1925.8181420000001</v>
      </c>
      <c r="I142" s="17">
        <v>4.1666666670000003</v>
      </c>
      <c r="J142" t="str">
        <f t="shared" si="8"/>
        <v>Disappointing Experiences</v>
      </c>
    </row>
    <row r="143" spans="1:10" x14ac:dyDescent="0.2">
      <c r="A143" s="16" t="s">
        <v>221</v>
      </c>
      <c r="B143">
        <v>12</v>
      </c>
      <c r="C143" t="str">
        <f t="shared" si="6"/>
        <v>Low Order Count</v>
      </c>
      <c r="D143" s="17">
        <v>89</v>
      </c>
      <c r="E143" t="str">
        <f t="shared" si="7"/>
        <v>Mid-Volume</v>
      </c>
      <c r="F143" s="17">
        <v>1148.833333</v>
      </c>
      <c r="G143" s="17">
        <v>1352.4207140000001</v>
      </c>
      <c r="H143" s="17">
        <v>1352.4207140000001</v>
      </c>
      <c r="I143" s="17">
        <v>4.9166666670000003</v>
      </c>
      <c r="J143" t="str">
        <f t="shared" si="8"/>
        <v>Disappointing Experiences</v>
      </c>
    </row>
    <row r="144" spans="1:10" x14ac:dyDescent="0.2">
      <c r="A144" s="16" t="s">
        <v>292</v>
      </c>
      <c r="B144">
        <v>15</v>
      </c>
      <c r="C144" t="str">
        <f t="shared" si="6"/>
        <v>High Order Count</v>
      </c>
      <c r="D144" s="17">
        <v>168</v>
      </c>
      <c r="E144" t="str">
        <f t="shared" si="7"/>
        <v>High Volume</v>
      </c>
      <c r="F144" s="17">
        <v>2482.6</v>
      </c>
      <c r="G144" s="17">
        <v>2494.4195370000002</v>
      </c>
      <c r="H144" s="17">
        <v>2494.4195370000002</v>
      </c>
      <c r="I144" s="17">
        <v>6.4</v>
      </c>
      <c r="J144" t="str">
        <f t="shared" si="8"/>
        <v>Positive Experiences</v>
      </c>
    </row>
    <row r="145" spans="1:10" x14ac:dyDescent="0.2">
      <c r="A145" s="16" t="s">
        <v>48</v>
      </c>
      <c r="B145">
        <v>15</v>
      </c>
      <c r="C145" t="str">
        <f t="shared" si="6"/>
        <v>High Order Count</v>
      </c>
      <c r="D145" s="17">
        <v>164</v>
      </c>
      <c r="E145" t="str">
        <f t="shared" si="7"/>
        <v>High Volume</v>
      </c>
      <c r="F145" s="17">
        <v>1400.0666670000001</v>
      </c>
      <c r="G145" s="17">
        <v>1296.5983220000001</v>
      </c>
      <c r="H145" s="17">
        <v>1296.5983220000001</v>
      </c>
      <c r="I145" s="17">
        <v>7.2</v>
      </c>
      <c r="J145" t="str">
        <f t="shared" si="8"/>
        <v>Positive Experiences</v>
      </c>
    </row>
    <row r="146" spans="1:10" x14ac:dyDescent="0.2">
      <c r="A146" s="16" t="s">
        <v>272</v>
      </c>
      <c r="B146">
        <v>9</v>
      </c>
      <c r="C146" t="str">
        <f t="shared" si="6"/>
        <v>Low Order Count</v>
      </c>
      <c r="D146" s="17">
        <v>116</v>
      </c>
      <c r="E146" t="str">
        <f t="shared" si="7"/>
        <v>High Volume</v>
      </c>
      <c r="F146" s="17">
        <v>1773.444444</v>
      </c>
      <c r="G146" s="17">
        <v>1438.2964850000001</v>
      </c>
      <c r="H146" s="17">
        <v>1438.2964850000001</v>
      </c>
      <c r="I146" s="17">
        <v>6.2222222220000001</v>
      </c>
      <c r="J146" t="str">
        <f t="shared" si="8"/>
        <v>Positive Experiences</v>
      </c>
    </row>
    <row r="147" spans="1:10" x14ac:dyDescent="0.2">
      <c r="A147" s="16" t="s">
        <v>1343</v>
      </c>
      <c r="B147">
        <v>10</v>
      </c>
      <c r="C147" t="str">
        <f t="shared" si="6"/>
        <v>Low Order Count</v>
      </c>
      <c r="D147" s="17">
        <v>98</v>
      </c>
      <c r="E147" t="str">
        <f t="shared" si="7"/>
        <v>Mid-Volume</v>
      </c>
      <c r="F147" s="17">
        <v>1076</v>
      </c>
      <c r="G147" s="17">
        <v>672.65592990000005</v>
      </c>
      <c r="H147" s="17">
        <v>672.65592990000005</v>
      </c>
      <c r="I147" s="17">
        <v>4.9000000000000004</v>
      </c>
      <c r="J147" t="str">
        <f t="shared" si="8"/>
        <v>Disappointing Experiences</v>
      </c>
    </row>
    <row r="148" spans="1:10" x14ac:dyDescent="0.2">
      <c r="A148" s="16" t="s">
        <v>485</v>
      </c>
      <c r="B148">
        <v>13</v>
      </c>
      <c r="C148" t="str">
        <f t="shared" si="6"/>
        <v>Low Order Count</v>
      </c>
      <c r="D148" s="17">
        <v>122</v>
      </c>
      <c r="E148" t="str">
        <f t="shared" si="7"/>
        <v>High Volume</v>
      </c>
      <c r="F148" s="17">
        <v>2091.0769230000001</v>
      </c>
      <c r="G148" s="17">
        <v>1860.0185690000001</v>
      </c>
      <c r="H148" s="17">
        <v>1860.0185690000001</v>
      </c>
      <c r="I148" s="17">
        <v>7</v>
      </c>
      <c r="J148" t="str">
        <f t="shared" si="8"/>
        <v>Positive Experiences</v>
      </c>
    </row>
    <row r="149" spans="1:10" x14ac:dyDescent="0.2">
      <c r="A149" s="16" t="s">
        <v>1253</v>
      </c>
      <c r="B149">
        <v>14</v>
      </c>
      <c r="C149" t="str">
        <f t="shared" si="6"/>
        <v>High Order Count</v>
      </c>
      <c r="D149" s="17">
        <v>156</v>
      </c>
      <c r="E149" t="str">
        <f t="shared" si="7"/>
        <v>High Volume</v>
      </c>
      <c r="F149" s="17">
        <v>1998.357143</v>
      </c>
      <c r="G149" s="17">
        <v>1417.3934690000001</v>
      </c>
      <c r="H149" s="17">
        <v>1417.3934690000001</v>
      </c>
      <c r="I149" s="17">
        <v>5.5714285710000002</v>
      </c>
      <c r="J149" t="str">
        <f t="shared" si="8"/>
        <v>Positive Experiences</v>
      </c>
    </row>
    <row r="150" spans="1:10" x14ac:dyDescent="0.2">
      <c r="A150" s="16" t="s">
        <v>382</v>
      </c>
      <c r="B150">
        <v>12</v>
      </c>
      <c r="C150" t="str">
        <f t="shared" si="6"/>
        <v>Low Order Count</v>
      </c>
      <c r="D150" s="17">
        <v>136</v>
      </c>
      <c r="E150" t="str">
        <f t="shared" si="7"/>
        <v>High Volume</v>
      </c>
      <c r="F150" s="17">
        <v>2268.25</v>
      </c>
      <c r="G150" s="17">
        <v>1339.7718339999999</v>
      </c>
      <c r="H150" s="17">
        <v>1339.7718339999999</v>
      </c>
      <c r="I150" s="17">
        <v>6.4166666670000003</v>
      </c>
      <c r="J150" t="str">
        <f t="shared" si="8"/>
        <v>Positive Experiences</v>
      </c>
    </row>
    <row r="151" spans="1:10" x14ac:dyDescent="0.2">
      <c r="A151" s="16" t="s">
        <v>616</v>
      </c>
      <c r="B151">
        <v>13</v>
      </c>
      <c r="C151" t="str">
        <f t="shared" si="6"/>
        <v>Low Order Count</v>
      </c>
      <c r="D151" s="17">
        <v>157</v>
      </c>
      <c r="E151" t="str">
        <f t="shared" si="7"/>
        <v>High Volume</v>
      </c>
      <c r="F151" s="17">
        <v>1663.9230769999999</v>
      </c>
      <c r="G151" s="17">
        <v>997.70707640000001</v>
      </c>
      <c r="H151" s="17">
        <v>997.70707640000001</v>
      </c>
      <c r="I151" s="17">
        <v>5.615384615</v>
      </c>
      <c r="J151" t="str">
        <f t="shared" si="8"/>
        <v>Positive Experiences</v>
      </c>
    </row>
    <row r="152" spans="1:10" x14ac:dyDescent="0.2">
      <c r="A152" s="16" t="s">
        <v>587</v>
      </c>
      <c r="B152">
        <v>16</v>
      </c>
      <c r="C152" t="str">
        <f t="shared" si="6"/>
        <v>High Order Count</v>
      </c>
      <c r="D152" s="17">
        <v>180</v>
      </c>
      <c r="E152" t="str">
        <f t="shared" si="7"/>
        <v>High Volume</v>
      </c>
      <c r="F152" s="17">
        <v>1712.5</v>
      </c>
      <c r="G152" s="17">
        <v>1349.1394789999999</v>
      </c>
      <c r="H152" s="17">
        <v>1349.1394789999999</v>
      </c>
      <c r="I152" s="17">
        <v>6.625</v>
      </c>
      <c r="J152" t="str">
        <f t="shared" si="8"/>
        <v>Positive Experiences</v>
      </c>
    </row>
    <row r="153" spans="1:10" x14ac:dyDescent="0.2">
      <c r="A153" s="16" t="s">
        <v>1136</v>
      </c>
      <c r="B153">
        <v>13</v>
      </c>
      <c r="C153" t="str">
        <f t="shared" si="6"/>
        <v>Low Order Count</v>
      </c>
      <c r="D153" s="17">
        <v>166</v>
      </c>
      <c r="E153" t="str">
        <f t="shared" si="7"/>
        <v>High Volume</v>
      </c>
      <c r="F153" s="17">
        <v>1968.3846149999999</v>
      </c>
      <c r="G153" s="17">
        <v>937.53804709999997</v>
      </c>
      <c r="H153" s="17">
        <v>937.53804709999997</v>
      </c>
      <c r="I153" s="17">
        <v>4.615384615</v>
      </c>
      <c r="J153" t="str">
        <f t="shared" si="8"/>
        <v>Disappointing Experiences</v>
      </c>
    </row>
    <row r="154" spans="1:10" x14ac:dyDescent="0.2">
      <c r="A154" s="16" t="s">
        <v>397</v>
      </c>
      <c r="B154">
        <v>19</v>
      </c>
      <c r="C154" t="str">
        <f t="shared" si="6"/>
        <v>High Order Count</v>
      </c>
      <c r="D154" s="17">
        <v>210</v>
      </c>
      <c r="E154" t="str">
        <f t="shared" si="7"/>
        <v>High Volume</v>
      </c>
      <c r="F154" s="17">
        <v>1440.1578950000001</v>
      </c>
      <c r="G154" s="17">
        <v>1138.47082</v>
      </c>
      <c r="H154" s="17">
        <v>1138.47082</v>
      </c>
      <c r="I154" s="17">
        <v>4.263157895</v>
      </c>
      <c r="J154" t="str">
        <f t="shared" si="8"/>
        <v>Disappointing Experiences</v>
      </c>
    </row>
    <row r="155" spans="1:10" x14ac:dyDescent="0.2">
      <c r="A155" s="16" t="s">
        <v>1085</v>
      </c>
      <c r="B155">
        <v>16</v>
      </c>
      <c r="C155" t="str">
        <f t="shared" si="6"/>
        <v>High Order Count</v>
      </c>
      <c r="D155" s="17">
        <v>140</v>
      </c>
      <c r="E155" t="str">
        <f t="shared" si="7"/>
        <v>High Volume</v>
      </c>
      <c r="F155" s="17">
        <v>1942.3125</v>
      </c>
      <c r="G155" s="17">
        <v>1922.6522560000001</v>
      </c>
      <c r="H155" s="17">
        <v>1922.6522560000001</v>
      </c>
      <c r="I155" s="17">
        <v>5.1875</v>
      </c>
      <c r="J155" t="str">
        <f t="shared" si="8"/>
        <v>Positive Experiences</v>
      </c>
    </row>
    <row r="156" spans="1:10" x14ac:dyDescent="0.2">
      <c r="A156" s="16" t="s">
        <v>432</v>
      </c>
      <c r="B156">
        <v>12</v>
      </c>
      <c r="C156" t="str">
        <f t="shared" si="6"/>
        <v>Low Order Count</v>
      </c>
      <c r="D156" s="17">
        <v>103</v>
      </c>
      <c r="E156" t="str">
        <f t="shared" si="7"/>
        <v>High Volume</v>
      </c>
      <c r="F156" s="17">
        <v>1495.5</v>
      </c>
      <c r="G156" s="17">
        <v>1097.7750639999999</v>
      </c>
      <c r="H156" s="17">
        <v>1097.7750639999999</v>
      </c>
      <c r="I156" s="17">
        <v>4.5833333329999997</v>
      </c>
      <c r="J156" t="str">
        <f t="shared" si="8"/>
        <v>Disappointing Experiences</v>
      </c>
    </row>
    <row r="157" spans="1:10" x14ac:dyDescent="0.2">
      <c r="A157" s="16" t="s">
        <v>622</v>
      </c>
      <c r="B157">
        <v>12</v>
      </c>
      <c r="C157" t="str">
        <f t="shared" si="6"/>
        <v>Low Order Count</v>
      </c>
      <c r="D157" s="17">
        <v>142</v>
      </c>
      <c r="E157" t="str">
        <f t="shared" si="7"/>
        <v>High Volume</v>
      </c>
      <c r="F157" s="17">
        <v>1596.666667</v>
      </c>
      <c r="G157" s="17">
        <v>1483.6243300000001</v>
      </c>
      <c r="H157" s="17">
        <v>1483.6243300000001</v>
      </c>
      <c r="I157" s="17">
        <v>4.1666666670000003</v>
      </c>
      <c r="J157" t="str">
        <f t="shared" si="8"/>
        <v>Disappointing Experiences</v>
      </c>
    </row>
    <row r="158" spans="1:10" x14ac:dyDescent="0.2">
      <c r="A158" s="16" t="s">
        <v>219</v>
      </c>
      <c r="B158">
        <v>15</v>
      </c>
      <c r="C158" t="str">
        <f t="shared" si="6"/>
        <v>High Order Count</v>
      </c>
      <c r="D158" s="17">
        <v>153</v>
      </c>
      <c r="E158" t="str">
        <f t="shared" si="7"/>
        <v>High Volume</v>
      </c>
      <c r="F158" s="17">
        <v>1863</v>
      </c>
      <c r="G158" s="17">
        <v>1656.880934</v>
      </c>
      <c r="H158" s="17">
        <v>1656.880934</v>
      </c>
      <c r="I158" s="17">
        <v>5.4666666670000001</v>
      </c>
      <c r="J158" t="str">
        <f t="shared" si="8"/>
        <v>Positive Experiences</v>
      </c>
    </row>
    <row r="159" spans="1:10" x14ac:dyDescent="0.2">
      <c r="A159" s="16" t="s">
        <v>249</v>
      </c>
      <c r="B159">
        <v>10</v>
      </c>
      <c r="C159" t="str">
        <f t="shared" si="6"/>
        <v>Low Order Count</v>
      </c>
      <c r="D159" s="17">
        <v>94</v>
      </c>
      <c r="E159" t="str">
        <f t="shared" si="7"/>
        <v>Mid-Volume</v>
      </c>
      <c r="F159" s="17">
        <v>1906.7</v>
      </c>
      <c r="G159" s="17">
        <v>1584.342138</v>
      </c>
      <c r="H159" s="17">
        <v>1584.342138</v>
      </c>
      <c r="I159" s="17">
        <v>5.6</v>
      </c>
      <c r="J159" t="str">
        <f t="shared" si="8"/>
        <v>Positive Experiences</v>
      </c>
    </row>
    <row r="160" spans="1:10" x14ac:dyDescent="0.2">
      <c r="A160" s="16" t="s">
        <v>877</v>
      </c>
      <c r="B160">
        <v>16</v>
      </c>
      <c r="C160" t="str">
        <f t="shared" si="6"/>
        <v>High Order Count</v>
      </c>
      <c r="D160" s="17">
        <v>177</v>
      </c>
      <c r="E160" t="str">
        <f t="shared" si="7"/>
        <v>High Volume</v>
      </c>
      <c r="F160" s="17">
        <v>2184.5</v>
      </c>
      <c r="G160" s="17">
        <v>1161.5379459999999</v>
      </c>
      <c r="H160" s="17">
        <v>1161.5379459999999</v>
      </c>
      <c r="I160" s="17">
        <v>5.375</v>
      </c>
      <c r="J160" t="str">
        <f t="shared" si="8"/>
        <v>Positive Experiences</v>
      </c>
    </row>
    <row r="161" spans="1:10" x14ac:dyDescent="0.2">
      <c r="A161" s="16" t="s">
        <v>707</v>
      </c>
      <c r="B161">
        <v>13</v>
      </c>
      <c r="C161" t="str">
        <f t="shared" si="6"/>
        <v>Low Order Count</v>
      </c>
      <c r="D161" s="17">
        <v>160</v>
      </c>
      <c r="E161" t="str">
        <f t="shared" si="7"/>
        <v>High Volume</v>
      </c>
      <c r="F161" s="17">
        <v>2117.1538460000002</v>
      </c>
      <c r="G161" s="17">
        <v>1747.4033999999999</v>
      </c>
      <c r="H161" s="17">
        <v>1747.4033999999999</v>
      </c>
      <c r="I161" s="17">
        <v>6.230769231</v>
      </c>
      <c r="J161" t="str">
        <f t="shared" si="8"/>
        <v>Positive Experiences</v>
      </c>
    </row>
    <row r="162" spans="1:10" x14ac:dyDescent="0.2">
      <c r="A162" s="16" t="s">
        <v>94</v>
      </c>
      <c r="B162">
        <v>17</v>
      </c>
      <c r="C162" t="str">
        <f t="shared" si="6"/>
        <v>High Order Count</v>
      </c>
      <c r="D162" s="17">
        <v>190</v>
      </c>
      <c r="E162" t="str">
        <f t="shared" si="7"/>
        <v>High Volume</v>
      </c>
      <c r="F162" s="17">
        <v>1667.6470589999999</v>
      </c>
      <c r="G162" s="17">
        <v>925.91832399999998</v>
      </c>
      <c r="H162" s="17">
        <v>925.91832399999998</v>
      </c>
      <c r="I162" s="17">
        <v>5.4117647059999996</v>
      </c>
      <c r="J162" t="str">
        <f t="shared" si="8"/>
        <v>Positive Experiences</v>
      </c>
    </row>
    <row r="163" spans="1:10" x14ac:dyDescent="0.2">
      <c r="A163" s="16" t="s">
        <v>1022</v>
      </c>
      <c r="B163">
        <v>15</v>
      </c>
      <c r="C163" t="str">
        <f t="shared" si="6"/>
        <v>High Order Count</v>
      </c>
      <c r="D163" s="17">
        <v>180</v>
      </c>
      <c r="E163" t="str">
        <f t="shared" si="7"/>
        <v>High Volume</v>
      </c>
      <c r="F163" s="17">
        <v>2474.666667</v>
      </c>
      <c r="G163" s="17">
        <v>1495.8102280000001</v>
      </c>
      <c r="H163" s="17">
        <v>1495.8102280000001</v>
      </c>
      <c r="I163" s="17">
        <v>5.6</v>
      </c>
      <c r="J163" t="str">
        <f t="shared" si="8"/>
        <v>Positive Experiences</v>
      </c>
    </row>
    <row r="164" spans="1:10" x14ac:dyDescent="0.2">
      <c r="A164" s="16" t="s">
        <v>466</v>
      </c>
      <c r="B164">
        <v>11</v>
      </c>
      <c r="C164" t="str">
        <f t="shared" si="6"/>
        <v>Low Order Count</v>
      </c>
      <c r="D164" s="17">
        <v>122</v>
      </c>
      <c r="E164" t="str">
        <f t="shared" si="7"/>
        <v>High Volume</v>
      </c>
      <c r="F164" s="17">
        <v>2044.363636</v>
      </c>
      <c r="G164" s="17">
        <v>1365.780017</v>
      </c>
      <c r="H164" s="17">
        <v>1365.780017</v>
      </c>
      <c r="I164" s="17">
        <v>4</v>
      </c>
      <c r="J164" t="str">
        <f t="shared" si="8"/>
        <v>Disappointing Experiences</v>
      </c>
    </row>
    <row r="165" spans="1:10" x14ac:dyDescent="0.2">
      <c r="A165" s="16" t="s">
        <v>313</v>
      </c>
      <c r="B165">
        <v>13</v>
      </c>
      <c r="C165" t="str">
        <f t="shared" si="6"/>
        <v>Low Order Count</v>
      </c>
      <c r="D165" s="17">
        <v>138</v>
      </c>
      <c r="E165" t="str">
        <f t="shared" si="7"/>
        <v>High Volume</v>
      </c>
      <c r="F165" s="17">
        <v>1943.769231</v>
      </c>
      <c r="G165" s="17">
        <v>1599.4968040000001</v>
      </c>
      <c r="H165" s="17">
        <v>1599.4968040000001</v>
      </c>
      <c r="I165" s="17">
        <v>3.846153846</v>
      </c>
      <c r="J165" t="str">
        <f t="shared" si="8"/>
        <v>Disappointing Experiences</v>
      </c>
    </row>
    <row r="166" spans="1:10" x14ac:dyDescent="0.2">
      <c r="A166" s="16" t="s">
        <v>774</v>
      </c>
      <c r="B166">
        <v>13</v>
      </c>
      <c r="C166" t="str">
        <f t="shared" si="6"/>
        <v>Low Order Count</v>
      </c>
      <c r="D166" s="17">
        <v>142</v>
      </c>
      <c r="E166" t="str">
        <f t="shared" si="7"/>
        <v>High Volume</v>
      </c>
      <c r="F166" s="17">
        <v>2070.6923080000001</v>
      </c>
      <c r="G166" s="17">
        <v>1521.793754</v>
      </c>
      <c r="H166" s="17">
        <v>1521.793754</v>
      </c>
      <c r="I166" s="17">
        <v>4.846153846</v>
      </c>
      <c r="J166" t="str">
        <f t="shared" si="8"/>
        <v>Disappointing Experiences</v>
      </c>
    </row>
    <row r="167" spans="1:10" x14ac:dyDescent="0.2">
      <c r="A167" s="16" t="s">
        <v>539</v>
      </c>
      <c r="B167">
        <v>11</v>
      </c>
      <c r="C167" t="str">
        <f t="shared" si="6"/>
        <v>Low Order Count</v>
      </c>
      <c r="D167" s="17">
        <v>109</v>
      </c>
      <c r="E167" t="str">
        <f t="shared" si="7"/>
        <v>High Volume</v>
      </c>
      <c r="F167" s="17">
        <v>1581</v>
      </c>
      <c r="G167" s="17">
        <v>1409.9859570000001</v>
      </c>
      <c r="H167" s="17">
        <v>1409.9859570000001</v>
      </c>
      <c r="I167" s="17">
        <v>5.1818181819999998</v>
      </c>
      <c r="J167" t="str">
        <f t="shared" si="8"/>
        <v>Positive Experiences</v>
      </c>
    </row>
    <row r="168" spans="1:10" x14ac:dyDescent="0.2">
      <c r="A168" s="16" t="s">
        <v>562</v>
      </c>
      <c r="B168">
        <v>16</v>
      </c>
      <c r="C168" t="str">
        <f t="shared" si="6"/>
        <v>High Order Count</v>
      </c>
      <c r="D168" s="17">
        <v>154</v>
      </c>
      <c r="E168" t="str">
        <f t="shared" si="7"/>
        <v>High Volume</v>
      </c>
      <c r="F168" s="17">
        <v>1493.625</v>
      </c>
      <c r="G168" s="17">
        <v>1372.724244</v>
      </c>
      <c r="H168" s="17">
        <v>1372.724244</v>
      </c>
      <c r="I168" s="17">
        <v>4.875</v>
      </c>
      <c r="J168" t="str">
        <f t="shared" si="8"/>
        <v>Disappointing Experiences</v>
      </c>
    </row>
    <row r="169" spans="1:10" x14ac:dyDescent="0.2">
      <c r="A169" s="16" t="s">
        <v>567</v>
      </c>
      <c r="B169">
        <v>20</v>
      </c>
      <c r="C169" t="str">
        <f t="shared" si="6"/>
        <v>High Order Count</v>
      </c>
      <c r="D169" s="17">
        <v>209</v>
      </c>
      <c r="E169" t="str">
        <f t="shared" si="7"/>
        <v>High Volume</v>
      </c>
      <c r="F169" s="17">
        <v>2052.85</v>
      </c>
      <c r="G169" s="17">
        <v>1387.4698390000001</v>
      </c>
      <c r="H169" s="17">
        <v>1387.4698390000001</v>
      </c>
      <c r="I169" s="17">
        <v>5.35</v>
      </c>
      <c r="J169" t="str">
        <f t="shared" si="8"/>
        <v>Positive Experiences</v>
      </c>
    </row>
    <row r="170" spans="1:10" x14ac:dyDescent="0.2">
      <c r="A170" s="16" t="s">
        <v>752</v>
      </c>
      <c r="B170">
        <v>29</v>
      </c>
      <c r="C170" t="str">
        <f t="shared" si="6"/>
        <v>High Order Count</v>
      </c>
      <c r="D170" s="17">
        <v>293</v>
      </c>
      <c r="E170" t="str">
        <f t="shared" si="7"/>
        <v>High Volume</v>
      </c>
      <c r="F170" s="17">
        <v>1616</v>
      </c>
      <c r="G170" s="17">
        <v>1526.0425479999999</v>
      </c>
      <c r="H170" s="17">
        <v>1526.0425479999999</v>
      </c>
      <c r="I170" s="17">
        <v>5.6551724139999999</v>
      </c>
      <c r="J170" t="str">
        <f t="shared" si="8"/>
        <v>Positive Experiences</v>
      </c>
    </row>
    <row r="171" spans="1:10" x14ac:dyDescent="0.2">
      <c r="A171" s="16" t="s">
        <v>450</v>
      </c>
      <c r="B171">
        <v>14</v>
      </c>
      <c r="C171" t="str">
        <f t="shared" si="6"/>
        <v>High Order Count</v>
      </c>
      <c r="D171" s="17">
        <v>131</v>
      </c>
      <c r="E171" t="str">
        <f t="shared" si="7"/>
        <v>High Volume</v>
      </c>
      <c r="F171" s="17">
        <v>1552.5714290000001</v>
      </c>
      <c r="G171" s="17">
        <v>1462.355198</v>
      </c>
      <c r="H171" s="17">
        <v>1462.355198</v>
      </c>
      <c r="I171" s="17">
        <v>6.5</v>
      </c>
      <c r="J171" t="str">
        <f t="shared" si="8"/>
        <v>Positive Experiences</v>
      </c>
    </row>
    <row r="172" spans="1:10" x14ac:dyDescent="0.2">
      <c r="A172" s="16" t="s">
        <v>70</v>
      </c>
      <c r="B172">
        <v>16</v>
      </c>
      <c r="C172" t="str">
        <f t="shared" si="6"/>
        <v>High Order Count</v>
      </c>
      <c r="D172" s="17">
        <v>188</v>
      </c>
      <c r="E172" t="str">
        <f t="shared" si="7"/>
        <v>High Volume</v>
      </c>
      <c r="F172" s="17">
        <v>2118.3125</v>
      </c>
      <c r="G172" s="17">
        <v>1666.7366010000001</v>
      </c>
      <c r="H172" s="17">
        <v>1666.7366010000001</v>
      </c>
      <c r="I172" s="17">
        <v>6.9375</v>
      </c>
      <c r="J172" t="str">
        <f t="shared" si="8"/>
        <v>Positive Experiences</v>
      </c>
    </row>
    <row r="173" spans="1:10" x14ac:dyDescent="0.2">
      <c r="A173" s="16" t="s">
        <v>795</v>
      </c>
      <c r="B173">
        <v>12</v>
      </c>
      <c r="C173" t="str">
        <f t="shared" si="6"/>
        <v>Low Order Count</v>
      </c>
      <c r="D173" s="17">
        <v>119</v>
      </c>
      <c r="E173" t="str">
        <f t="shared" si="7"/>
        <v>High Volume</v>
      </c>
      <c r="F173" s="17">
        <v>2060.333333</v>
      </c>
      <c r="G173" s="17">
        <v>1978.7790239999999</v>
      </c>
      <c r="H173" s="17">
        <v>1978.7790239999999</v>
      </c>
      <c r="I173" s="17">
        <v>5.5833333329999997</v>
      </c>
      <c r="J173" t="str">
        <f t="shared" si="8"/>
        <v>Positive Experiences</v>
      </c>
    </row>
    <row r="174" spans="1:10" x14ac:dyDescent="0.2">
      <c r="A174" s="16" t="s">
        <v>102</v>
      </c>
      <c r="B174">
        <v>14</v>
      </c>
      <c r="C174" t="str">
        <f t="shared" si="6"/>
        <v>High Order Count</v>
      </c>
      <c r="D174" s="17">
        <v>142</v>
      </c>
      <c r="E174" t="str">
        <f t="shared" si="7"/>
        <v>High Volume</v>
      </c>
      <c r="F174" s="17">
        <v>1973.5</v>
      </c>
      <c r="G174" s="17">
        <v>1620.7824680000001</v>
      </c>
      <c r="H174" s="17">
        <v>1620.7824680000001</v>
      </c>
      <c r="I174" s="17">
        <v>4.5714285710000002</v>
      </c>
      <c r="J174" t="str">
        <f t="shared" si="8"/>
        <v>Disappointing Experiences</v>
      </c>
    </row>
    <row r="175" spans="1:10" x14ac:dyDescent="0.2">
      <c r="A175" s="16" t="s">
        <v>851</v>
      </c>
      <c r="B175">
        <v>11</v>
      </c>
      <c r="C175" t="str">
        <f t="shared" si="6"/>
        <v>Low Order Count</v>
      </c>
      <c r="D175" s="17">
        <v>99</v>
      </c>
      <c r="E175" t="str">
        <f t="shared" si="7"/>
        <v>Mid-Volume</v>
      </c>
      <c r="F175" s="17">
        <v>1603.090909</v>
      </c>
      <c r="G175" s="17">
        <v>2076.600946</v>
      </c>
      <c r="H175" s="17">
        <v>2076.600946</v>
      </c>
      <c r="I175" s="17">
        <v>5.0909090910000003</v>
      </c>
      <c r="J175" t="str">
        <f t="shared" si="8"/>
        <v>Positive Experiences</v>
      </c>
    </row>
    <row r="176" spans="1:10" x14ac:dyDescent="0.2">
      <c r="A176" s="16" t="s">
        <v>392</v>
      </c>
      <c r="B176">
        <v>13</v>
      </c>
      <c r="C176" t="str">
        <f t="shared" si="6"/>
        <v>Low Order Count</v>
      </c>
      <c r="D176" s="17">
        <v>119</v>
      </c>
      <c r="E176" t="str">
        <f t="shared" si="7"/>
        <v>High Volume</v>
      </c>
      <c r="F176" s="17">
        <v>2407.6923080000001</v>
      </c>
      <c r="G176" s="17">
        <v>1802.2417700000001</v>
      </c>
      <c r="H176" s="17">
        <v>1802.2417700000001</v>
      </c>
      <c r="I176" s="17">
        <v>5.153846154</v>
      </c>
      <c r="J176" t="str">
        <f t="shared" si="8"/>
        <v>Positive Experiences</v>
      </c>
    </row>
    <row r="177" spans="1:10" x14ac:dyDescent="0.2">
      <c r="A177" s="16" t="s">
        <v>345</v>
      </c>
      <c r="B177">
        <v>13</v>
      </c>
      <c r="C177" t="str">
        <f t="shared" si="6"/>
        <v>Low Order Count</v>
      </c>
      <c r="D177" s="17">
        <v>143</v>
      </c>
      <c r="E177" t="str">
        <f t="shared" si="7"/>
        <v>High Volume</v>
      </c>
      <c r="F177" s="17">
        <v>1385.0769230000001</v>
      </c>
      <c r="G177" s="17">
        <v>907.6510399</v>
      </c>
      <c r="H177" s="17">
        <v>907.6510399</v>
      </c>
      <c r="I177" s="17">
        <v>4.461538462</v>
      </c>
      <c r="J177" t="str">
        <f t="shared" si="8"/>
        <v>Disappointing Experiences</v>
      </c>
    </row>
    <row r="178" spans="1:10" x14ac:dyDescent="0.2">
      <c r="A178" s="16" t="s">
        <v>268</v>
      </c>
      <c r="B178">
        <v>8</v>
      </c>
      <c r="C178" t="str">
        <f t="shared" si="6"/>
        <v>Low Order Count</v>
      </c>
      <c r="D178" s="17">
        <v>85</v>
      </c>
      <c r="E178" t="str">
        <f t="shared" si="7"/>
        <v>Mid-Volume</v>
      </c>
      <c r="F178" s="17">
        <v>1729.625</v>
      </c>
      <c r="G178" s="17">
        <v>1324.7518299999999</v>
      </c>
      <c r="H178" s="17">
        <v>1324.7518299999999</v>
      </c>
      <c r="I178" s="17">
        <v>5.875</v>
      </c>
      <c r="J178" t="str">
        <f t="shared" si="8"/>
        <v>Positive Experiences</v>
      </c>
    </row>
    <row r="179" spans="1:10" x14ac:dyDescent="0.2">
      <c r="A179" s="16" t="s">
        <v>197</v>
      </c>
      <c r="B179">
        <v>13</v>
      </c>
      <c r="C179" t="str">
        <f t="shared" si="6"/>
        <v>Low Order Count</v>
      </c>
      <c r="D179" s="17">
        <v>118</v>
      </c>
      <c r="E179" t="str">
        <f t="shared" si="7"/>
        <v>High Volume</v>
      </c>
      <c r="F179" s="17">
        <v>1879</v>
      </c>
      <c r="G179" s="17">
        <v>1891.707298</v>
      </c>
      <c r="H179" s="17">
        <v>1891.707298</v>
      </c>
      <c r="I179" s="17">
        <v>5.769230769</v>
      </c>
      <c r="J179" t="str">
        <f t="shared" si="8"/>
        <v>Positive Experiences</v>
      </c>
    </row>
    <row r="180" spans="1:10" x14ac:dyDescent="0.2">
      <c r="A180" s="16" t="s">
        <v>1414</v>
      </c>
      <c r="B180">
        <v>10</v>
      </c>
      <c r="C180" t="str">
        <f t="shared" si="6"/>
        <v>Low Order Count</v>
      </c>
      <c r="D180" s="17">
        <v>84</v>
      </c>
      <c r="E180" t="str">
        <f t="shared" si="7"/>
        <v>Mid-Volume</v>
      </c>
      <c r="F180" s="17">
        <v>1716</v>
      </c>
      <c r="G180" s="17">
        <v>1566.1780799999999</v>
      </c>
      <c r="H180" s="17">
        <v>1566.1780799999999</v>
      </c>
      <c r="I180" s="17">
        <v>5.0999999999999996</v>
      </c>
      <c r="J180" t="str">
        <f t="shared" si="8"/>
        <v>Positive Experiences</v>
      </c>
    </row>
    <row r="181" spans="1:10" x14ac:dyDescent="0.2">
      <c r="A181" s="16" t="s">
        <v>1273</v>
      </c>
      <c r="B181">
        <v>7</v>
      </c>
      <c r="C181" t="str">
        <f t="shared" si="6"/>
        <v>Low Order Count</v>
      </c>
      <c r="D181" s="17">
        <v>78</v>
      </c>
      <c r="E181" t="str">
        <f t="shared" si="7"/>
        <v>Mid-Volume</v>
      </c>
      <c r="F181" s="17">
        <v>2007.5714290000001</v>
      </c>
      <c r="G181" s="17">
        <v>1740.975958</v>
      </c>
      <c r="H181" s="17">
        <v>1740.975958</v>
      </c>
      <c r="I181" s="17">
        <v>4.5714285710000002</v>
      </c>
      <c r="J181" t="str">
        <f t="shared" si="8"/>
        <v>Disappointing Experiences</v>
      </c>
    </row>
    <row r="182" spans="1:10" x14ac:dyDescent="0.2">
      <c r="A182" s="16" t="s">
        <v>343</v>
      </c>
      <c r="B182">
        <v>15</v>
      </c>
      <c r="C182" t="str">
        <f t="shared" si="6"/>
        <v>High Order Count</v>
      </c>
      <c r="D182" s="17">
        <v>162</v>
      </c>
      <c r="E182" t="str">
        <f t="shared" si="7"/>
        <v>High Volume</v>
      </c>
      <c r="F182" s="17">
        <v>2082.4</v>
      </c>
      <c r="G182" s="17">
        <v>1248.955438</v>
      </c>
      <c r="H182" s="17">
        <v>1248.955438</v>
      </c>
      <c r="I182" s="17">
        <v>5.266666667</v>
      </c>
      <c r="J182" t="str">
        <f t="shared" si="8"/>
        <v>Positive Experiences</v>
      </c>
    </row>
    <row r="183" spans="1:10" x14ac:dyDescent="0.2">
      <c r="A183" s="16" t="s">
        <v>137</v>
      </c>
      <c r="B183">
        <v>15</v>
      </c>
      <c r="C183" t="str">
        <f t="shared" si="6"/>
        <v>High Order Count</v>
      </c>
      <c r="D183" s="17">
        <v>146</v>
      </c>
      <c r="E183" t="str">
        <f t="shared" si="7"/>
        <v>High Volume</v>
      </c>
      <c r="F183" s="17">
        <v>1368.5333330000001</v>
      </c>
      <c r="G183" s="17">
        <v>1066.8263930000001</v>
      </c>
      <c r="H183" s="17">
        <v>1066.8263930000001</v>
      </c>
      <c r="I183" s="17">
        <v>6.1333333330000004</v>
      </c>
      <c r="J183" t="str">
        <f t="shared" si="8"/>
        <v>Positive Experiences</v>
      </c>
    </row>
    <row r="184" spans="1:10" x14ac:dyDescent="0.2">
      <c r="A184" s="16" t="s">
        <v>408</v>
      </c>
      <c r="B184">
        <v>12</v>
      </c>
      <c r="C184" t="str">
        <f t="shared" si="6"/>
        <v>Low Order Count</v>
      </c>
      <c r="D184" s="17">
        <v>133</v>
      </c>
      <c r="E184" t="str">
        <f t="shared" si="7"/>
        <v>High Volume</v>
      </c>
      <c r="F184" s="17">
        <v>2024.166667</v>
      </c>
      <c r="G184" s="17">
        <v>1355.1124629999999</v>
      </c>
      <c r="H184" s="17">
        <v>1355.1124629999999</v>
      </c>
      <c r="I184" s="17">
        <v>5.5833333329999997</v>
      </c>
      <c r="J184" t="str">
        <f t="shared" si="8"/>
        <v>Positive Experiences</v>
      </c>
    </row>
    <row r="185" spans="1:10" x14ac:dyDescent="0.2">
      <c r="A185" s="16" t="s">
        <v>968</v>
      </c>
      <c r="B185">
        <v>12</v>
      </c>
      <c r="C185" t="str">
        <f t="shared" si="6"/>
        <v>Low Order Count</v>
      </c>
      <c r="D185" s="17">
        <v>132</v>
      </c>
      <c r="E185" t="str">
        <f t="shared" si="7"/>
        <v>High Volume</v>
      </c>
      <c r="F185" s="17">
        <v>2237.666667</v>
      </c>
      <c r="G185" s="17">
        <v>2168.1428719999999</v>
      </c>
      <c r="H185" s="17">
        <v>2168.1428719999999</v>
      </c>
      <c r="I185" s="17">
        <v>5.0833333329999997</v>
      </c>
      <c r="J185" t="str">
        <f t="shared" si="8"/>
        <v>Positive Experiences</v>
      </c>
    </row>
    <row r="186" spans="1:10" x14ac:dyDescent="0.2">
      <c r="A186" s="16" t="s">
        <v>767</v>
      </c>
      <c r="B186">
        <v>18</v>
      </c>
      <c r="C186" t="str">
        <f t="shared" si="6"/>
        <v>High Order Count</v>
      </c>
      <c r="D186" s="17">
        <v>166</v>
      </c>
      <c r="E186" t="str">
        <f t="shared" si="7"/>
        <v>High Volume</v>
      </c>
      <c r="F186" s="17">
        <v>1540.2222220000001</v>
      </c>
      <c r="G186" s="17">
        <v>1210.4947729999999</v>
      </c>
      <c r="H186" s="17">
        <v>1210.4947729999999</v>
      </c>
      <c r="I186" s="17">
        <v>4.9444444440000002</v>
      </c>
      <c r="J186" t="str">
        <f t="shared" si="8"/>
        <v>Disappointing Experiences</v>
      </c>
    </row>
    <row r="187" spans="1:10" x14ac:dyDescent="0.2">
      <c r="A187" s="16" t="s">
        <v>825</v>
      </c>
      <c r="B187">
        <v>16</v>
      </c>
      <c r="C187" t="str">
        <f t="shared" si="6"/>
        <v>High Order Count</v>
      </c>
      <c r="D187" s="17">
        <v>165</v>
      </c>
      <c r="E187" t="str">
        <f t="shared" si="7"/>
        <v>High Volume</v>
      </c>
      <c r="F187" s="17">
        <v>1538.4375</v>
      </c>
      <c r="G187" s="17">
        <v>1244.650793</v>
      </c>
      <c r="H187" s="17">
        <v>1244.650793</v>
      </c>
      <c r="I187" s="17">
        <v>6.125</v>
      </c>
      <c r="J187" t="str">
        <f t="shared" si="8"/>
        <v>Positive Experiences</v>
      </c>
    </row>
    <row r="188" spans="1:10" x14ac:dyDescent="0.2">
      <c r="A188" s="16" t="s">
        <v>482</v>
      </c>
      <c r="B188">
        <v>17</v>
      </c>
      <c r="C188" t="str">
        <f t="shared" si="6"/>
        <v>High Order Count</v>
      </c>
      <c r="D188" s="17">
        <v>158</v>
      </c>
      <c r="E188" t="str">
        <f t="shared" si="7"/>
        <v>High Volume</v>
      </c>
      <c r="F188" s="17">
        <v>1787.117647</v>
      </c>
      <c r="G188" s="17">
        <v>1758.282858</v>
      </c>
      <c r="H188" s="17">
        <v>1758.282858</v>
      </c>
      <c r="I188" s="17">
        <v>6.0588235289999997</v>
      </c>
      <c r="J188" t="str">
        <f t="shared" si="8"/>
        <v>Positive Experiences</v>
      </c>
    </row>
    <row r="189" spans="1:10" x14ac:dyDescent="0.2">
      <c r="A189" s="16" t="s">
        <v>191</v>
      </c>
      <c r="B189">
        <v>15</v>
      </c>
      <c r="C189" t="str">
        <f t="shared" si="6"/>
        <v>High Order Count</v>
      </c>
      <c r="D189" s="17">
        <v>160</v>
      </c>
      <c r="E189" t="str">
        <f t="shared" si="7"/>
        <v>High Volume</v>
      </c>
      <c r="F189" s="17">
        <v>1749.2</v>
      </c>
      <c r="G189" s="17">
        <v>1725.3296250000001</v>
      </c>
      <c r="H189" s="17">
        <v>1725.3296250000001</v>
      </c>
      <c r="I189" s="17">
        <v>4.5333333329999999</v>
      </c>
      <c r="J189" t="str">
        <f t="shared" si="8"/>
        <v>Disappointing Experiences</v>
      </c>
    </row>
    <row r="190" spans="1:10" x14ac:dyDescent="0.2">
      <c r="A190" s="16" t="s">
        <v>914</v>
      </c>
      <c r="B190">
        <v>10</v>
      </c>
      <c r="C190" t="str">
        <f t="shared" si="6"/>
        <v>Low Order Count</v>
      </c>
      <c r="D190" s="17">
        <v>122</v>
      </c>
      <c r="E190" t="str">
        <f t="shared" si="7"/>
        <v>High Volume</v>
      </c>
      <c r="F190" s="17">
        <v>2197.5</v>
      </c>
      <c r="G190" s="17">
        <v>1906.808925</v>
      </c>
      <c r="H190" s="17">
        <v>1906.808925</v>
      </c>
      <c r="I190" s="17">
        <v>6.1</v>
      </c>
      <c r="J190" t="str">
        <f t="shared" si="8"/>
        <v>Positive Experiences</v>
      </c>
    </row>
    <row r="191" spans="1:10" x14ac:dyDescent="0.2">
      <c r="A191" s="16" t="s">
        <v>453</v>
      </c>
      <c r="B191">
        <v>14</v>
      </c>
      <c r="C191" t="str">
        <f t="shared" si="6"/>
        <v>High Order Count</v>
      </c>
      <c r="D191" s="17">
        <v>151</v>
      </c>
      <c r="E191" t="str">
        <f t="shared" si="7"/>
        <v>High Volume</v>
      </c>
      <c r="F191" s="17">
        <v>2498.2142859999999</v>
      </c>
      <c r="G191" s="17">
        <v>2063.884693</v>
      </c>
      <c r="H191" s="17">
        <v>2063.884693</v>
      </c>
      <c r="I191" s="17">
        <v>5.5</v>
      </c>
      <c r="J191" t="str">
        <f t="shared" si="8"/>
        <v>Positive Experiences</v>
      </c>
    </row>
    <row r="192" spans="1:10" x14ac:dyDescent="0.2">
      <c r="A192" s="16" t="s">
        <v>295</v>
      </c>
      <c r="B192">
        <v>13</v>
      </c>
      <c r="C192" t="str">
        <f t="shared" si="6"/>
        <v>Low Order Count</v>
      </c>
      <c r="D192" s="17">
        <v>126</v>
      </c>
      <c r="E192" t="str">
        <f t="shared" si="7"/>
        <v>High Volume</v>
      </c>
      <c r="F192" s="17">
        <v>1357.6923079999999</v>
      </c>
      <c r="G192" s="17">
        <v>930.21246540000004</v>
      </c>
      <c r="H192" s="17">
        <v>930.21246540000004</v>
      </c>
      <c r="I192" s="17">
        <v>4.230769231</v>
      </c>
      <c r="J192" t="str">
        <f t="shared" si="8"/>
        <v>Disappointing Experiences</v>
      </c>
    </row>
    <row r="193" spans="1:10" x14ac:dyDescent="0.2">
      <c r="A193" s="16" t="s">
        <v>856</v>
      </c>
      <c r="B193">
        <v>15</v>
      </c>
      <c r="C193" t="str">
        <f t="shared" si="6"/>
        <v>High Order Count</v>
      </c>
      <c r="D193" s="17">
        <v>132</v>
      </c>
      <c r="E193" t="str">
        <f t="shared" si="7"/>
        <v>High Volume</v>
      </c>
      <c r="F193" s="17">
        <v>1930.6</v>
      </c>
      <c r="G193" s="17">
        <v>1528.3109629999999</v>
      </c>
      <c r="H193" s="17">
        <v>1528.3109629999999</v>
      </c>
      <c r="I193" s="17">
        <v>5.266666667</v>
      </c>
      <c r="J193" t="str">
        <f t="shared" si="8"/>
        <v>Positive Experiences</v>
      </c>
    </row>
    <row r="194" spans="1:10" x14ac:dyDescent="0.2">
      <c r="A194" s="16" t="s">
        <v>106</v>
      </c>
      <c r="B194">
        <v>20</v>
      </c>
      <c r="C194" t="str">
        <f t="shared" si="6"/>
        <v>High Order Count</v>
      </c>
      <c r="D194" s="17">
        <v>197</v>
      </c>
      <c r="E194" t="str">
        <f t="shared" si="7"/>
        <v>High Volume</v>
      </c>
      <c r="F194" s="17">
        <v>2054</v>
      </c>
      <c r="G194" s="17">
        <v>1853.884769</v>
      </c>
      <c r="H194" s="17">
        <v>1853.884769</v>
      </c>
      <c r="I194" s="17">
        <v>5.55</v>
      </c>
      <c r="J194" t="str">
        <f t="shared" si="8"/>
        <v>Positive Experiences</v>
      </c>
    </row>
    <row r="195" spans="1:10" x14ac:dyDescent="0.2">
      <c r="A195" s="16" t="s">
        <v>701</v>
      </c>
      <c r="B195">
        <v>13</v>
      </c>
      <c r="C195" t="str">
        <f t="shared" ref="C195:C258" si="9">IF(B195&gt;13,"High Order Count", "Low Order Count")</f>
        <v>Low Order Count</v>
      </c>
      <c r="D195" s="17">
        <v>126</v>
      </c>
      <c r="E195" t="str">
        <f t="shared" ref="E195:E258" si="10">IF(D195&lt;=50,"Low Volume",IF(D195&gt;100,"High Volume","Mid-Volume"))</f>
        <v>High Volume</v>
      </c>
      <c r="F195" s="17">
        <v>1799.461538</v>
      </c>
      <c r="G195" s="17">
        <v>1832.871727</v>
      </c>
      <c r="H195" s="17">
        <v>1832.871727</v>
      </c>
      <c r="I195" s="17">
        <v>4.538461538</v>
      </c>
      <c r="J195" t="str">
        <f t="shared" ref="J195:J258" si="11">IF(I195&gt;5,"Positive Experiences","Disappointing Experiences")</f>
        <v>Disappointing Experiences</v>
      </c>
    </row>
    <row r="196" spans="1:10" x14ac:dyDescent="0.2">
      <c r="A196" s="16" t="s">
        <v>348</v>
      </c>
      <c r="B196">
        <v>10</v>
      </c>
      <c r="C196" t="str">
        <f t="shared" si="9"/>
        <v>Low Order Count</v>
      </c>
      <c r="D196" s="17">
        <v>78</v>
      </c>
      <c r="E196" t="str">
        <f t="shared" si="10"/>
        <v>Mid-Volume</v>
      </c>
      <c r="F196" s="17">
        <v>1303.0999999999999</v>
      </c>
      <c r="G196" s="17">
        <v>944.60437930000001</v>
      </c>
      <c r="H196" s="17">
        <v>944.60437930000001</v>
      </c>
      <c r="I196" s="17">
        <v>6.7</v>
      </c>
      <c r="J196" t="str">
        <f t="shared" si="11"/>
        <v>Positive Experiences</v>
      </c>
    </row>
    <row r="197" spans="1:10" x14ac:dyDescent="0.2">
      <c r="A197" s="16" t="s">
        <v>754</v>
      </c>
      <c r="B197">
        <v>8</v>
      </c>
      <c r="C197" t="str">
        <f t="shared" si="9"/>
        <v>Low Order Count</v>
      </c>
      <c r="D197" s="17">
        <v>102</v>
      </c>
      <c r="E197" t="str">
        <f t="shared" si="10"/>
        <v>High Volume</v>
      </c>
      <c r="F197" s="17">
        <v>1843.25</v>
      </c>
      <c r="G197" s="17">
        <v>1004.934077</v>
      </c>
      <c r="H197" s="17">
        <v>1004.934077</v>
      </c>
      <c r="I197" s="17">
        <v>5.375</v>
      </c>
      <c r="J197" t="str">
        <f t="shared" si="11"/>
        <v>Positive Experiences</v>
      </c>
    </row>
    <row r="198" spans="1:10" x14ac:dyDescent="0.2">
      <c r="A198" s="16" t="s">
        <v>41</v>
      </c>
      <c r="B198">
        <v>13</v>
      </c>
      <c r="C198" t="str">
        <f t="shared" si="9"/>
        <v>Low Order Count</v>
      </c>
      <c r="D198" s="17">
        <v>178</v>
      </c>
      <c r="E198" t="str">
        <f t="shared" si="10"/>
        <v>High Volume</v>
      </c>
      <c r="F198" s="17">
        <v>2471</v>
      </c>
      <c r="G198" s="17">
        <v>1865.025022</v>
      </c>
      <c r="H198" s="17">
        <v>1865.025022</v>
      </c>
      <c r="I198" s="17">
        <v>5.538461538</v>
      </c>
      <c r="J198" t="str">
        <f t="shared" si="11"/>
        <v>Positive Experiences</v>
      </c>
    </row>
    <row r="199" spans="1:10" x14ac:dyDescent="0.2">
      <c r="A199" s="16" t="s">
        <v>194</v>
      </c>
      <c r="B199">
        <v>12</v>
      </c>
      <c r="C199" t="str">
        <f t="shared" si="9"/>
        <v>Low Order Count</v>
      </c>
      <c r="D199" s="17">
        <v>162</v>
      </c>
      <c r="E199" t="str">
        <f t="shared" si="10"/>
        <v>High Volume</v>
      </c>
      <c r="F199" s="17">
        <v>3075.916667</v>
      </c>
      <c r="G199" s="17">
        <v>1858.450257</v>
      </c>
      <c r="H199" s="17">
        <v>1858.450257</v>
      </c>
      <c r="I199" s="17">
        <v>6</v>
      </c>
      <c r="J199" t="str">
        <f t="shared" si="11"/>
        <v>Positive Experiences</v>
      </c>
    </row>
    <row r="200" spans="1:10" x14ac:dyDescent="0.2">
      <c r="A200" s="16" t="s">
        <v>923</v>
      </c>
      <c r="B200">
        <v>14</v>
      </c>
      <c r="C200" t="str">
        <f t="shared" si="9"/>
        <v>High Order Count</v>
      </c>
      <c r="D200" s="17">
        <v>198</v>
      </c>
      <c r="E200" t="str">
        <f t="shared" si="10"/>
        <v>High Volume</v>
      </c>
      <c r="F200" s="17">
        <v>2054.3571430000002</v>
      </c>
      <c r="G200" s="17">
        <v>1490.1991399999999</v>
      </c>
      <c r="H200" s="17">
        <v>1490.1991399999999</v>
      </c>
      <c r="I200" s="17">
        <v>4.8571428570000004</v>
      </c>
      <c r="J200" t="str">
        <f t="shared" si="11"/>
        <v>Disappointing Experiences</v>
      </c>
    </row>
    <row r="201" spans="1:10" x14ac:dyDescent="0.2">
      <c r="A201" s="16" t="s">
        <v>444</v>
      </c>
      <c r="B201">
        <v>19</v>
      </c>
      <c r="C201" t="str">
        <f t="shared" si="9"/>
        <v>High Order Count</v>
      </c>
      <c r="D201" s="17">
        <v>237</v>
      </c>
      <c r="E201" t="str">
        <f t="shared" si="10"/>
        <v>High Volume</v>
      </c>
      <c r="F201" s="17">
        <v>2458.6315789999999</v>
      </c>
      <c r="G201" s="17">
        <v>1960.6779779999999</v>
      </c>
      <c r="H201" s="17">
        <v>1960.6779779999999</v>
      </c>
      <c r="I201" s="17">
        <v>7.8947368420000004</v>
      </c>
      <c r="J201" t="str">
        <f t="shared" si="11"/>
        <v>Positive Experiences</v>
      </c>
    </row>
    <row r="202" spans="1:10" x14ac:dyDescent="0.2">
      <c r="A202" s="16" t="s">
        <v>128</v>
      </c>
      <c r="B202">
        <v>9</v>
      </c>
      <c r="C202" t="str">
        <f t="shared" si="9"/>
        <v>Low Order Count</v>
      </c>
      <c r="D202" s="17">
        <v>138</v>
      </c>
      <c r="E202" t="str">
        <f t="shared" si="10"/>
        <v>High Volume</v>
      </c>
      <c r="F202" s="17">
        <v>3514.8888889999998</v>
      </c>
      <c r="G202" s="17">
        <v>1812.5536850000001</v>
      </c>
      <c r="H202" s="17">
        <v>1812.5536850000001</v>
      </c>
      <c r="I202" s="17">
        <v>5.5555555559999998</v>
      </c>
      <c r="J202" t="str">
        <f t="shared" si="11"/>
        <v>Positive Experiences</v>
      </c>
    </row>
    <row r="203" spans="1:10" x14ac:dyDescent="0.2">
      <c r="A203" s="16" t="s">
        <v>1068</v>
      </c>
      <c r="B203">
        <v>16</v>
      </c>
      <c r="C203" t="str">
        <f t="shared" si="9"/>
        <v>High Order Count</v>
      </c>
      <c r="D203" s="17">
        <v>177</v>
      </c>
      <c r="E203" t="str">
        <f t="shared" si="10"/>
        <v>High Volume</v>
      </c>
      <c r="F203" s="17">
        <v>1661.125</v>
      </c>
      <c r="G203" s="17">
        <v>1229.053993</v>
      </c>
      <c r="H203" s="17">
        <v>1229.053993</v>
      </c>
      <c r="I203" s="17">
        <v>5</v>
      </c>
      <c r="J203" t="str">
        <f t="shared" si="11"/>
        <v>Disappointing Experiences</v>
      </c>
    </row>
    <row r="204" spans="1:10" x14ac:dyDescent="0.2">
      <c r="A204" s="16" t="s">
        <v>207</v>
      </c>
      <c r="B204">
        <v>12</v>
      </c>
      <c r="C204" t="str">
        <f t="shared" si="9"/>
        <v>Low Order Count</v>
      </c>
      <c r="D204" s="17">
        <v>108</v>
      </c>
      <c r="E204" t="str">
        <f t="shared" si="10"/>
        <v>High Volume</v>
      </c>
      <c r="F204" s="17">
        <v>1456.083333</v>
      </c>
      <c r="G204" s="17">
        <v>1042.644057</v>
      </c>
      <c r="H204" s="17">
        <v>1042.644057</v>
      </c>
      <c r="I204" s="17">
        <v>4.75</v>
      </c>
      <c r="J204" t="str">
        <f t="shared" si="11"/>
        <v>Disappointing Experiences</v>
      </c>
    </row>
    <row r="205" spans="1:10" x14ac:dyDescent="0.2">
      <c r="A205" s="16" t="s">
        <v>270</v>
      </c>
      <c r="B205">
        <v>16</v>
      </c>
      <c r="C205" t="str">
        <f t="shared" si="9"/>
        <v>High Order Count</v>
      </c>
      <c r="D205" s="17">
        <v>215</v>
      </c>
      <c r="E205" t="str">
        <f t="shared" si="10"/>
        <v>High Volume</v>
      </c>
      <c r="F205" s="17">
        <v>2424.4375</v>
      </c>
      <c r="G205" s="17">
        <v>1376.251041</v>
      </c>
      <c r="H205" s="17">
        <v>1376.251041</v>
      </c>
      <c r="I205" s="17">
        <v>5</v>
      </c>
      <c r="J205" t="str">
        <f t="shared" si="11"/>
        <v>Disappointing Experiences</v>
      </c>
    </row>
    <row r="206" spans="1:10" x14ac:dyDescent="0.2">
      <c r="A206" s="16" t="s">
        <v>45</v>
      </c>
      <c r="B206">
        <v>8</v>
      </c>
      <c r="C206" t="str">
        <f t="shared" si="9"/>
        <v>Low Order Count</v>
      </c>
      <c r="D206" s="17">
        <v>95</v>
      </c>
      <c r="E206" t="str">
        <f t="shared" si="10"/>
        <v>Mid-Volume</v>
      </c>
      <c r="F206" s="17">
        <v>1902</v>
      </c>
      <c r="G206" s="17">
        <v>899.93571199999997</v>
      </c>
      <c r="H206" s="17">
        <v>899.93571199999997</v>
      </c>
      <c r="I206" s="17">
        <v>4.5</v>
      </c>
      <c r="J206" t="str">
        <f t="shared" si="11"/>
        <v>Disappointing Experiences</v>
      </c>
    </row>
    <row r="207" spans="1:10" x14ac:dyDescent="0.2">
      <c r="A207" s="16" t="s">
        <v>315</v>
      </c>
      <c r="B207">
        <v>20</v>
      </c>
      <c r="C207" t="str">
        <f t="shared" si="9"/>
        <v>High Order Count</v>
      </c>
      <c r="D207" s="17">
        <v>203</v>
      </c>
      <c r="E207" t="str">
        <f t="shared" si="10"/>
        <v>High Volume</v>
      </c>
      <c r="F207" s="17">
        <v>1642.9</v>
      </c>
      <c r="G207" s="17">
        <v>1364.227404</v>
      </c>
      <c r="H207" s="17">
        <v>1364.227404</v>
      </c>
      <c r="I207" s="17">
        <v>4.3499999999999996</v>
      </c>
      <c r="J207" t="str">
        <f t="shared" si="11"/>
        <v>Disappointing Experiences</v>
      </c>
    </row>
    <row r="208" spans="1:10" x14ac:dyDescent="0.2">
      <c r="A208" s="16" t="s">
        <v>418</v>
      </c>
      <c r="B208">
        <v>14</v>
      </c>
      <c r="C208" t="str">
        <f t="shared" si="9"/>
        <v>High Order Count</v>
      </c>
      <c r="D208" s="17">
        <v>164</v>
      </c>
      <c r="E208" t="str">
        <f t="shared" si="10"/>
        <v>High Volume</v>
      </c>
      <c r="F208" s="17">
        <v>1740.5714290000001</v>
      </c>
      <c r="G208" s="17">
        <v>1147.507715</v>
      </c>
      <c r="H208" s="17">
        <v>1147.507715</v>
      </c>
      <c r="I208" s="17">
        <v>4.5</v>
      </c>
      <c r="J208" t="str">
        <f t="shared" si="11"/>
        <v>Disappointing Experiences</v>
      </c>
    </row>
    <row r="209" spans="1:10" x14ac:dyDescent="0.2">
      <c r="A209" s="16" t="s">
        <v>321</v>
      </c>
      <c r="B209">
        <v>13</v>
      </c>
      <c r="C209" t="str">
        <f t="shared" si="9"/>
        <v>Low Order Count</v>
      </c>
      <c r="D209" s="17">
        <v>111</v>
      </c>
      <c r="E209" t="str">
        <f t="shared" si="10"/>
        <v>High Volume</v>
      </c>
      <c r="F209" s="17">
        <v>1549.3076920000001</v>
      </c>
      <c r="G209" s="17">
        <v>1106.9722509999999</v>
      </c>
      <c r="H209" s="17">
        <v>1106.9722509999999</v>
      </c>
      <c r="I209" s="17">
        <v>5.461538462</v>
      </c>
      <c r="J209" t="str">
        <f t="shared" si="11"/>
        <v>Positive Experiences</v>
      </c>
    </row>
    <row r="210" spans="1:10" x14ac:dyDescent="0.2">
      <c r="A210" s="16" t="s">
        <v>879</v>
      </c>
      <c r="B210">
        <v>8</v>
      </c>
      <c r="C210" t="str">
        <f t="shared" si="9"/>
        <v>Low Order Count</v>
      </c>
      <c r="D210" s="17">
        <v>81</v>
      </c>
      <c r="E210" t="str">
        <f t="shared" si="10"/>
        <v>Mid-Volume</v>
      </c>
      <c r="F210" s="17">
        <v>1625</v>
      </c>
      <c r="G210" s="17">
        <v>1645.5528810000001</v>
      </c>
      <c r="H210" s="17">
        <v>1645.5528810000001</v>
      </c>
      <c r="I210" s="17">
        <v>5.625</v>
      </c>
      <c r="J210" t="str">
        <f t="shared" si="11"/>
        <v>Positive Experiences</v>
      </c>
    </row>
    <row r="211" spans="1:10" x14ac:dyDescent="0.2">
      <c r="A211" s="16" t="s">
        <v>713</v>
      </c>
      <c r="B211">
        <v>18</v>
      </c>
      <c r="C211" t="str">
        <f t="shared" si="9"/>
        <v>High Order Count</v>
      </c>
      <c r="D211" s="17">
        <v>178</v>
      </c>
      <c r="E211" t="str">
        <f t="shared" si="10"/>
        <v>High Volume</v>
      </c>
      <c r="F211" s="17">
        <v>1744.6111109999999</v>
      </c>
      <c r="G211" s="17">
        <v>1387.1342079999999</v>
      </c>
      <c r="H211" s="17">
        <v>1387.1342079999999</v>
      </c>
      <c r="I211" s="17">
        <v>6.1666666670000003</v>
      </c>
      <c r="J211" t="str">
        <f t="shared" si="11"/>
        <v>Positive Experiences</v>
      </c>
    </row>
    <row r="212" spans="1:10" x14ac:dyDescent="0.2">
      <c r="A212" s="16" t="s">
        <v>741</v>
      </c>
      <c r="B212">
        <v>13</v>
      </c>
      <c r="C212" t="str">
        <f t="shared" si="9"/>
        <v>Low Order Count</v>
      </c>
      <c r="D212" s="17">
        <v>108</v>
      </c>
      <c r="E212" t="str">
        <f t="shared" si="10"/>
        <v>High Volume</v>
      </c>
      <c r="F212" s="17">
        <v>1740</v>
      </c>
      <c r="G212" s="17">
        <v>1738.2638850000001</v>
      </c>
      <c r="H212" s="17">
        <v>1738.2638850000001</v>
      </c>
      <c r="I212" s="17">
        <v>6.307692308</v>
      </c>
      <c r="J212" t="str">
        <f t="shared" si="11"/>
        <v>Positive Experiences</v>
      </c>
    </row>
    <row r="213" spans="1:10" x14ac:dyDescent="0.2">
      <c r="A213" s="16" t="s">
        <v>264</v>
      </c>
      <c r="B213">
        <v>19</v>
      </c>
      <c r="C213" t="str">
        <f t="shared" si="9"/>
        <v>High Order Count</v>
      </c>
      <c r="D213" s="17">
        <v>216</v>
      </c>
      <c r="E213" t="str">
        <f t="shared" si="10"/>
        <v>High Volume</v>
      </c>
      <c r="F213" s="17">
        <v>1816.315789</v>
      </c>
      <c r="G213" s="17">
        <v>1365.2814550000001</v>
      </c>
      <c r="H213" s="17">
        <v>1365.2814550000001</v>
      </c>
      <c r="I213" s="17">
        <v>5.6842105260000002</v>
      </c>
      <c r="J213" t="str">
        <f t="shared" si="11"/>
        <v>Positive Experiences</v>
      </c>
    </row>
    <row r="214" spans="1:10" x14ac:dyDescent="0.2">
      <c r="A214" s="16" t="s">
        <v>1702</v>
      </c>
      <c r="B214">
        <v>8</v>
      </c>
      <c r="C214" t="str">
        <f t="shared" si="9"/>
        <v>Low Order Count</v>
      </c>
      <c r="D214" s="17">
        <v>88</v>
      </c>
      <c r="E214" t="str">
        <f t="shared" si="10"/>
        <v>Mid-Volume</v>
      </c>
      <c r="F214" s="17">
        <v>2138.75</v>
      </c>
      <c r="G214" s="17">
        <v>1365.2196839999999</v>
      </c>
      <c r="H214" s="17">
        <v>1365.2196839999999</v>
      </c>
      <c r="I214" s="17">
        <v>6.5</v>
      </c>
      <c r="J214" t="str">
        <f t="shared" si="11"/>
        <v>Positive Experiences</v>
      </c>
    </row>
    <row r="215" spans="1:10" x14ac:dyDescent="0.2">
      <c r="A215" s="16" t="s">
        <v>155</v>
      </c>
      <c r="B215">
        <v>13</v>
      </c>
      <c r="C215" t="str">
        <f t="shared" si="9"/>
        <v>Low Order Count</v>
      </c>
      <c r="D215" s="17">
        <v>134</v>
      </c>
      <c r="E215" t="str">
        <f t="shared" si="10"/>
        <v>High Volume</v>
      </c>
      <c r="F215" s="17">
        <v>2570.3846149999999</v>
      </c>
      <c r="G215" s="17">
        <v>1557.042792</v>
      </c>
      <c r="H215" s="17">
        <v>1557.042792</v>
      </c>
      <c r="I215" s="17">
        <v>5.230769231</v>
      </c>
      <c r="J215" t="str">
        <f t="shared" si="11"/>
        <v>Positive Experiences</v>
      </c>
    </row>
    <row r="216" spans="1:10" x14ac:dyDescent="0.2">
      <c r="A216" s="16" t="s">
        <v>354</v>
      </c>
      <c r="B216">
        <v>15</v>
      </c>
      <c r="C216" t="str">
        <f t="shared" si="9"/>
        <v>High Order Count</v>
      </c>
      <c r="D216" s="17">
        <v>220</v>
      </c>
      <c r="E216" t="str">
        <f t="shared" si="10"/>
        <v>High Volume</v>
      </c>
      <c r="F216" s="17">
        <v>2599.1999999999998</v>
      </c>
      <c r="G216" s="17">
        <v>2176.7063979999998</v>
      </c>
      <c r="H216" s="17">
        <v>2176.7063979999998</v>
      </c>
      <c r="I216" s="17">
        <v>4.733333333</v>
      </c>
      <c r="J216" t="str">
        <f t="shared" si="11"/>
        <v>Disappointing Experiences</v>
      </c>
    </row>
    <row r="217" spans="1:10" x14ac:dyDescent="0.2">
      <c r="A217" s="16" t="s">
        <v>1157</v>
      </c>
      <c r="B217">
        <v>17</v>
      </c>
      <c r="C217" t="str">
        <f t="shared" si="9"/>
        <v>High Order Count</v>
      </c>
      <c r="D217" s="17">
        <v>206</v>
      </c>
      <c r="E217" t="str">
        <f t="shared" si="10"/>
        <v>High Volume</v>
      </c>
      <c r="F217" s="17">
        <v>2511</v>
      </c>
      <c r="G217" s="17">
        <v>1684.04513</v>
      </c>
      <c r="H217" s="17">
        <v>1684.04513</v>
      </c>
      <c r="I217" s="17">
        <v>5.1764705879999999</v>
      </c>
      <c r="J217" t="str">
        <f t="shared" si="11"/>
        <v>Positive Experiences</v>
      </c>
    </row>
    <row r="218" spans="1:10" x14ac:dyDescent="0.2">
      <c r="A218" s="16" t="s">
        <v>230</v>
      </c>
      <c r="B218">
        <v>22</v>
      </c>
      <c r="C218" t="str">
        <f t="shared" si="9"/>
        <v>High Order Count</v>
      </c>
      <c r="D218" s="17">
        <v>249</v>
      </c>
      <c r="E218" t="str">
        <f t="shared" si="10"/>
        <v>High Volume</v>
      </c>
      <c r="F218" s="17">
        <v>1624.9545450000001</v>
      </c>
      <c r="G218" s="17">
        <v>1213.7381250000001</v>
      </c>
      <c r="H218" s="17">
        <v>1213.7381250000001</v>
      </c>
      <c r="I218" s="17">
        <v>5</v>
      </c>
      <c r="J218" t="str">
        <f t="shared" si="11"/>
        <v>Disappointing Experiences</v>
      </c>
    </row>
    <row r="219" spans="1:10" x14ac:dyDescent="0.2">
      <c r="A219" s="16" t="s">
        <v>1223</v>
      </c>
      <c r="B219">
        <v>13</v>
      </c>
      <c r="C219" t="str">
        <f t="shared" si="9"/>
        <v>Low Order Count</v>
      </c>
      <c r="D219" s="17">
        <v>129</v>
      </c>
      <c r="E219" t="str">
        <f t="shared" si="10"/>
        <v>High Volume</v>
      </c>
      <c r="F219" s="17">
        <v>1697.0769230000001</v>
      </c>
      <c r="G219" s="17">
        <v>1327.563273</v>
      </c>
      <c r="H219" s="17">
        <v>1327.563273</v>
      </c>
      <c r="I219" s="17">
        <v>4.461538462</v>
      </c>
      <c r="J219" t="str">
        <f t="shared" si="11"/>
        <v>Disappointing Experiences</v>
      </c>
    </row>
    <row r="220" spans="1:10" x14ac:dyDescent="0.2">
      <c r="A220" s="16" t="s">
        <v>545</v>
      </c>
      <c r="B220">
        <v>13</v>
      </c>
      <c r="C220" t="str">
        <f t="shared" si="9"/>
        <v>Low Order Count</v>
      </c>
      <c r="D220" s="17">
        <v>142</v>
      </c>
      <c r="E220" t="str">
        <f t="shared" si="10"/>
        <v>High Volume</v>
      </c>
      <c r="F220" s="17">
        <v>1595.8461540000001</v>
      </c>
      <c r="G220" s="17">
        <v>1197.0093879999999</v>
      </c>
      <c r="H220" s="17">
        <v>1197.0093879999999</v>
      </c>
      <c r="I220" s="17">
        <v>5.538461538</v>
      </c>
      <c r="J220" t="str">
        <f t="shared" si="11"/>
        <v>Positive Experiences</v>
      </c>
    </row>
    <row r="221" spans="1:10" x14ac:dyDescent="0.2">
      <c r="A221" s="16" t="s">
        <v>1432</v>
      </c>
      <c r="B221">
        <v>14</v>
      </c>
      <c r="C221" t="str">
        <f t="shared" si="9"/>
        <v>High Order Count</v>
      </c>
      <c r="D221" s="17">
        <v>139</v>
      </c>
      <c r="E221" t="str">
        <f t="shared" si="10"/>
        <v>High Volume</v>
      </c>
      <c r="F221" s="17">
        <v>1816.0714290000001</v>
      </c>
      <c r="G221" s="17">
        <v>1571.8834589999999</v>
      </c>
      <c r="H221" s="17">
        <v>1571.8834589999999</v>
      </c>
      <c r="I221" s="17">
        <v>5.5714285710000002</v>
      </c>
      <c r="J221" t="str">
        <f t="shared" si="11"/>
        <v>Positive Experiences</v>
      </c>
    </row>
    <row r="222" spans="1:10" x14ac:dyDescent="0.2">
      <c r="A222" s="16" t="s">
        <v>1107</v>
      </c>
      <c r="B222">
        <v>10</v>
      </c>
      <c r="C222" t="str">
        <f t="shared" si="9"/>
        <v>Low Order Count</v>
      </c>
      <c r="D222" s="17">
        <v>124</v>
      </c>
      <c r="E222" t="str">
        <f t="shared" si="10"/>
        <v>High Volume</v>
      </c>
      <c r="F222" s="17">
        <v>2117.6999999999998</v>
      </c>
      <c r="G222" s="17">
        <v>979.72286899999995</v>
      </c>
      <c r="H222" s="17">
        <v>979.72286899999995</v>
      </c>
      <c r="I222" s="17">
        <v>7.1</v>
      </c>
      <c r="J222" t="str">
        <f t="shared" si="11"/>
        <v>Positive Experiences</v>
      </c>
    </row>
    <row r="223" spans="1:10" x14ac:dyDescent="0.2">
      <c r="A223" s="16" t="s">
        <v>804</v>
      </c>
      <c r="B223">
        <v>9</v>
      </c>
      <c r="C223" t="str">
        <f t="shared" si="9"/>
        <v>Low Order Count</v>
      </c>
      <c r="D223" s="17">
        <v>81</v>
      </c>
      <c r="E223" t="str">
        <f t="shared" si="10"/>
        <v>Mid-Volume</v>
      </c>
      <c r="F223" s="17">
        <v>1939.555556</v>
      </c>
      <c r="G223" s="17">
        <v>1692.916058</v>
      </c>
      <c r="H223" s="17">
        <v>1692.916058</v>
      </c>
      <c r="I223" s="17">
        <v>5.6666666670000003</v>
      </c>
      <c r="J223" t="str">
        <f t="shared" si="11"/>
        <v>Positive Experiences</v>
      </c>
    </row>
    <row r="224" spans="1:10" x14ac:dyDescent="0.2">
      <c r="A224" s="16" t="s">
        <v>140</v>
      </c>
      <c r="B224">
        <v>13</v>
      </c>
      <c r="C224" t="str">
        <f t="shared" si="9"/>
        <v>Low Order Count</v>
      </c>
      <c r="D224" s="17">
        <v>132</v>
      </c>
      <c r="E224" t="str">
        <f t="shared" si="10"/>
        <v>High Volume</v>
      </c>
      <c r="F224" s="17">
        <v>2296.3846149999999</v>
      </c>
      <c r="G224" s="17">
        <v>2069.701329</v>
      </c>
      <c r="H224" s="17">
        <v>2069.701329</v>
      </c>
      <c r="I224" s="17">
        <v>5.538461538</v>
      </c>
      <c r="J224" t="str">
        <f t="shared" si="11"/>
        <v>Positive Experiences</v>
      </c>
    </row>
    <row r="225" spans="1:10" x14ac:dyDescent="0.2">
      <c r="A225" s="16" t="s">
        <v>426</v>
      </c>
      <c r="B225">
        <v>24</v>
      </c>
      <c r="C225" t="str">
        <f t="shared" si="9"/>
        <v>High Order Count</v>
      </c>
      <c r="D225" s="17">
        <v>189</v>
      </c>
      <c r="E225" t="str">
        <f t="shared" si="10"/>
        <v>High Volume</v>
      </c>
      <c r="F225" s="17">
        <v>1354.375</v>
      </c>
      <c r="G225" s="17">
        <v>982.23307299999999</v>
      </c>
      <c r="H225" s="17">
        <v>982.23307299999999</v>
      </c>
      <c r="I225" s="17">
        <v>6</v>
      </c>
      <c r="J225" t="str">
        <f t="shared" si="11"/>
        <v>Positive Experiences</v>
      </c>
    </row>
    <row r="226" spans="1:10" x14ac:dyDescent="0.2">
      <c r="A226" s="16" t="s">
        <v>60</v>
      </c>
      <c r="B226">
        <v>11</v>
      </c>
      <c r="C226" t="str">
        <f t="shared" si="9"/>
        <v>Low Order Count</v>
      </c>
      <c r="D226" s="17">
        <v>118</v>
      </c>
      <c r="E226" t="str">
        <f t="shared" si="10"/>
        <v>High Volume</v>
      </c>
      <c r="F226" s="17">
        <v>2071.363636</v>
      </c>
      <c r="G226" s="17">
        <v>1737.914628</v>
      </c>
      <c r="H226" s="17">
        <v>1737.914628</v>
      </c>
      <c r="I226" s="17">
        <v>3.5454545450000001</v>
      </c>
      <c r="J226" t="str">
        <f t="shared" si="11"/>
        <v>Disappointing Experiences</v>
      </c>
    </row>
    <row r="227" spans="1:10" x14ac:dyDescent="0.2">
      <c r="A227" s="16" t="s">
        <v>555</v>
      </c>
      <c r="B227">
        <v>16</v>
      </c>
      <c r="C227" t="str">
        <f t="shared" si="9"/>
        <v>High Order Count</v>
      </c>
      <c r="D227" s="17">
        <v>199</v>
      </c>
      <c r="E227" t="str">
        <f t="shared" si="10"/>
        <v>High Volume</v>
      </c>
      <c r="F227" s="17">
        <v>1905.625</v>
      </c>
      <c r="G227" s="17">
        <v>1343.554136</v>
      </c>
      <c r="H227" s="17">
        <v>1343.554136</v>
      </c>
      <c r="I227" s="17">
        <v>5.625</v>
      </c>
      <c r="J227" t="str">
        <f t="shared" si="11"/>
        <v>Positive Experiences</v>
      </c>
    </row>
    <row r="228" spans="1:10" x14ac:dyDescent="0.2">
      <c r="A228" s="16" t="s">
        <v>123</v>
      </c>
      <c r="B228">
        <v>26</v>
      </c>
      <c r="C228" t="str">
        <f t="shared" si="9"/>
        <v>High Order Count</v>
      </c>
      <c r="D228" s="17">
        <v>297</v>
      </c>
      <c r="E228" t="str">
        <f t="shared" si="10"/>
        <v>High Volume</v>
      </c>
      <c r="F228" s="17">
        <v>2331.0769230000001</v>
      </c>
      <c r="G228" s="17">
        <v>2143.760209</v>
      </c>
      <c r="H228" s="17">
        <v>2143.760209</v>
      </c>
      <c r="I228" s="17">
        <v>5.538461538</v>
      </c>
      <c r="J228" t="str">
        <f t="shared" si="11"/>
        <v>Positive Experiences</v>
      </c>
    </row>
    <row r="229" spans="1:10" x14ac:dyDescent="0.2">
      <c r="A229" s="16" t="s">
        <v>629</v>
      </c>
      <c r="B229">
        <v>12</v>
      </c>
      <c r="C229" t="str">
        <f t="shared" si="9"/>
        <v>Low Order Count</v>
      </c>
      <c r="D229" s="17">
        <v>125</v>
      </c>
      <c r="E229" t="str">
        <f t="shared" si="10"/>
        <v>High Volume</v>
      </c>
      <c r="F229" s="17">
        <v>962.16666669999995</v>
      </c>
      <c r="G229" s="17">
        <v>628.33891159999996</v>
      </c>
      <c r="H229" s="17">
        <v>628.33891159999996</v>
      </c>
      <c r="I229" s="17">
        <v>6.4166666670000003</v>
      </c>
      <c r="J229" t="str">
        <f t="shared" si="11"/>
        <v>Positive Experiences</v>
      </c>
    </row>
    <row r="230" spans="1:10" x14ac:dyDescent="0.2">
      <c r="A230" s="16" t="s">
        <v>673</v>
      </c>
      <c r="B230">
        <v>13</v>
      </c>
      <c r="C230" t="str">
        <f t="shared" si="9"/>
        <v>Low Order Count</v>
      </c>
      <c r="D230" s="17">
        <v>123</v>
      </c>
      <c r="E230" t="str">
        <f t="shared" si="10"/>
        <v>High Volume</v>
      </c>
      <c r="F230" s="17">
        <v>1445.769231</v>
      </c>
      <c r="G230" s="17">
        <v>856.96345250000002</v>
      </c>
      <c r="H230" s="17">
        <v>856.96345250000002</v>
      </c>
      <c r="I230" s="17">
        <v>6.230769231</v>
      </c>
      <c r="J230" t="str">
        <f t="shared" si="11"/>
        <v>Positive Experiences</v>
      </c>
    </row>
    <row r="231" spans="1:10" x14ac:dyDescent="0.2">
      <c r="A231" s="16" t="s">
        <v>111</v>
      </c>
      <c r="B231">
        <v>24</v>
      </c>
      <c r="C231" t="str">
        <f t="shared" si="9"/>
        <v>High Order Count</v>
      </c>
      <c r="D231" s="17">
        <v>251</v>
      </c>
      <c r="E231" t="str">
        <f t="shared" si="10"/>
        <v>High Volume</v>
      </c>
      <c r="F231" s="17">
        <v>1597.541667</v>
      </c>
      <c r="G231" s="17">
        <v>1615.138303</v>
      </c>
      <c r="H231" s="17">
        <v>1615.138303</v>
      </c>
      <c r="I231" s="17">
        <v>5.125</v>
      </c>
      <c r="J231" t="str">
        <f t="shared" si="11"/>
        <v>Positive Experiences</v>
      </c>
    </row>
    <row r="232" spans="1:10" x14ac:dyDescent="0.2">
      <c r="A232" s="16" t="s">
        <v>446</v>
      </c>
      <c r="B232">
        <v>14</v>
      </c>
      <c r="C232" t="str">
        <f t="shared" si="9"/>
        <v>High Order Count</v>
      </c>
      <c r="D232" s="17">
        <v>129</v>
      </c>
      <c r="E232" t="str">
        <f t="shared" si="10"/>
        <v>High Volume</v>
      </c>
      <c r="F232" s="17">
        <v>1477.2142859999999</v>
      </c>
      <c r="G232" s="17">
        <v>845.4555603</v>
      </c>
      <c r="H232" s="17">
        <v>845.4555603</v>
      </c>
      <c r="I232" s="17">
        <v>5.1428571429999996</v>
      </c>
      <c r="J232" t="str">
        <f t="shared" si="11"/>
        <v>Positive Experiences</v>
      </c>
    </row>
    <row r="233" spans="1:10" x14ac:dyDescent="0.2">
      <c r="A233" s="16" t="s">
        <v>1065</v>
      </c>
      <c r="B233">
        <v>13</v>
      </c>
      <c r="C233" t="str">
        <f t="shared" si="9"/>
        <v>Low Order Count</v>
      </c>
      <c r="D233" s="17">
        <v>136</v>
      </c>
      <c r="E233" t="str">
        <f t="shared" si="10"/>
        <v>High Volume</v>
      </c>
      <c r="F233" s="17">
        <v>1920.1538459999999</v>
      </c>
      <c r="G233" s="17">
        <v>1258.450889</v>
      </c>
      <c r="H233" s="17">
        <v>1258.450889</v>
      </c>
      <c r="I233" s="17">
        <v>4.846153846</v>
      </c>
      <c r="J233" t="str">
        <f t="shared" si="11"/>
        <v>Disappointing Experiences</v>
      </c>
    </row>
    <row r="234" spans="1:10" x14ac:dyDescent="0.2">
      <c r="A234" s="16" t="s">
        <v>323</v>
      </c>
      <c r="B234">
        <v>12</v>
      </c>
      <c r="C234" t="str">
        <f t="shared" si="9"/>
        <v>Low Order Count</v>
      </c>
      <c r="D234" s="17">
        <v>104</v>
      </c>
      <c r="E234" t="str">
        <f t="shared" si="10"/>
        <v>High Volume</v>
      </c>
      <c r="F234" s="17">
        <v>1614.916667</v>
      </c>
      <c r="G234" s="17">
        <v>1281.733021</v>
      </c>
      <c r="H234" s="17">
        <v>1281.733021</v>
      </c>
      <c r="I234" s="17">
        <v>5.25</v>
      </c>
      <c r="J234" t="str">
        <f t="shared" si="11"/>
        <v>Positive Experiences</v>
      </c>
    </row>
    <row r="235" spans="1:10" x14ac:dyDescent="0.2">
      <c r="A235" s="16" t="s">
        <v>307</v>
      </c>
      <c r="B235">
        <v>13</v>
      </c>
      <c r="C235" t="str">
        <f t="shared" si="9"/>
        <v>Low Order Count</v>
      </c>
      <c r="D235" s="17">
        <v>137</v>
      </c>
      <c r="E235" t="str">
        <f t="shared" si="10"/>
        <v>High Volume</v>
      </c>
      <c r="F235" s="17">
        <v>2048.9230769999999</v>
      </c>
      <c r="G235" s="17">
        <v>1930.143624</v>
      </c>
      <c r="H235" s="17">
        <v>1930.143624</v>
      </c>
      <c r="I235" s="17">
        <v>4.846153846</v>
      </c>
      <c r="J235" t="str">
        <f t="shared" si="11"/>
        <v>Disappointing Experiences</v>
      </c>
    </row>
    <row r="236" spans="1:10" x14ac:dyDescent="0.2">
      <c r="A236" s="16" t="s">
        <v>552</v>
      </c>
      <c r="B236">
        <v>11</v>
      </c>
      <c r="C236" t="str">
        <f t="shared" si="9"/>
        <v>Low Order Count</v>
      </c>
      <c r="D236" s="17">
        <v>91</v>
      </c>
      <c r="E236" t="str">
        <f t="shared" si="10"/>
        <v>Mid-Volume</v>
      </c>
      <c r="F236" s="17">
        <v>1303.909091</v>
      </c>
      <c r="G236" s="17">
        <v>969.59707660000004</v>
      </c>
      <c r="H236" s="17">
        <v>969.59707660000004</v>
      </c>
      <c r="I236" s="17">
        <v>6.9090909089999997</v>
      </c>
      <c r="J236" t="str">
        <f t="shared" si="11"/>
        <v>Positive Experiences</v>
      </c>
    </row>
    <row r="237" spans="1:10" x14ac:dyDescent="0.2">
      <c r="A237" s="16" t="s">
        <v>564</v>
      </c>
      <c r="B237">
        <v>10</v>
      </c>
      <c r="C237" t="str">
        <f t="shared" si="9"/>
        <v>Low Order Count</v>
      </c>
      <c r="D237" s="17">
        <v>105</v>
      </c>
      <c r="E237" t="str">
        <f t="shared" si="10"/>
        <v>High Volume</v>
      </c>
      <c r="F237" s="17">
        <v>1455.1</v>
      </c>
      <c r="G237" s="17">
        <v>921.16031299999997</v>
      </c>
      <c r="H237" s="17">
        <v>921.16031299999997</v>
      </c>
      <c r="I237" s="17">
        <v>5.6</v>
      </c>
      <c r="J237" t="str">
        <f t="shared" si="11"/>
        <v>Positive Experiences</v>
      </c>
    </row>
    <row r="238" spans="1:10" x14ac:dyDescent="0.2">
      <c r="A238" s="16" t="s">
        <v>228</v>
      </c>
      <c r="B238">
        <v>10</v>
      </c>
      <c r="C238" t="str">
        <f t="shared" si="9"/>
        <v>Low Order Count</v>
      </c>
      <c r="D238" s="17">
        <v>99</v>
      </c>
      <c r="E238" t="str">
        <f t="shared" si="10"/>
        <v>Mid-Volume</v>
      </c>
      <c r="F238" s="17">
        <v>1457.1</v>
      </c>
      <c r="G238" s="17">
        <v>1066.090725</v>
      </c>
      <c r="H238" s="17">
        <v>1066.090725</v>
      </c>
      <c r="I238" s="17">
        <v>5.7</v>
      </c>
      <c r="J238" t="str">
        <f t="shared" si="11"/>
        <v>Positive Experiences</v>
      </c>
    </row>
    <row r="239" spans="1:10" x14ac:dyDescent="0.2">
      <c r="A239" s="16" t="s">
        <v>640</v>
      </c>
      <c r="B239">
        <v>13</v>
      </c>
      <c r="C239" t="str">
        <f t="shared" si="9"/>
        <v>Low Order Count</v>
      </c>
      <c r="D239" s="17">
        <v>147</v>
      </c>
      <c r="E239" t="str">
        <f t="shared" si="10"/>
        <v>High Volume</v>
      </c>
      <c r="F239" s="17">
        <v>2499.3846149999999</v>
      </c>
      <c r="G239" s="17">
        <v>1701.4555800000001</v>
      </c>
      <c r="H239" s="17">
        <v>1701.4555800000001</v>
      </c>
      <c r="I239" s="17">
        <v>4.846153846</v>
      </c>
      <c r="J239" t="str">
        <f t="shared" si="11"/>
        <v>Disappointing Experiences</v>
      </c>
    </row>
    <row r="240" spans="1:10" x14ac:dyDescent="0.2">
      <c r="A240" s="16" t="s">
        <v>477</v>
      </c>
      <c r="B240">
        <v>11</v>
      </c>
      <c r="C240" t="str">
        <f t="shared" si="9"/>
        <v>Low Order Count</v>
      </c>
      <c r="D240" s="17">
        <v>94</v>
      </c>
      <c r="E240" t="str">
        <f t="shared" si="10"/>
        <v>Mid-Volume</v>
      </c>
      <c r="F240" s="17">
        <v>1582.363636</v>
      </c>
      <c r="G240" s="17">
        <v>1546.9879940000001</v>
      </c>
      <c r="H240" s="17">
        <v>1546.9879940000001</v>
      </c>
      <c r="I240" s="17">
        <v>4.7272727269999999</v>
      </c>
      <c r="J240" t="str">
        <f t="shared" si="11"/>
        <v>Disappointing Experiences</v>
      </c>
    </row>
    <row r="241" spans="1:10" x14ac:dyDescent="0.2">
      <c r="A241" s="16" t="s">
        <v>335</v>
      </c>
      <c r="B241">
        <v>13</v>
      </c>
      <c r="C241" t="str">
        <f t="shared" si="9"/>
        <v>Low Order Count</v>
      </c>
      <c r="D241" s="17">
        <v>138</v>
      </c>
      <c r="E241" t="str">
        <f t="shared" si="10"/>
        <v>High Volume</v>
      </c>
      <c r="F241" s="17">
        <v>2226.461538</v>
      </c>
      <c r="G241" s="17">
        <v>1978.3375430000001</v>
      </c>
      <c r="H241" s="17">
        <v>1978.3375430000001</v>
      </c>
      <c r="I241" s="17">
        <v>6.923076923</v>
      </c>
      <c r="J241" t="str">
        <f t="shared" si="11"/>
        <v>Positive Experiences</v>
      </c>
    </row>
    <row r="242" spans="1:10" x14ac:dyDescent="0.2">
      <c r="A242" s="16" t="s">
        <v>421</v>
      </c>
      <c r="B242">
        <v>11</v>
      </c>
      <c r="C242" t="str">
        <f t="shared" si="9"/>
        <v>Low Order Count</v>
      </c>
      <c r="D242" s="17">
        <v>93</v>
      </c>
      <c r="E242" t="str">
        <f t="shared" si="10"/>
        <v>Mid-Volume</v>
      </c>
      <c r="F242" s="17">
        <v>1244.363636</v>
      </c>
      <c r="G242" s="17">
        <v>1079.31629</v>
      </c>
      <c r="H242" s="17">
        <v>1079.31629</v>
      </c>
      <c r="I242" s="17">
        <v>4.3636363640000004</v>
      </c>
      <c r="J242" t="str">
        <f t="shared" si="11"/>
        <v>Disappointing Experiences</v>
      </c>
    </row>
    <row r="243" spans="1:10" x14ac:dyDescent="0.2">
      <c r="A243" s="16" t="s">
        <v>548</v>
      </c>
      <c r="B243">
        <v>11</v>
      </c>
      <c r="C243" t="str">
        <f t="shared" si="9"/>
        <v>Low Order Count</v>
      </c>
      <c r="D243" s="17">
        <v>139</v>
      </c>
      <c r="E243" t="str">
        <f t="shared" si="10"/>
        <v>High Volume</v>
      </c>
      <c r="F243" s="17">
        <v>2186.5454549999999</v>
      </c>
      <c r="G243" s="17">
        <v>1700.9722730000001</v>
      </c>
      <c r="H243" s="17">
        <v>1700.9722730000001</v>
      </c>
      <c r="I243" s="17">
        <v>5.5454545450000001</v>
      </c>
      <c r="J243" t="str">
        <f t="shared" si="11"/>
        <v>Positive Experiences</v>
      </c>
    </row>
    <row r="244" spans="1:10" x14ac:dyDescent="0.2">
      <c r="A244" s="16" t="s">
        <v>179</v>
      </c>
      <c r="B244">
        <v>13</v>
      </c>
      <c r="C244" t="str">
        <f t="shared" si="9"/>
        <v>Low Order Count</v>
      </c>
      <c r="D244" s="17">
        <v>131</v>
      </c>
      <c r="E244" t="str">
        <f t="shared" si="10"/>
        <v>High Volume</v>
      </c>
      <c r="F244" s="17">
        <v>1766.8461540000001</v>
      </c>
      <c r="G244" s="17">
        <v>1443.8909149999999</v>
      </c>
      <c r="H244" s="17">
        <v>1443.8909149999999</v>
      </c>
      <c r="I244" s="17">
        <v>5.846153846</v>
      </c>
      <c r="J244" t="str">
        <f t="shared" si="11"/>
        <v>Positive Experiences</v>
      </c>
    </row>
    <row r="245" spans="1:10" x14ac:dyDescent="0.2">
      <c r="A245" s="16" t="s">
        <v>52</v>
      </c>
      <c r="B245">
        <v>17</v>
      </c>
      <c r="C245" t="str">
        <f t="shared" si="9"/>
        <v>High Order Count</v>
      </c>
      <c r="D245" s="17">
        <v>125</v>
      </c>
      <c r="E245" t="str">
        <f t="shared" si="10"/>
        <v>High Volume</v>
      </c>
      <c r="F245" s="17">
        <v>895.64705879999997</v>
      </c>
      <c r="G245" s="17">
        <v>823.99005920000002</v>
      </c>
      <c r="H245" s="17">
        <v>823.99005920000002</v>
      </c>
      <c r="I245" s="17">
        <v>6.2352941179999997</v>
      </c>
      <c r="J245" t="str">
        <f t="shared" si="11"/>
        <v>Positive Experiences</v>
      </c>
    </row>
    <row r="246" spans="1:10" x14ac:dyDescent="0.2">
      <c r="A246" s="16" t="s">
        <v>504</v>
      </c>
      <c r="B246">
        <v>14</v>
      </c>
      <c r="C246" t="str">
        <f t="shared" si="9"/>
        <v>High Order Count</v>
      </c>
      <c r="D246" s="17">
        <v>142</v>
      </c>
      <c r="E246" t="str">
        <f t="shared" si="10"/>
        <v>High Volume</v>
      </c>
      <c r="F246" s="17">
        <v>1473.9285709999999</v>
      </c>
      <c r="G246" s="17">
        <v>790.80469870000002</v>
      </c>
      <c r="H246" s="17">
        <v>790.80469870000002</v>
      </c>
      <c r="I246" s="17">
        <v>7.8571428570000004</v>
      </c>
      <c r="J246" t="str">
        <f t="shared" si="11"/>
        <v>Positive Experiences</v>
      </c>
    </row>
    <row r="247" spans="1:10" x14ac:dyDescent="0.2">
      <c r="A247" s="16" t="s">
        <v>236</v>
      </c>
      <c r="B247">
        <v>29</v>
      </c>
      <c r="C247" t="str">
        <f t="shared" si="9"/>
        <v>High Order Count</v>
      </c>
      <c r="D247" s="17">
        <v>252</v>
      </c>
      <c r="E247" t="str">
        <f t="shared" si="10"/>
        <v>High Volume</v>
      </c>
      <c r="F247" s="17">
        <v>1457.655172</v>
      </c>
      <c r="G247" s="17">
        <v>1284.3001509999999</v>
      </c>
      <c r="H247" s="17">
        <v>1284.3001509999999</v>
      </c>
      <c r="I247" s="17">
        <v>6.3103448279999999</v>
      </c>
      <c r="J247" t="str">
        <f t="shared" si="11"/>
        <v>Positive Experiences</v>
      </c>
    </row>
    <row r="248" spans="1:10" x14ac:dyDescent="0.2">
      <c r="A248" s="16" t="s">
        <v>253</v>
      </c>
      <c r="B248">
        <v>16</v>
      </c>
      <c r="C248" t="str">
        <f t="shared" si="9"/>
        <v>High Order Count</v>
      </c>
      <c r="D248" s="17">
        <v>179</v>
      </c>
      <c r="E248" t="str">
        <f t="shared" si="10"/>
        <v>High Volume</v>
      </c>
      <c r="F248" s="17">
        <v>1455.25</v>
      </c>
      <c r="G248" s="17">
        <v>1292.5492380000001</v>
      </c>
      <c r="H248" s="17">
        <v>1292.5492380000001</v>
      </c>
      <c r="I248" s="17">
        <v>6.125</v>
      </c>
      <c r="J248" t="str">
        <f t="shared" si="11"/>
        <v>Positive Experiences</v>
      </c>
    </row>
    <row r="249" spans="1:10" x14ac:dyDescent="0.2">
      <c r="A249" s="16" t="s">
        <v>378</v>
      </c>
      <c r="B249">
        <v>17</v>
      </c>
      <c r="C249" t="str">
        <f t="shared" si="9"/>
        <v>High Order Count</v>
      </c>
      <c r="D249" s="17">
        <v>157</v>
      </c>
      <c r="E249" t="str">
        <f t="shared" si="10"/>
        <v>High Volume</v>
      </c>
      <c r="F249" s="17">
        <v>1910.117647</v>
      </c>
      <c r="G249" s="17">
        <v>1841.994737</v>
      </c>
      <c r="H249" s="17">
        <v>1841.994737</v>
      </c>
      <c r="I249" s="17">
        <v>4.7058823529999998</v>
      </c>
      <c r="J249" t="str">
        <f t="shared" si="11"/>
        <v>Disappointing Experiences</v>
      </c>
    </row>
    <row r="250" spans="1:10" x14ac:dyDescent="0.2">
      <c r="A250" s="16" t="s">
        <v>455</v>
      </c>
      <c r="B250">
        <v>14</v>
      </c>
      <c r="C250" t="str">
        <f t="shared" si="9"/>
        <v>High Order Count</v>
      </c>
      <c r="D250" s="17">
        <v>172</v>
      </c>
      <c r="E250" t="str">
        <f t="shared" si="10"/>
        <v>High Volume</v>
      </c>
      <c r="F250" s="17">
        <v>1861.5714290000001</v>
      </c>
      <c r="G250" s="17">
        <v>1136.9747789999999</v>
      </c>
      <c r="H250" s="17">
        <v>1136.9747789999999</v>
      </c>
      <c r="I250" s="17">
        <v>4.2857142860000002</v>
      </c>
      <c r="J250" t="str">
        <f t="shared" si="11"/>
        <v>Disappointing Experiences</v>
      </c>
    </row>
    <row r="251" spans="1:10" x14ac:dyDescent="0.2">
      <c r="A251" s="16" t="s">
        <v>181</v>
      </c>
      <c r="B251">
        <v>14</v>
      </c>
      <c r="C251" t="str">
        <f t="shared" si="9"/>
        <v>High Order Count</v>
      </c>
      <c r="D251" s="17">
        <v>138</v>
      </c>
      <c r="E251" t="str">
        <f t="shared" si="10"/>
        <v>High Volume</v>
      </c>
      <c r="F251" s="17">
        <v>1601.857143</v>
      </c>
      <c r="G251" s="17">
        <v>1730.4707169999999</v>
      </c>
      <c r="H251" s="17">
        <v>1730.4707169999999</v>
      </c>
      <c r="I251" s="17">
        <v>5</v>
      </c>
      <c r="J251" t="str">
        <f t="shared" si="11"/>
        <v>Disappointing Experiences</v>
      </c>
    </row>
    <row r="252" spans="1:10" x14ac:dyDescent="0.2">
      <c r="A252" s="16" t="s">
        <v>720</v>
      </c>
      <c r="B252">
        <v>14</v>
      </c>
      <c r="C252" t="str">
        <f t="shared" si="9"/>
        <v>High Order Count</v>
      </c>
      <c r="D252" s="17">
        <v>149</v>
      </c>
      <c r="E252" t="str">
        <f t="shared" si="10"/>
        <v>High Volume</v>
      </c>
      <c r="F252" s="17">
        <v>1808</v>
      </c>
      <c r="G252" s="17">
        <v>1719.0224410000001</v>
      </c>
      <c r="H252" s="17">
        <v>1719.0224410000001</v>
      </c>
      <c r="I252" s="17">
        <v>5.2142857139999998</v>
      </c>
      <c r="J252" t="str">
        <f t="shared" si="11"/>
        <v>Positive Experiences</v>
      </c>
    </row>
    <row r="253" spans="1:10" x14ac:dyDescent="0.2">
      <c r="A253" s="16" t="s">
        <v>733</v>
      </c>
      <c r="B253">
        <v>9</v>
      </c>
      <c r="C253" t="str">
        <f t="shared" si="9"/>
        <v>Low Order Count</v>
      </c>
      <c r="D253" s="17">
        <v>118</v>
      </c>
      <c r="E253" t="str">
        <f t="shared" si="10"/>
        <v>High Volume</v>
      </c>
      <c r="F253" s="17">
        <v>2352.666667</v>
      </c>
      <c r="G253" s="17">
        <v>1782.9483310000001</v>
      </c>
      <c r="H253" s="17">
        <v>1782.9483310000001</v>
      </c>
      <c r="I253" s="17">
        <v>4.7777777779999999</v>
      </c>
      <c r="J253" t="str">
        <f t="shared" si="11"/>
        <v>Disappointing Experiences</v>
      </c>
    </row>
    <row r="254" spans="1:10" x14ac:dyDescent="0.2">
      <c r="A254" s="16" t="s">
        <v>603</v>
      </c>
      <c r="B254">
        <v>14</v>
      </c>
      <c r="C254" t="str">
        <f t="shared" si="9"/>
        <v>High Order Count</v>
      </c>
      <c r="D254" s="17">
        <v>149</v>
      </c>
      <c r="E254" t="str">
        <f t="shared" si="10"/>
        <v>High Volume</v>
      </c>
      <c r="F254" s="17">
        <v>2059.7142859999999</v>
      </c>
      <c r="G254" s="17">
        <v>1226.7896459999999</v>
      </c>
      <c r="H254" s="17">
        <v>1226.7896459999999</v>
      </c>
      <c r="I254" s="17">
        <v>4.9285714289999998</v>
      </c>
      <c r="J254" t="str">
        <f t="shared" si="11"/>
        <v>Disappointing Experiences</v>
      </c>
    </row>
    <row r="255" spans="1:10" x14ac:dyDescent="0.2">
      <c r="A255" s="16" t="s">
        <v>89</v>
      </c>
      <c r="B255">
        <v>17</v>
      </c>
      <c r="C255" t="str">
        <f t="shared" si="9"/>
        <v>High Order Count</v>
      </c>
      <c r="D255" s="17">
        <v>161</v>
      </c>
      <c r="E255" t="str">
        <f t="shared" si="10"/>
        <v>High Volume</v>
      </c>
      <c r="F255" s="17">
        <v>1237.117647</v>
      </c>
      <c r="G255" s="17">
        <v>1413.957296</v>
      </c>
      <c r="H255" s="17">
        <v>1413.957296</v>
      </c>
      <c r="I255" s="17">
        <v>6.8235294120000001</v>
      </c>
      <c r="J255" t="str">
        <f t="shared" si="11"/>
        <v>Positive Experiences</v>
      </c>
    </row>
    <row r="256" spans="1:10" x14ac:dyDescent="0.2">
      <c r="A256" s="16" t="s">
        <v>1138</v>
      </c>
      <c r="B256">
        <v>8</v>
      </c>
      <c r="C256" t="str">
        <f t="shared" si="9"/>
        <v>Low Order Count</v>
      </c>
      <c r="D256" s="17">
        <v>80</v>
      </c>
      <c r="E256" t="str">
        <f t="shared" si="10"/>
        <v>Mid-Volume</v>
      </c>
      <c r="F256" s="17">
        <v>1803</v>
      </c>
      <c r="G256" s="17">
        <v>1571.286188</v>
      </c>
      <c r="H256" s="17">
        <v>1571.286188</v>
      </c>
      <c r="I256" s="17">
        <v>5.25</v>
      </c>
      <c r="J256" t="str">
        <f t="shared" si="11"/>
        <v>Positive Experiences</v>
      </c>
    </row>
    <row r="257" spans="1:10" x14ac:dyDescent="0.2">
      <c r="A257" s="16" t="s">
        <v>729</v>
      </c>
      <c r="B257">
        <v>12</v>
      </c>
      <c r="C257" t="str">
        <f t="shared" si="9"/>
        <v>Low Order Count</v>
      </c>
      <c r="D257" s="17">
        <v>151</v>
      </c>
      <c r="E257" t="str">
        <f t="shared" si="10"/>
        <v>High Volume</v>
      </c>
      <c r="F257" s="17">
        <v>1971.25</v>
      </c>
      <c r="G257" s="17">
        <v>1352.241178</v>
      </c>
      <c r="H257" s="17">
        <v>1352.241178</v>
      </c>
      <c r="I257" s="17">
        <v>6.8333333329999997</v>
      </c>
      <c r="J257" t="str">
        <f t="shared" si="11"/>
        <v>Positive Experiences</v>
      </c>
    </row>
    <row r="258" spans="1:10" x14ac:dyDescent="0.2">
      <c r="A258" s="16" t="s">
        <v>488</v>
      </c>
      <c r="B258">
        <v>16</v>
      </c>
      <c r="C258" t="str">
        <f t="shared" si="9"/>
        <v>High Order Count</v>
      </c>
      <c r="D258" s="17">
        <v>166</v>
      </c>
      <c r="E258" t="str">
        <f t="shared" si="10"/>
        <v>High Volume</v>
      </c>
      <c r="F258" s="17">
        <v>1657.9375</v>
      </c>
      <c r="G258" s="17">
        <v>1281.39697</v>
      </c>
      <c r="H258" s="17">
        <v>1281.39697</v>
      </c>
      <c r="I258" s="17">
        <v>5.75</v>
      </c>
      <c r="J258" t="str">
        <f t="shared" si="11"/>
        <v>Positive Experiences</v>
      </c>
    </row>
    <row r="259" spans="1:10" x14ac:dyDescent="0.2">
      <c r="A259" s="16" t="s">
        <v>912</v>
      </c>
      <c r="B259">
        <v>11</v>
      </c>
      <c r="C259" t="str">
        <f t="shared" ref="C259:C296" si="12">IF(B259&gt;13,"High Order Count", "Low Order Count")</f>
        <v>Low Order Count</v>
      </c>
      <c r="D259" s="17">
        <v>109</v>
      </c>
      <c r="E259" t="str">
        <f t="shared" ref="E259:E296" si="13">IF(D259&lt;=50,"Low Volume",IF(D259&gt;100,"High Volume","Mid-Volume"))</f>
        <v>High Volume</v>
      </c>
      <c r="F259" s="17">
        <v>1439.363636</v>
      </c>
      <c r="G259" s="17">
        <v>1326.5000769999999</v>
      </c>
      <c r="H259" s="17">
        <v>1326.5000769999999</v>
      </c>
      <c r="I259" s="17">
        <v>4.8181818180000002</v>
      </c>
      <c r="J259" t="str">
        <f t="shared" ref="J259:J296" si="14">IF(I259&gt;5,"Positive Experiences","Disappointing Experiences")</f>
        <v>Disappointing Experiences</v>
      </c>
    </row>
    <row r="260" spans="1:10" x14ac:dyDescent="0.2">
      <c r="A260" s="16" t="s">
        <v>363</v>
      </c>
      <c r="B260">
        <v>28</v>
      </c>
      <c r="C260" t="str">
        <f t="shared" si="12"/>
        <v>High Order Count</v>
      </c>
      <c r="D260" s="17">
        <v>240</v>
      </c>
      <c r="E260" t="str">
        <f t="shared" si="13"/>
        <v>High Volume</v>
      </c>
      <c r="F260" s="17">
        <v>1769.857143</v>
      </c>
      <c r="G260" s="17">
        <v>1662.2657389999999</v>
      </c>
      <c r="H260" s="17">
        <v>1662.2657389999999</v>
      </c>
      <c r="I260" s="17">
        <v>6.25</v>
      </c>
      <c r="J260" t="str">
        <f t="shared" si="14"/>
        <v>Positive Experiences</v>
      </c>
    </row>
    <row r="261" spans="1:10" x14ac:dyDescent="0.2">
      <c r="A261" s="16" t="s">
        <v>490</v>
      </c>
      <c r="B261">
        <v>10</v>
      </c>
      <c r="C261" t="str">
        <f t="shared" si="12"/>
        <v>Low Order Count</v>
      </c>
      <c r="D261" s="17">
        <v>106</v>
      </c>
      <c r="E261" t="str">
        <f t="shared" si="13"/>
        <v>High Volume</v>
      </c>
      <c r="F261" s="17">
        <v>1732.8</v>
      </c>
      <c r="G261" s="17">
        <v>1310.9179819999999</v>
      </c>
      <c r="H261" s="17">
        <v>1310.9179819999999</v>
      </c>
      <c r="I261" s="17">
        <v>7</v>
      </c>
      <c r="J261" t="str">
        <f t="shared" si="14"/>
        <v>Positive Experiences</v>
      </c>
    </row>
    <row r="262" spans="1:10" x14ac:dyDescent="0.2">
      <c r="A262" s="16" t="s">
        <v>380</v>
      </c>
      <c r="B262">
        <v>9</v>
      </c>
      <c r="C262" t="str">
        <f t="shared" si="12"/>
        <v>Low Order Count</v>
      </c>
      <c r="D262" s="17">
        <v>78</v>
      </c>
      <c r="E262" t="str">
        <f t="shared" si="13"/>
        <v>Mid-Volume</v>
      </c>
      <c r="F262" s="17">
        <v>1211.7777779999999</v>
      </c>
      <c r="G262" s="17">
        <v>954.94682809999995</v>
      </c>
      <c r="H262" s="17">
        <v>954.94682809999995</v>
      </c>
      <c r="I262" s="17">
        <v>5.1111111109999996</v>
      </c>
      <c r="J262" t="str">
        <f t="shared" si="14"/>
        <v>Positive Experiences</v>
      </c>
    </row>
    <row r="263" spans="1:10" x14ac:dyDescent="0.2">
      <c r="A263" s="16" t="s">
        <v>413</v>
      </c>
      <c r="B263">
        <v>13</v>
      </c>
      <c r="C263" t="str">
        <f t="shared" si="12"/>
        <v>Low Order Count</v>
      </c>
      <c r="D263" s="17">
        <v>128</v>
      </c>
      <c r="E263" t="str">
        <f t="shared" si="13"/>
        <v>High Volume</v>
      </c>
      <c r="F263" s="17">
        <v>2182.3076919999999</v>
      </c>
      <c r="G263" s="17">
        <v>1701.058121</v>
      </c>
      <c r="H263" s="17">
        <v>1701.058121</v>
      </c>
      <c r="I263" s="17">
        <v>4.538461538</v>
      </c>
      <c r="J263" t="str">
        <f t="shared" si="14"/>
        <v>Disappointing Experiences</v>
      </c>
    </row>
    <row r="264" spans="1:10" x14ac:dyDescent="0.2">
      <c r="A264" s="16" t="s">
        <v>176</v>
      </c>
      <c r="B264">
        <v>16</v>
      </c>
      <c r="C264" t="str">
        <f t="shared" si="12"/>
        <v>High Order Count</v>
      </c>
      <c r="D264" s="17">
        <v>134</v>
      </c>
      <c r="E264" t="str">
        <f t="shared" si="13"/>
        <v>High Volume</v>
      </c>
      <c r="F264" s="17">
        <v>1167.25</v>
      </c>
      <c r="G264" s="17">
        <v>944.00024719999999</v>
      </c>
      <c r="H264" s="17">
        <v>944.00024719999999</v>
      </c>
      <c r="I264" s="17">
        <v>4.6875</v>
      </c>
      <c r="J264" t="str">
        <f t="shared" si="14"/>
        <v>Disappointing Experiences</v>
      </c>
    </row>
    <row r="265" spans="1:10" x14ac:dyDescent="0.2">
      <c r="A265" s="16" t="s">
        <v>882</v>
      </c>
      <c r="B265">
        <v>17</v>
      </c>
      <c r="C265" t="str">
        <f t="shared" si="12"/>
        <v>High Order Count</v>
      </c>
      <c r="D265" s="17">
        <v>206</v>
      </c>
      <c r="E265" t="str">
        <f t="shared" si="13"/>
        <v>High Volume</v>
      </c>
      <c r="F265" s="17">
        <v>1592.5294120000001</v>
      </c>
      <c r="G265" s="17">
        <v>1745.5268590000001</v>
      </c>
      <c r="H265" s="17">
        <v>1745.5268590000001</v>
      </c>
      <c r="I265" s="17">
        <v>6.5882352940000004</v>
      </c>
      <c r="J265" t="str">
        <f t="shared" si="14"/>
        <v>Positive Experiences</v>
      </c>
    </row>
    <row r="266" spans="1:10" x14ac:dyDescent="0.2">
      <c r="A266" s="16" t="s">
        <v>817</v>
      </c>
      <c r="B266">
        <v>4</v>
      </c>
      <c r="C266" t="str">
        <f t="shared" si="12"/>
        <v>Low Order Count</v>
      </c>
      <c r="D266" s="17">
        <v>28</v>
      </c>
      <c r="E266" t="str">
        <f t="shared" si="13"/>
        <v>Low Volume</v>
      </c>
      <c r="F266" s="17">
        <v>1030.5</v>
      </c>
      <c r="G266" s="17">
        <v>604.74374739999996</v>
      </c>
      <c r="H266" s="17">
        <v>604.74374739999996</v>
      </c>
      <c r="I266" s="17">
        <v>4</v>
      </c>
      <c r="J266" t="str">
        <f t="shared" si="14"/>
        <v>Disappointing Experiences</v>
      </c>
    </row>
    <row r="267" spans="1:10" x14ac:dyDescent="0.2">
      <c r="A267" s="16" t="s">
        <v>1573</v>
      </c>
      <c r="B267">
        <v>8</v>
      </c>
      <c r="C267" t="str">
        <f t="shared" si="12"/>
        <v>Low Order Count</v>
      </c>
      <c r="D267" s="17">
        <v>85</v>
      </c>
      <c r="E267" t="str">
        <f t="shared" si="13"/>
        <v>Mid-Volume</v>
      </c>
      <c r="F267" s="17">
        <v>1657.875</v>
      </c>
      <c r="G267" s="17">
        <v>1293.4505830000001</v>
      </c>
      <c r="H267" s="17">
        <v>1293.4505830000001</v>
      </c>
      <c r="I267" s="17">
        <v>4</v>
      </c>
      <c r="J267" t="str">
        <f t="shared" si="14"/>
        <v>Disappointing Experiences</v>
      </c>
    </row>
    <row r="268" spans="1:10" x14ac:dyDescent="0.2">
      <c r="A268" s="16" t="s">
        <v>411</v>
      </c>
      <c r="B268">
        <v>16</v>
      </c>
      <c r="C268" t="str">
        <f t="shared" si="12"/>
        <v>High Order Count</v>
      </c>
      <c r="D268" s="17">
        <v>159</v>
      </c>
      <c r="E268" t="str">
        <f t="shared" si="13"/>
        <v>High Volume</v>
      </c>
      <c r="F268" s="17">
        <v>1994.875</v>
      </c>
      <c r="G268" s="17">
        <v>1571.791033</v>
      </c>
      <c r="H268" s="17">
        <v>1571.791033</v>
      </c>
      <c r="I268" s="17">
        <v>6.4375</v>
      </c>
      <c r="J268" t="str">
        <f t="shared" si="14"/>
        <v>Positive Experiences</v>
      </c>
    </row>
    <row r="269" spans="1:10" x14ac:dyDescent="0.2">
      <c r="A269" s="16" t="s">
        <v>366</v>
      </c>
      <c r="B269">
        <v>15</v>
      </c>
      <c r="C269" t="str">
        <f t="shared" si="12"/>
        <v>High Order Count</v>
      </c>
      <c r="D269" s="17">
        <v>126</v>
      </c>
      <c r="E269" t="str">
        <f t="shared" si="13"/>
        <v>High Volume</v>
      </c>
      <c r="F269" s="17">
        <v>1449.5333330000001</v>
      </c>
      <c r="G269" s="17">
        <v>1485.7048769999999</v>
      </c>
      <c r="H269" s="17">
        <v>1485.7048769999999</v>
      </c>
      <c r="I269" s="17">
        <v>6.2</v>
      </c>
      <c r="J269" t="str">
        <f t="shared" si="14"/>
        <v>Positive Experiences</v>
      </c>
    </row>
    <row r="270" spans="1:10" x14ac:dyDescent="0.2">
      <c r="A270" s="16" t="s">
        <v>1259</v>
      </c>
      <c r="B270">
        <v>11</v>
      </c>
      <c r="C270" t="str">
        <f t="shared" si="12"/>
        <v>Low Order Count</v>
      </c>
      <c r="D270" s="17">
        <v>144</v>
      </c>
      <c r="E270" t="str">
        <f t="shared" si="13"/>
        <v>High Volume</v>
      </c>
      <c r="F270" s="17">
        <v>2635.818182</v>
      </c>
      <c r="G270" s="17">
        <v>2150.8574020000001</v>
      </c>
      <c r="H270" s="17">
        <v>2150.8574020000001</v>
      </c>
      <c r="I270" s="17">
        <v>6.4545454549999999</v>
      </c>
      <c r="J270" t="str">
        <f t="shared" si="14"/>
        <v>Positive Experiences</v>
      </c>
    </row>
    <row r="271" spans="1:10" x14ac:dyDescent="0.2">
      <c r="A271" s="16" t="s">
        <v>116</v>
      </c>
      <c r="B271">
        <v>19</v>
      </c>
      <c r="C271" t="str">
        <f t="shared" si="12"/>
        <v>High Order Count</v>
      </c>
      <c r="D271" s="17">
        <v>216</v>
      </c>
      <c r="E271" t="str">
        <f t="shared" si="13"/>
        <v>High Volume</v>
      </c>
      <c r="F271" s="17">
        <v>1931.8947370000001</v>
      </c>
      <c r="G271" s="17">
        <v>1661.2916290000001</v>
      </c>
      <c r="H271" s="17">
        <v>1661.2916290000001</v>
      </c>
      <c r="I271" s="17">
        <v>4.3157894739999998</v>
      </c>
      <c r="J271" t="str">
        <f t="shared" si="14"/>
        <v>Disappointing Experiences</v>
      </c>
    </row>
    <row r="272" spans="1:10" x14ac:dyDescent="0.2">
      <c r="A272" s="16" t="s">
        <v>223</v>
      </c>
      <c r="B272">
        <v>10</v>
      </c>
      <c r="C272" t="str">
        <f t="shared" si="12"/>
        <v>Low Order Count</v>
      </c>
      <c r="D272" s="17">
        <v>98</v>
      </c>
      <c r="E272" t="str">
        <f t="shared" si="13"/>
        <v>Mid-Volume</v>
      </c>
      <c r="F272" s="17">
        <v>1556</v>
      </c>
      <c r="G272" s="17">
        <v>1184.0521759999999</v>
      </c>
      <c r="H272" s="17">
        <v>1184.0521759999999</v>
      </c>
      <c r="I272" s="17">
        <v>7.2</v>
      </c>
      <c r="J272" t="str">
        <f t="shared" si="14"/>
        <v>Positive Experiences</v>
      </c>
    </row>
    <row r="273" spans="1:10" x14ac:dyDescent="0.2">
      <c r="A273" s="16" t="s">
        <v>96</v>
      </c>
      <c r="B273">
        <v>16</v>
      </c>
      <c r="C273" t="str">
        <f t="shared" si="12"/>
        <v>High Order Count</v>
      </c>
      <c r="D273" s="17">
        <v>157</v>
      </c>
      <c r="E273" t="str">
        <f t="shared" si="13"/>
        <v>High Volume</v>
      </c>
      <c r="F273" s="17">
        <v>1883.1875</v>
      </c>
      <c r="G273" s="17">
        <v>1580.756073</v>
      </c>
      <c r="H273" s="17">
        <v>1580.756073</v>
      </c>
      <c r="I273" s="17">
        <v>5.875</v>
      </c>
      <c r="J273" t="str">
        <f t="shared" si="14"/>
        <v>Positive Experiences</v>
      </c>
    </row>
    <row r="274" spans="1:10" x14ac:dyDescent="0.2">
      <c r="A274" s="16" t="s">
        <v>63</v>
      </c>
      <c r="B274">
        <v>9</v>
      </c>
      <c r="C274" t="str">
        <f t="shared" si="12"/>
        <v>Low Order Count</v>
      </c>
      <c r="D274" s="17">
        <v>111</v>
      </c>
      <c r="E274" t="str">
        <f t="shared" si="13"/>
        <v>High Volume</v>
      </c>
      <c r="F274" s="17">
        <v>2605.5555559999998</v>
      </c>
      <c r="G274" s="17">
        <v>1766.1819780000001</v>
      </c>
      <c r="H274" s="17">
        <v>1766.1819780000001</v>
      </c>
      <c r="I274" s="17">
        <v>5.3333333329999997</v>
      </c>
      <c r="J274" t="str">
        <f t="shared" si="14"/>
        <v>Positive Experiences</v>
      </c>
    </row>
    <row r="275" spans="1:10" x14ac:dyDescent="0.2">
      <c r="A275" s="16" t="s">
        <v>121</v>
      </c>
      <c r="B275">
        <v>11</v>
      </c>
      <c r="C275" t="str">
        <f t="shared" si="12"/>
        <v>Low Order Count</v>
      </c>
      <c r="D275" s="17">
        <v>88</v>
      </c>
      <c r="E275" t="str">
        <f t="shared" si="13"/>
        <v>Mid-Volume</v>
      </c>
      <c r="F275" s="17">
        <v>1377.636364</v>
      </c>
      <c r="G275" s="17">
        <v>1239.5518770000001</v>
      </c>
      <c r="H275" s="17">
        <v>1239.5518770000001</v>
      </c>
      <c r="I275" s="17">
        <v>4.2727272730000001</v>
      </c>
      <c r="J275" t="str">
        <f t="shared" si="14"/>
        <v>Disappointing Experiences</v>
      </c>
    </row>
    <row r="276" spans="1:10" x14ac:dyDescent="0.2">
      <c r="A276" s="16" t="s">
        <v>609</v>
      </c>
      <c r="B276">
        <v>11</v>
      </c>
      <c r="C276" t="str">
        <f t="shared" si="12"/>
        <v>Low Order Count</v>
      </c>
      <c r="D276" s="17">
        <v>107</v>
      </c>
      <c r="E276" t="str">
        <f t="shared" si="13"/>
        <v>High Volume</v>
      </c>
      <c r="F276" s="17">
        <v>1686.4545450000001</v>
      </c>
      <c r="G276" s="17">
        <v>1867.5898569999999</v>
      </c>
      <c r="H276" s="17">
        <v>1867.5898569999999</v>
      </c>
      <c r="I276" s="17">
        <v>4.7272727269999999</v>
      </c>
      <c r="J276" t="str">
        <f t="shared" si="14"/>
        <v>Disappointing Experiences</v>
      </c>
    </row>
    <row r="277" spans="1:10" x14ac:dyDescent="0.2">
      <c r="A277" s="16" t="s">
        <v>126</v>
      </c>
      <c r="B277">
        <v>12</v>
      </c>
      <c r="C277" t="str">
        <f t="shared" si="12"/>
        <v>Low Order Count</v>
      </c>
      <c r="D277" s="17">
        <v>148</v>
      </c>
      <c r="E277" t="str">
        <f t="shared" si="13"/>
        <v>High Volume</v>
      </c>
      <c r="F277" s="17">
        <v>2558.166667</v>
      </c>
      <c r="G277" s="17">
        <v>2363.8511269999999</v>
      </c>
      <c r="H277" s="17">
        <v>2363.8511269999999</v>
      </c>
      <c r="I277" s="17">
        <v>5.6666666670000003</v>
      </c>
      <c r="J277" t="str">
        <f t="shared" si="14"/>
        <v>Positive Experiences</v>
      </c>
    </row>
    <row r="278" spans="1:10" x14ac:dyDescent="0.2">
      <c r="A278" s="16" t="s">
        <v>146</v>
      </c>
      <c r="B278">
        <v>12</v>
      </c>
      <c r="C278" t="str">
        <f t="shared" si="12"/>
        <v>Low Order Count</v>
      </c>
      <c r="D278" s="17">
        <v>149</v>
      </c>
      <c r="E278" t="str">
        <f t="shared" si="13"/>
        <v>High Volume</v>
      </c>
      <c r="F278" s="17">
        <v>2455.166667</v>
      </c>
      <c r="G278" s="17">
        <v>2252.2746820000002</v>
      </c>
      <c r="H278" s="17">
        <v>2252.2746820000002</v>
      </c>
      <c r="I278" s="17">
        <v>4.8333333329999997</v>
      </c>
      <c r="J278" t="str">
        <f t="shared" si="14"/>
        <v>Disappointing Experiences</v>
      </c>
    </row>
    <row r="279" spans="1:10" x14ac:dyDescent="0.2">
      <c r="A279" s="16" t="s">
        <v>338</v>
      </c>
      <c r="B279">
        <v>14</v>
      </c>
      <c r="C279" t="str">
        <f t="shared" si="12"/>
        <v>High Order Count</v>
      </c>
      <c r="D279" s="17">
        <v>140</v>
      </c>
      <c r="E279" t="str">
        <f t="shared" si="13"/>
        <v>High Volume</v>
      </c>
      <c r="F279" s="17">
        <v>2055.4285709999999</v>
      </c>
      <c r="G279" s="17">
        <v>1454.5655819999999</v>
      </c>
      <c r="H279" s="17">
        <v>1454.5655819999999</v>
      </c>
      <c r="I279" s="17">
        <v>5.2142857139999998</v>
      </c>
      <c r="J279" t="str">
        <f t="shared" si="14"/>
        <v>Positive Experiences</v>
      </c>
    </row>
    <row r="280" spans="1:10" x14ac:dyDescent="0.2">
      <c r="A280" s="16" t="s">
        <v>118</v>
      </c>
      <c r="B280">
        <v>9</v>
      </c>
      <c r="C280" t="str">
        <f t="shared" si="12"/>
        <v>Low Order Count</v>
      </c>
      <c r="D280" s="17">
        <v>86</v>
      </c>
      <c r="E280" t="str">
        <f t="shared" si="13"/>
        <v>Mid-Volume</v>
      </c>
      <c r="F280" s="17">
        <v>1635.1111109999999</v>
      </c>
      <c r="G280" s="17">
        <v>1537.539548</v>
      </c>
      <c r="H280" s="17">
        <v>1537.539548</v>
      </c>
      <c r="I280" s="17">
        <v>5.7777777779999999</v>
      </c>
      <c r="J280" t="str">
        <f t="shared" si="14"/>
        <v>Positive Experiences</v>
      </c>
    </row>
    <row r="281" spans="1:10" x14ac:dyDescent="0.2">
      <c r="A281" s="16" t="s">
        <v>438</v>
      </c>
      <c r="B281">
        <v>11</v>
      </c>
      <c r="C281" t="str">
        <f t="shared" si="12"/>
        <v>Low Order Count</v>
      </c>
      <c r="D281" s="17">
        <v>115</v>
      </c>
      <c r="E281" t="str">
        <f t="shared" si="13"/>
        <v>High Volume</v>
      </c>
      <c r="F281" s="17">
        <v>1772.5454549999999</v>
      </c>
      <c r="G281" s="17">
        <v>1017.6078189999999</v>
      </c>
      <c r="H281" s="17">
        <v>1017.6078189999999</v>
      </c>
      <c r="I281" s="17">
        <v>5.6363636359999996</v>
      </c>
      <c r="J281" t="str">
        <f t="shared" si="14"/>
        <v>Positive Experiences</v>
      </c>
    </row>
    <row r="282" spans="1:10" x14ac:dyDescent="0.2">
      <c r="A282" s="16" t="s">
        <v>79</v>
      </c>
      <c r="B282">
        <v>24</v>
      </c>
      <c r="C282" t="str">
        <f t="shared" si="12"/>
        <v>High Order Count</v>
      </c>
      <c r="D282" s="17">
        <v>301</v>
      </c>
      <c r="E282" t="str">
        <f t="shared" si="13"/>
        <v>High Volume</v>
      </c>
      <c r="F282" s="17">
        <v>1890.041667</v>
      </c>
      <c r="G282" s="17">
        <v>1115.9478120000001</v>
      </c>
      <c r="H282" s="17">
        <v>1115.9478120000001</v>
      </c>
      <c r="I282" s="17">
        <v>5.9583333329999997</v>
      </c>
      <c r="J282" t="str">
        <f t="shared" si="14"/>
        <v>Positive Experiences</v>
      </c>
    </row>
    <row r="283" spans="1:10" x14ac:dyDescent="0.2">
      <c r="A283" s="16" t="s">
        <v>1126</v>
      </c>
      <c r="B283">
        <v>10</v>
      </c>
      <c r="C283" t="str">
        <f t="shared" si="12"/>
        <v>Low Order Count</v>
      </c>
      <c r="D283" s="17">
        <v>87</v>
      </c>
      <c r="E283" t="str">
        <f t="shared" si="13"/>
        <v>Mid-Volume</v>
      </c>
      <c r="F283" s="17">
        <v>1581.2</v>
      </c>
      <c r="G283" s="17">
        <v>1290.323112</v>
      </c>
      <c r="H283" s="17">
        <v>1290.323112</v>
      </c>
      <c r="I283" s="17">
        <v>6</v>
      </c>
      <c r="J283" t="str">
        <f t="shared" si="14"/>
        <v>Positive Experiences</v>
      </c>
    </row>
    <row r="284" spans="1:10" x14ac:dyDescent="0.2">
      <c r="A284" s="16" t="s">
        <v>359</v>
      </c>
      <c r="B284">
        <v>10</v>
      </c>
      <c r="C284" t="str">
        <f t="shared" si="12"/>
        <v>Low Order Count</v>
      </c>
      <c r="D284" s="17">
        <v>107</v>
      </c>
      <c r="E284" t="str">
        <f t="shared" si="13"/>
        <v>High Volume</v>
      </c>
      <c r="F284" s="17">
        <v>2238.3000000000002</v>
      </c>
      <c r="G284" s="17">
        <v>2182.4812609999999</v>
      </c>
      <c r="H284" s="17">
        <v>2182.4812609999999</v>
      </c>
      <c r="I284" s="17">
        <v>4.7</v>
      </c>
      <c r="J284" t="str">
        <f t="shared" si="14"/>
        <v>Disappointing Experiences</v>
      </c>
    </row>
    <row r="285" spans="1:10" x14ac:dyDescent="0.2">
      <c r="A285" s="16" t="s">
        <v>143</v>
      </c>
      <c r="B285">
        <v>15</v>
      </c>
      <c r="C285" t="str">
        <f t="shared" si="12"/>
        <v>High Order Count</v>
      </c>
      <c r="D285" s="17">
        <v>157</v>
      </c>
      <c r="E285" t="str">
        <f t="shared" si="13"/>
        <v>High Volume</v>
      </c>
      <c r="F285" s="17">
        <v>2044.2</v>
      </c>
      <c r="G285" s="17">
        <v>1633.403642</v>
      </c>
      <c r="H285" s="17">
        <v>1633.403642</v>
      </c>
      <c r="I285" s="17">
        <v>5.3333333329999997</v>
      </c>
      <c r="J285" t="str">
        <f t="shared" si="14"/>
        <v>Positive Experiences</v>
      </c>
    </row>
    <row r="286" spans="1:10" x14ac:dyDescent="0.2">
      <c r="A286" s="16" t="s">
        <v>341</v>
      </c>
      <c r="B286">
        <v>15</v>
      </c>
      <c r="C286" t="str">
        <f t="shared" si="12"/>
        <v>High Order Count</v>
      </c>
      <c r="D286" s="17">
        <v>114</v>
      </c>
      <c r="E286" t="str">
        <f t="shared" si="13"/>
        <v>High Volume</v>
      </c>
      <c r="F286" s="17">
        <v>1969.9333329999999</v>
      </c>
      <c r="G286" s="17">
        <v>1750.442575</v>
      </c>
      <c r="H286" s="17">
        <v>1750.442575</v>
      </c>
      <c r="I286" s="17">
        <v>5.8</v>
      </c>
      <c r="J286" t="str">
        <f t="shared" si="14"/>
        <v>Positive Experiences</v>
      </c>
    </row>
    <row r="287" spans="1:10" x14ac:dyDescent="0.2">
      <c r="A287" s="16" t="s">
        <v>361</v>
      </c>
      <c r="B287">
        <v>18</v>
      </c>
      <c r="C287" t="str">
        <f t="shared" si="12"/>
        <v>High Order Count</v>
      </c>
      <c r="D287" s="17">
        <v>229</v>
      </c>
      <c r="E287" t="str">
        <f t="shared" si="13"/>
        <v>High Volume</v>
      </c>
      <c r="F287" s="17">
        <v>2051.0555559999998</v>
      </c>
      <c r="G287" s="17">
        <v>1649.4568260000001</v>
      </c>
      <c r="H287" s="17">
        <v>1649.4568260000001</v>
      </c>
      <c r="I287" s="17">
        <v>5.9444444440000002</v>
      </c>
      <c r="J287" t="str">
        <f t="shared" si="14"/>
        <v>Positive Experiences</v>
      </c>
    </row>
    <row r="288" spans="1:10" x14ac:dyDescent="0.2">
      <c r="A288" s="16" t="s">
        <v>469</v>
      </c>
      <c r="B288">
        <v>16</v>
      </c>
      <c r="C288" t="str">
        <f t="shared" si="12"/>
        <v>High Order Count</v>
      </c>
      <c r="D288" s="17">
        <v>190</v>
      </c>
      <c r="E288" t="str">
        <f t="shared" si="13"/>
        <v>High Volume</v>
      </c>
      <c r="F288" s="17">
        <v>2376.8125</v>
      </c>
      <c r="G288" s="17">
        <v>2387.139913</v>
      </c>
      <c r="H288" s="17">
        <v>2387.139913</v>
      </c>
      <c r="I288" s="17">
        <v>6.0625</v>
      </c>
      <c r="J288" t="str">
        <f t="shared" si="14"/>
        <v>Positive Experiences</v>
      </c>
    </row>
    <row r="289" spans="1:10" x14ac:dyDescent="0.2">
      <c r="A289" s="16" t="s">
        <v>234</v>
      </c>
      <c r="B289">
        <v>17</v>
      </c>
      <c r="C289" t="str">
        <f t="shared" si="12"/>
        <v>High Order Count</v>
      </c>
      <c r="D289" s="17">
        <v>170</v>
      </c>
      <c r="E289" t="str">
        <f t="shared" si="13"/>
        <v>High Volume</v>
      </c>
      <c r="F289" s="17">
        <v>1452.7647059999999</v>
      </c>
      <c r="G289" s="17">
        <v>1214.760137</v>
      </c>
      <c r="H289" s="17">
        <v>1214.760137</v>
      </c>
      <c r="I289" s="17">
        <v>6.0588235289999997</v>
      </c>
      <c r="J289" t="str">
        <f t="shared" si="14"/>
        <v>Positive Experiences</v>
      </c>
    </row>
    <row r="290" spans="1:10" x14ac:dyDescent="0.2">
      <c r="A290" s="16" t="s">
        <v>108</v>
      </c>
      <c r="B290">
        <v>13</v>
      </c>
      <c r="C290" t="str">
        <f t="shared" si="12"/>
        <v>Low Order Count</v>
      </c>
      <c r="D290" s="17">
        <v>104</v>
      </c>
      <c r="E290" t="str">
        <f t="shared" si="13"/>
        <v>High Volume</v>
      </c>
      <c r="F290" s="17">
        <v>1290</v>
      </c>
      <c r="G290" s="17">
        <v>1565.495396</v>
      </c>
      <c r="H290" s="17">
        <v>1565.495396</v>
      </c>
      <c r="I290" s="17">
        <v>6.307692308</v>
      </c>
      <c r="J290" t="str">
        <f t="shared" si="14"/>
        <v>Positive Experiences</v>
      </c>
    </row>
    <row r="291" spans="1:10" x14ac:dyDescent="0.2">
      <c r="A291" s="16" t="s">
        <v>279</v>
      </c>
      <c r="B291">
        <v>16</v>
      </c>
      <c r="C291" t="str">
        <f t="shared" si="12"/>
        <v>High Order Count</v>
      </c>
      <c r="D291" s="17">
        <v>188</v>
      </c>
      <c r="E291" t="str">
        <f t="shared" si="13"/>
        <v>High Volume</v>
      </c>
      <c r="F291" s="17">
        <v>2029.625</v>
      </c>
      <c r="G291" s="17">
        <v>1949.4955199999999</v>
      </c>
      <c r="H291" s="17">
        <v>1949.4955199999999</v>
      </c>
      <c r="I291" s="17">
        <v>4.3125</v>
      </c>
      <c r="J291" t="str">
        <f t="shared" si="14"/>
        <v>Disappointing Experiences</v>
      </c>
    </row>
    <row r="292" spans="1:10" x14ac:dyDescent="0.2">
      <c r="A292" s="16" t="s">
        <v>495</v>
      </c>
      <c r="B292">
        <v>11</v>
      </c>
      <c r="C292" t="str">
        <f t="shared" si="12"/>
        <v>Low Order Count</v>
      </c>
      <c r="D292" s="17">
        <v>131</v>
      </c>
      <c r="E292" t="str">
        <f t="shared" si="13"/>
        <v>High Volume</v>
      </c>
      <c r="F292" s="17">
        <v>2336.636364</v>
      </c>
      <c r="G292" s="17">
        <v>1424.2370780000001</v>
      </c>
      <c r="H292" s="17">
        <v>1424.2370780000001</v>
      </c>
      <c r="I292" s="17">
        <v>6.4545454549999999</v>
      </c>
      <c r="J292" t="str">
        <f t="shared" si="14"/>
        <v>Positive Experiences</v>
      </c>
    </row>
    <row r="293" spans="1:10" x14ac:dyDescent="0.2">
      <c r="A293" s="16" t="s">
        <v>1051</v>
      </c>
      <c r="B293">
        <v>7</v>
      </c>
      <c r="C293" t="str">
        <f t="shared" si="12"/>
        <v>Low Order Count</v>
      </c>
      <c r="D293" s="17">
        <v>98</v>
      </c>
      <c r="E293" t="str">
        <f t="shared" si="13"/>
        <v>Mid-Volume</v>
      </c>
      <c r="F293" s="17">
        <v>2930.2857140000001</v>
      </c>
      <c r="G293" s="17">
        <v>2209.477594</v>
      </c>
      <c r="H293" s="17">
        <v>2209.477594</v>
      </c>
      <c r="I293" s="17">
        <v>4.4285714289999998</v>
      </c>
      <c r="J293" t="str">
        <f t="shared" si="14"/>
        <v>Disappointing Experiences</v>
      </c>
    </row>
    <row r="294" spans="1:10" x14ac:dyDescent="0.2">
      <c r="A294" s="16" t="s">
        <v>557</v>
      </c>
      <c r="B294">
        <v>14</v>
      </c>
      <c r="C294" t="str">
        <f t="shared" si="12"/>
        <v>High Order Count</v>
      </c>
      <c r="D294" s="17">
        <v>152</v>
      </c>
      <c r="E294" t="str">
        <f t="shared" si="13"/>
        <v>High Volume</v>
      </c>
      <c r="F294" s="17">
        <v>1514.2142859999999</v>
      </c>
      <c r="G294" s="17">
        <v>1379.7832149999999</v>
      </c>
      <c r="H294" s="17">
        <v>1379.7832149999999</v>
      </c>
      <c r="I294" s="17">
        <v>6.1428571429999996</v>
      </c>
      <c r="J294" t="str">
        <f t="shared" si="14"/>
        <v>Positive Experiences</v>
      </c>
    </row>
    <row r="295" spans="1:10" x14ac:dyDescent="0.2">
      <c r="A295" s="16" t="s">
        <v>67</v>
      </c>
      <c r="B295">
        <v>25</v>
      </c>
      <c r="C295" t="str">
        <f t="shared" si="12"/>
        <v>High Order Count</v>
      </c>
      <c r="D295" s="17">
        <v>216</v>
      </c>
      <c r="E295" t="str">
        <f t="shared" si="13"/>
        <v>High Volume</v>
      </c>
      <c r="F295" s="17">
        <v>2061.64</v>
      </c>
      <c r="G295" s="17">
        <v>1856.4229909999999</v>
      </c>
      <c r="H295" s="17">
        <v>1856.4229909999999</v>
      </c>
      <c r="I295" s="17">
        <v>5.36</v>
      </c>
      <c r="J295" t="str">
        <f t="shared" si="14"/>
        <v>Positive Experiences</v>
      </c>
    </row>
    <row r="296" spans="1:10" x14ac:dyDescent="0.2">
      <c r="A296" s="16" t="s">
        <v>4102</v>
      </c>
      <c r="C296" t="str">
        <f t="shared" si="12"/>
        <v>Low Order Count</v>
      </c>
      <c r="D296" s="17"/>
      <c r="E296" t="str">
        <f t="shared" si="13"/>
        <v>Low Volume</v>
      </c>
      <c r="F296" s="17"/>
      <c r="G296" s="17"/>
      <c r="H296" s="17"/>
      <c r="I296" s="17"/>
      <c r="J296" t="str">
        <f t="shared" si="14"/>
        <v>Disappointing Experiences</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52CE-510B-4D40-9C8A-0661BD147FE0}">
  <dimension ref="A1:G7"/>
  <sheetViews>
    <sheetView topLeftCell="B2" zoomScale="94" workbookViewId="0">
      <selection activeCell="B26" sqref="B26"/>
    </sheetView>
  </sheetViews>
  <sheetFormatPr baseColWidth="10" defaultColWidth="8.83203125" defaultRowHeight="18" customHeight="1" x14ac:dyDescent="0.2"/>
  <cols>
    <col min="1" max="1" width="27.5" bestFit="1" customWidth="1"/>
    <col min="2" max="2" width="108.5" customWidth="1"/>
    <col min="3" max="3" width="89.6640625" customWidth="1"/>
    <col min="5" max="5" width="36.5" bestFit="1" customWidth="1"/>
    <col min="7" max="7" width="11.6640625" bestFit="1" customWidth="1"/>
  </cols>
  <sheetData>
    <row r="1" spans="1:7" ht="18" customHeight="1" x14ac:dyDescent="0.2">
      <c r="B1" s="12" t="s">
        <v>4079</v>
      </c>
      <c r="C1" t="s">
        <v>4080</v>
      </c>
      <c r="E1" t="s">
        <v>4081</v>
      </c>
      <c r="G1" t="s">
        <v>4082</v>
      </c>
    </row>
    <row r="2" spans="1:7" ht="33" customHeight="1" x14ac:dyDescent="0.2">
      <c r="A2" s="13" t="s">
        <v>4083</v>
      </c>
      <c r="B2" s="1" t="s">
        <v>4084</v>
      </c>
      <c r="C2" s="1" t="s">
        <v>4085</v>
      </c>
    </row>
    <row r="3" spans="1:7" ht="99" customHeight="1" x14ac:dyDescent="0.2">
      <c r="A3" s="13" t="s">
        <v>4086</v>
      </c>
      <c r="B3" s="1" t="s">
        <v>4087</v>
      </c>
      <c r="C3" s="1" t="s">
        <v>4088</v>
      </c>
    </row>
    <row r="4" spans="1:7" ht="48" customHeight="1" x14ac:dyDescent="0.2">
      <c r="A4" s="13" t="s">
        <v>4089</v>
      </c>
      <c r="B4" s="1" t="s">
        <v>4090</v>
      </c>
      <c r="C4" s="1" t="s">
        <v>4091</v>
      </c>
      <c r="E4" s="1" t="s">
        <v>4092</v>
      </c>
    </row>
    <row r="5" spans="1:7" ht="47.25" customHeight="1" x14ac:dyDescent="0.2">
      <c r="A5" s="13" t="s">
        <v>4093</v>
      </c>
      <c r="B5" s="1" t="s">
        <v>4094</v>
      </c>
      <c r="C5" s="1" t="s">
        <v>4095</v>
      </c>
    </row>
    <row r="6" spans="1:7" ht="60.75" customHeight="1" x14ac:dyDescent="0.2">
      <c r="A6" s="13" t="s">
        <v>4096</v>
      </c>
      <c r="B6" s="1" t="s">
        <v>4097</v>
      </c>
      <c r="C6" s="1" t="s">
        <v>4098</v>
      </c>
    </row>
    <row r="7" spans="1:7" ht="46.5" customHeight="1" x14ac:dyDescent="0.2">
      <c r="A7" s="13" t="s">
        <v>4099</v>
      </c>
      <c r="B7" s="1" t="s">
        <v>4100</v>
      </c>
      <c r="C7" s="1" t="s">
        <v>4101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Pivot Summary of Data </vt:lpstr>
      <vt:lpstr>Starting data</vt:lpstr>
      <vt:lpstr>Data for Classification</vt:lpstr>
      <vt:lpstr>Classification - Analysis 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2025-10-02T00:59:13Z</dcterms:created>
  <dcterms:modified xsi:type="dcterms:W3CDTF">2025-10-02T20:46:58Z</dcterms:modified>
  <cp:category/>
  <cp:contentStatus/>
</cp:coreProperties>
</file>